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①企画一覧・審査" sheetId="1" state="visible" r:id="rId1"/>
    <sheet name="②候補ランキング" sheetId="2" state="visible" r:id="rId2"/>
    <sheet name="審査ガイド" sheetId="3" state="visible" r:id="rId3"/>
    <sheet name="企画の作り方" sheetId="4" state="visible" r:id="rId4"/>
    <sheet name="STEP1検証（ゆうこさん調べ）" sheetId="5" state="visible" r:id="rId5"/>
  </sheets>
  <definedNames>
    <definedName name="_xlnm._FilterDatabase" localSheetId="0" hidden="1">'①企画一覧・審査'!$A$5:$W$205</definedName>
  </definedNames>
  <calcPr calcId="124519" fullCalcOnLoad="1"/>
</workbook>
</file>

<file path=xl/styles.xml><?xml version="1.0" encoding="utf-8"?>
<styleSheet xmlns="http://schemas.openxmlformats.org/spreadsheetml/2006/main">
  <numFmts count="0"/>
  <fonts count="23">
    <font>
      <name val="Calibri"/>
      <color theme="1"/>
      <sz val="11"/>
      <scheme val="minor"/>
    </font>
    <font>
      <name val="Arial"/>
      <b val="1"/>
      <color rgb="FF000000"/>
      <sz val="16"/>
    </font>
    <font>
      <name val="Arial"/>
      <color rgb="FF000000"/>
      <sz val="10"/>
    </font>
    <font/>
    <font>
      <name val="Arial"/>
      <b val="1"/>
      <color rgb="FFFFFFFF"/>
      <sz val="12"/>
    </font>
    <font>
      <name val="Arial"/>
      <b val="1"/>
      <color rgb="FF000000"/>
      <sz val="10"/>
    </font>
    <font>
      <name val="Arial"/>
      <b val="1"/>
      <color rgb="FFFFFFFF"/>
      <sz val="10"/>
    </font>
    <font>
      <name val="Arial"/>
      <i val="1"/>
      <color rgb="FF0000FF"/>
      <sz val="10"/>
    </font>
    <font>
      <name val="Arial"/>
      <i val="1"/>
      <color rgb="FF000000"/>
      <sz val="10"/>
    </font>
    <font>
      <b val="1"/>
      <color rgb="00FFFFFF"/>
      <sz val="11"/>
    </font>
    <font>
      <b val="1"/>
      <sz val="10"/>
    </font>
    <font>
      <b val="1"/>
      <sz val="12"/>
    </font>
    <font>
      <b val="1"/>
      <color rgb="001F3864"/>
      <sz val="14"/>
    </font>
    <font>
      <sz val="10"/>
    </font>
    <font>
      <b val="1"/>
      <sz val="11"/>
    </font>
    <font>
      <sz val="11"/>
    </font>
    <font>
      <name val="Arial"/>
      <b val="1"/>
      <color rgb="00000000"/>
      <sz val="14"/>
    </font>
    <font>
      <name val="Arial"/>
      <color rgb="00000000"/>
      <sz val="10"/>
    </font>
    <font>
      <name val="Arial"/>
      <b val="1"/>
      <color rgb="00FFFFFF"/>
      <sz val="10"/>
    </font>
    <font>
      <name val="Arial"/>
      <color rgb="00808080"/>
      <sz val="9"/>
    </font>
    <font>
      <name val="Arial"/>
      <b val="1"/>
      <color rgb="00000000"/>
      <sz val="10"/>
    </font>
    <font>
      <name val="Arial"/>
      <b val="1"/>
      <color rgb="00000000"/>
      <sz val="11"/>
    </font>
    <font>
      <name val="Arial"/>
      <color rgb="00595959"/>
      <sz val="10"/>
    </font>
  </fonts>
  <fills count="36">
    <fill>
      <patternFill/>
    </fill>
    <fill>
      <patternFill patternType="lightGray"/>
    </fill>
    <fill>
      <patternFill patternType="solid">
        <fgColor rgb="FFFFF2CC"/>
        <bgColor rgb="FFFFF2CC"/>
      </patternFill>
    </fill>
    <fill>
      <patternFill patternType="solid">
        <fgColor rgb="FFC00000"/>
        <bgColor rgb="FFC00000"/>
      </patternFill>
    </fill>
    <fill>
      <patternFill patternType="solid">
        <fgColor rgb="FFF8CBAD"/>
        <bgColor rgb="FFF8CBAD"/>
      </patternFill>
    </fill>
    <fill>
      <patternFill patternType="solid">
        <fgColor rgb="FFED7D31"/>
        <bgColor rgb="FFED7D31"/>
      </patternFill>
    </fill>
    <fill>
      <patternFill patternType="solid">
        <fgColor rgb="FFF2F2F2"/>
        <bgColor rgb="FFF2F2F2"/>
      </patternFill>
    </fill>
    <fill>
      <patternFill patternType="solid">
        <fgColor rgb="FFBF8F00"/>
        <bgColor rgb="FFBF8F00"/>
      </patternFill>
    </fill>
    <fill>
      <patternFill patternType="solid">
        <fgColor rgb="FFFFE699"/>
        <bgColor rgb="FFFFE699"/>
      </patternFill>
    </fill>
    <fill>
      <patternFill patternType="solid">
        <fgColor rgb="FF548235"/>
        <bgColor rgb="FF548235"/>
      </patternFill>
    </fill>
    <fill>
      <patternFill patternType="solid">
        <fgColor rgb="FFC5E0B3"/>
        <bgColor rgb="FFC5E0B3"/>
      </patternFill>
    </fill>
    <fill>
      <patternFill patternType="solid">
        <fgColor rgb="FF2F5597"/>
        <bgColor rgb="FF2F5597"/>
      </patternFill>
    </fill>
    <fill>
      <patternFill patternType="solid">
        <fgColor rgb="FFB4C6E7"/>
        <bgColor rgb="FFB4C6E7"/>
      </patternFill>
    </fill>
    <fill>
      <patternFill patternType="solid">
        <fgColor rgb="FF404040"/>
        <bgColor rgb="FF404040"/>
      </patternFill>
    </fill>
    <fill>
      <patternFill patternType="solid">
        <fgColor rgb="FF595959"/>
        <bgColor rgb="FF595959"/>
      </patternFill>
    </fill>
    <fill>
      <patternFill patternType="solid">
        <fgColor rgb="FFFFFFE0"/>
        <bgColor rgb="FFFFFFE0"/>
      </patternFill>
    </fill>
    <fill>
      <patternFill patternType="solid">
        <fgColor rgb="FFFFFFFF"/>
        <bgColor rgb="FFFFFFFF"/>
      </patternFill>
    </fill>
    <fill>
      <patternFill patternType="solid">
        <fgColor rgb="FF7F7F7F"/>
        <bgColor rgb="FF7F7F7F"/>
      </patternFill>
    </fill>
    <fill>
      <patternFill patternType="solid">
        <fgColor rgb="001F3864"/>
      </patternFill>
    </fill>
    <fill>
      <patternFill patternType="solid">
        <fgColor rgb="00E2F0D9"/>
      </patternFill>
    </fill>
    <fill>
      <patternFill patternType="solid">
        <fgColor rgb="00FFF9DB"/>
      </patternFill>
    </fill>
    <fill>
      <patternFill patternType="solid">
        <fgColor rgb="00FFC7CE"/>
      </patternFill>
    </fill>
    <fill>
      <patternFill patternType="solid">
        <fgColor rgb="00DDEBF7"/>
      </patternFill>
    </fill>
    <fill>
      <patternFill patternType="solid">
        <fgColor rgb="00FFF2CC"/>
      </patternFill>
    </fill>
    <fill>
      <patternFill patternType="solid">
        <fgColor rgb="00F2F2F2"/>
      </patternFill>
    </fill>
    <fill>
      <patternFill patternType="solid">
        <fgColor rgb="00404040"/>
      </patternFill>
    </fill>
    <fill>
      <patternFill patternType="solid">
        <fgColor rgb="00C00000"/>
      </patternFill>
    </fill>
    <fill>
      <patternFill patternType="solid">
        <fgColor rgb="00ED7D31"/>
      </patternFill>
    </fill>
    <fill>
      <patternFill patternType="solid">
        <fgColor rgb="00548235"/>
      </patternFill>
    </fill>
    <fill>
      <patternFill patternType="solid">
        <fgColor rgb="00262626"/>
      </patternFill>
    </fill>
    <fill>
      <patternFill patternType="solid">
        <fgColor rgb="002F5597"/>
      </patternFill>
    </fill>
    <fill>
      <patternFill patternType="solid">
        <fgColor rgb="007030A0"/>
      </patternFill>
    </fill>
    <fill>
      <patternFill patternType="solid">
        <fgColor rgb="00A6A6A6"/>
      </patternFill>
    </fill>
    <fill>
      <patternFill patternType="solid">
        <fgColor rgb="00FFFFE0"/>
      </patternFill>
    </fill>
    <fill>
      <patternFill patternType="solid">
        <fgColor rgb="00D9D9D9"/>
      </patternFill>
    </fill>
    <fill>
      <patternFill patternType="solid">
        <fgColor rgb="00FFFF00"/>
      </patternFill>
    </fill>
  </fills>
  <borders count="16">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right style="thin">
        <color rgb="00BFBFBF"/>
      </right>
      <top style="thin">
        <color rgb="00BFBFBF"/>
      </top>
      <bottom style="thin">
        <color rgb="00BFBFBF"/>
      </bottom>
    </border>
    <border>
      <top style="thin">
        <color rgb="00BFBFBF"/>
      </top>
      <bottom style="thin">
        <color rgb="00BFBFBF"/>
      </bottom>
    </border>
  </borders>
  <cellStyleXfs count="1">
    <xf numFmtId="0" fontId="0" fillId="0" borderId="0"/>
  </cellStyleXfs>
  <cellXfs count="96">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vertical="top" wrapText="1"/>
    </xf>
    <xf numFmtId="0" fontId="3" fillId="0" borderId="2" pivotButton="0" quotePrefix="0" xfId="0"/>
    <xf numFmtId="0" fontId="3" fillId="0" borderId="3" pivotButton="0" quotePrefix="0" xfId="0"/>
    <xf numFmtId="0" fontId="4" fillId="3" borderId="1" applyAlignment="1" pivotButton="0" quotePrefix="0" xfId="0">
      <alignment vertical="top" wrapText="1"/>
    </xf>
    <xf numFmtId="0" fontId="5" fillId="4" borderId="4" applyAlignment="1" pivotButton="0" quotePrefix="0" xfId="0">
      <alignment vertical="top" wrapText="1"/>
    </xf>
    <xf numFmtId="0" fontId="5" fillId="4" borderId="5" applyAlignment="1" pivotButton="0" quotePrefix="0" xfId="0">
      <alignment vertical="top" wrapText="1"/>
    </xf>
    <xf numFmtId="0" fontId="3" fillId="0" borderId="6" pivotButton="0" quotePrefix="0" xfId="0"/>
    <xf numFmtId="0" fontId="3" fillId="0" borderId="7" pivotButton="0" quotePrefix="0" xfId="0"/>
    <xf numFmtId="0" fontId="5" fillId="0" borderId="4" applyAlignment="1" pivotButton="0" quotePrefix="0" xfId="0">
      <alignment vertical="top" wrapText="1"/>
    </xf>
    <xf numFmtId="0" fontId="2" fillId="0" borderId="5"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4" fillId="7" borderId="1" applyAlignment="1" pivotButton="0" quotePrefix="0" xfId="0">
      <alignment vertical="top" wrapText="1"/>
    </xf>
    <xf numFmtId="0" fontId="5" fillId="8" borderId="4" applyAlignment="1" pivotButton="0" quotePrefix="0" xfId="0">
      <alignment vertical="top" wrapText="1"/>
    </xf>
    <xf numFmtId="0" fontId="5" fillId="8" borderId="5" applyAlignment="1" pivotButton="0" quotePrefix="0" xfId="0">
      <alignment vertical="top" wrapText="1"/>
    </xf>
    <xf numFmtId="0" fontId="2" fillId="0" borderId="4" applyAlignment="1" pivotButton="0" quotePrefix="0" xfId="0">
      <alignment vertical="top" wrapText="1"/>
    </xf>
    <xf numFmtId="0" fontId="4" fillId="9" borderId="1" applyAlignment="1" pivotButton="0" quotePrefix="0" xfId="0">
      <alignment vertical="top" wrapText="1"/>
    </xf>
    <xf numFmtId="0" fontId="5" fillId="10" borderId="4" applyAlignment="1" pivotButton="0" quotePrefix="0" xfId="0">
      <alignment vertical="top" wrapText="1"/>
    </xf>
    <xf numFmtId="0" fontId="5" fillId="10" borderId="5" applyAlignment="1" pivotButton="0" quotePrefix="0" xfId="0">
      <alignment vertical="top" wrapText="1"/>
    </xf>
    <xf numFmtId="0" fontId="4" fillId="11" borderId="1" applyAlignment="1" pivotButton="0" quotePrefix="0" xfId="0">
      <alignment vertical="top" wrapText="1"/>
    </xf>
    <xf numFmtId="0" fontId="5" fillId="12" borderId="4" applyAlignment="1" pivotButton="0" quotePrefix="0" xfId="0">
      <alignment vertical="top" wrapText="1"/>
    </xf>
    <xf numFmtId="0" fontId="5" fillId="12" borderId="5" applyAlignment="1" pivotButton="0" quotePrefix="0" xfId="0">
      <alignment vertical="top" wrapText="1"/>
    </xf>
    <xf numFmtId="0" fontId="4" fillId="13" borderId="1" applyAlignment="1" pivotButton="0" quotePrefix="0" xfId="0">
      <alignment vertical="top" wrapText="1"/>
    </xf>
    <xf numFmtId="0" fontId="6" fillId="14" borderId="4" applyAlignment="1" pivotButton="0" quotePrefix="0" xfId="0">
      <alignment vertical="top" wrapText="1"/>
    </xf>
    <xf numFmtId="0" fontId="7" fillId="15" borderId="4" applyAlignment="1" pivotButton="0" quotePrefix="0" xfId="0">
      <alignment vertical="top" wrapText="1"/>
    </xf>
    <xf numFmtId="0" fontId="7" fillId="15" borderId="4" applyAlignment="1" pivotButton="0" quotePrefix="0" xfId="0">
      <alignment horizontal="center" vertical="top"/>
    </xf>
    <xf numFmtId="0" fontId="8" fillId="16" borderId="4" applyAlignment="1" pivotButton="0" quotePrefix="0" xfId="0">
      <alignment horizontal="center" vertical="top" wrapText="1"/>
    </xf>
    <xf numFmtId="0" fontId="8" fillId="16" borderId="4" applyAlignment="1" pivotButton="0" quotePrefix="0" xfId="0">
      <alignment horizontal="center" vertical="top"/>
    </xf>
    <xf numFmtId="0" fontId="2" fillId="15" borderId="4" applyAlignment="1" pivotButton="0" quotePrefix="0" xfId="0">
      <alignment vertical="top" wrapText="1"/>
    </xf>
    <xf numFmtId="0" fontId="2" fillId="15" borderId="4" applyAlignment="1" pivotButton="0" quotePrefix="0" xfId="0">
      <alignment horizontal="center" vertical="top"/>
    </xf>
    <xf numFmtId="0" fontId="2" fillId="16" borderId="4" applyAlignment="1" pivotButton="0" quotePrefix="0" xfId="0">
      <alignment horizontal="center" vertical="top" wrapText="1"/>
    </xf>
    <xf numFmtId="0" fontId="2" fillId="16" borderId="4" applyAlignment="1" pivotButton="0" quotePrefix="0" xfId="0">
      <alignment horizontal="center" vertical="top"/>
    </xf>
    <xf numFmtId="0" fontId="4" fillId="17" borderId="1" applyAlignment="1" pivotButton="0" quotePrefix="0" xfId="0">
      <alignment vertical="top" wrapText="1"/>
    </xf>
    <xf numFmtId="0" fontId="0" fillId="0" borderId="0" pivotButton="0" quotePrefix="0" xfId="0"/>
    <xf numFmtId="0" fontId="2" fillId="2" borderId="10" applyAlignment="1" pivotButton="0" quotePrefix="0" xfId="0">
      <alignment vertical="top" wrapText="1"/>
    </xf>
    <xf numFmtId="0" fontId="4" fillId="3" borderId="10" applyAlignment="1" pivotButton="0" quotePrefix="0" xfId="0">
      <alignment vertical="top" wrapText="1"/>
    </xf>
    <xf numFmtId="0" fontId="0" fillId="0" borderId="6" pivotButton="0" quotePrefix="0" xfId="0"/>
    <xf numFmtId="0" fontId="0" fillId="0" borderId="7" pivotButton="0" quotePrefix="0" xfId="0"/>
    <xf numFmtId="0" fontId="4" fillId="5" borderId="10" applyAlignment="1" pivotButton="0" quotePrefix="0" xfId="0">
      <alignment vertical="top" wrapText="1"/>
    </xf>
    <xf numFmtId="0" fontId="2" fillId="6" borderId="10" applyAlignment="1" pivotButton="0" quotePrefix="0" xfId="0">
      <alignment vertical="top" wrapText="1"/>
    </xf>
    <xf numFmtId="0" fontId="4" fillId="7" borderId="10" applyAlignment="1" pivotButton="0" quotePrefix="0" xfId="0">
      <alignment vertical="top" wrapText="1"/>
    </xf>
    <xf numFmtId="0" fontId="4" fillId="9" borderId="10" applyAlignment="1" pivotButton="0" quotePrefix="0" xfId="0">
      <alignment vertical="top" wrapText="1"/>
    </xf>
    <xf numFmtId="0" fontId="4" fillId="11" borderId="10" applyAlignment="1" pivotButton="0" quotePrefix="0" xfId="0">
      <alignment vertical="top" wrapText="1"/>
    </xf>
    <xf numFmtId="0" fontId="4" fillId="13" borderId="10" applyAlignment="1" pivotButton="0" quotePrefix="0" xfId="0">
      <alignment vertical="top" wrapText="1"/>
    </xf>
    <xf numFmtId="0" fontId="9" fillId="18" borderId="0" applyAlignment="1" pivotButton="0" quotePrefix="0" xfId="0">
      <alignment horizontal="center" vertical="center" wrapText="1"/>
    </xf>
    <xf numFmtId="0" fontId="10" fillId="15" borderId="11" applyAlignment="1" pivotButton="0" quotePrefix="0" xfId="0">
      <alignment vertical="top" wrapText="1"/>
    </xf>
    <xf numFmtId="0" fontId="2" fillId="15" borderId="11" applyAlignment="1" pivotButton="0" quotePrefix="0" xfId="0">
      <alignment vertical="top"/>
    </xf>
    <xf numFmtId="0" fontId="2" fillId="15" borderId="11" applyAlignment="1" pivotButton="0" quotePrefix="0" xfId="0">
      <alignment vertical="top" wrapText="1"/>
    </xf>
    <xf numFmtId="0" fontId="2" fillId="19" borderId="11" applyAlignment="1" pivotButton="0" quotePrefix="0" xfId="0">
      <alignment horizontal="center" vertical="center"/>
    </xf>
    <xf numFmtId="0" fontId="10" fillId="16" borderId="11" applyAlignment="1" pivotButton="0" quotePrefix="0" xfId="0">
      <alignment horizontal="center" vertical="center" wrapText="1"/>
    </xf>
    <xf numFmtId="0" fontId="2" fillId="20" borderId="11" applyAlignment="1" pivotButton="0" quotePrefix="0" xfId="0">
      <alignment horizontal="center" vertical="center"/>
    </xf>
    <xf numFmtId="0" fontId="11" fillId="16" borderId="11" applyAlignment="1" pivotButton="0" quotePrefix="0" xfId="0">
      <alignment horizontal="center" vertical="center"/>
    </xf>
    <xf numFmtId="0" fontId="0" fillId="0" borderId="11" applyAlignment="1" pivotButton="0" quotePrefix="0" xfId="0">
      <alignment vertical="top" wrapText="1"/>
    </xf>
    <xf numFmtId="0" fontId="2" fillId="21" borderId="11" applyAlignment="1" pivotButton="0" quotePrefix="0" xfId="0">
      <alignment horizontal="center" vertical="center"/>
    </xf>
    <xf numFmtId="0" fontId="4" fillId="17" borderId="10" applyAlignment="1" pivotButton="0" quotePrefix="0" xfId="0">
      <alignment vertical="top" wrapText="1"/>
    </xf>
    <xf numFmtId="0" fontId="12" fillId="0" borderId="0" pivotButton="0" quotePrefix="0" xfId="0"/>
    <xf numFmtId="0" fontId="13" fillId="0" borderId="0" pivotButton="0" quotePrefix="0" xfId="0"/>
    <xf numFmtId="0" fontId="11" fillId="22" borderId="0" pivotButton="0" quotePrefix="0" xfId="0"/>
    <xf numFmtId="0" fontId="14" fillId="0" borderId="0" pivotButton="0" quotePrefix="0" xfId="0"/>
    <xf numFmtId="0" fontId="15" fillId="0" borderId="0" pivotButton="0" quotePrefix="0" xfId="0"/>
    <xf numFmtId="0" fontId="15" fillId="0" borderId="0" applyAlignment="1" pivotButton="0" quotePrefix="0" xfId="0">
      <alignment vertical="top" wrapText="1"/>
    </xf>
    <xf numFmtId="0" fontId="14" fillId="22" borderId="0" pivotButton="0" quotePrefix="0" xfId="0"/>
    <xf numFmtId="0" fontId="15" fillId="23" borderId="0" applyAlignment="1" pivotButton="0" quotePrefix="0" xfId="0">
      <alignment vertical="top" wrapText="1"/>
    </xf>
    <xf numFmtId="0" fontId="11" fillId="23" borderId="0" pivotButton="0" quotePrefix="0" xfId="0"/>
    <xf numFmtId="0" fontId="10" fillId="0" borderId="11" applyAlignment="1" pivotButton="0" quotePrefix="0" xfId="0">
      <alignment vertical="top" wrapText="1"/>
    </xf>
    <xf numFmtId="0" fontId="0" fillId="0" borderId="11" applyAlignment="1" pivotButton="0" quotePrefix="0" xfId="0">
      <alignment vertical="top"/>
    </xf>
    <xf numFmtId="0" fontId="0" fillId="19" borderId="11" applyAlignment="1" pivotButton="0" quotePrefix="0" xfId="0">
      <alignment horizontal="center" vertical="center"/>
    </xf>
    <xf numFmtId="0" fontId="10" fillId="0" borderId="11" applyAlignment="1" pivotButton="0" quotePrefix="0" xfId="0">
      <alignment horizontal="center" vertical="center" wrapText="1"/>
    </xf>
    <xf numFmtId="0" fontId="0" fillId="20" borderId="11" applyAlignment="1" pivotButton="0" quotePrefix="0" xfId="0">
      <alignment horizontal="center" vertical="center"/>
    </xf>
    <xf numFmtId="0" fontId="11" fillId="0" borderId="11" applyAlignment="1" pivotButton="0" quotePrefix="0" xfId="0">
      <alignment horizontal="center" vertical="center"/>
    </xf>
    <xf numFmtId="0" fontId="0" fillId="21" borderId="11" applyAlignment="1" pivotButton="0" quotePrefix="0" xfId="0">
      <alignment horizontal="center" vertical="center"/>
    </xf>
    <xf numFmtId="0" fontId="16" fillId="0" borderId="0" applyAlignment="1" pivotButton="0" quotePrefix="0" xfId="0">
      <alignment vertical="top" wrapText="1"/>
    </xf>
    <xf numFmtId="0" fontId="17" fillId="23" borderId="0" applyAlignment="1" pivotButton="0" quotePrefix="0" xfId="0">
      <alignment vertical="top" wrapText="1"/>
    </xf>
    <xf numFmtId="0" fontId="17" fillId="24" borderId="0" applyAlignment="1" pivotButton="0" quotePrefix="0" xfId="0">
      <alignment vertical="top" wrapText="1"/>
    </xf>
    <xf numFmtId="0" fontId="18" fillId="25" borderId="11" applyAlignment="1" pivotButton="0" quotePrefix="0" xfId="0">
      <alignment horizontal="center" vertical="center" wrapText="1"/>
    </xf>
    <xf numFmtId="0" fontId="18" fillId="26" borderId="11" applyAlignment="1" pivotButton="0" quotePrefix="0" xfId="0">
      <alignment horizontal="center" vertical="center" wrapText="1"/>
    </xf>
    <xf numFmtId="0" fontId="18" fillId="27" borderId="11" applyAlignment="1" pivotButton="0" quotePrefix="0" xfId="0">
      <alignment horizontal="center" vertical="center" wrapText="1"/>
    </xf>
    <xf numFmtId="0" fontId="18" fillId="28" borderId="11" applyAlignment="1" pivotButton="0" quotePrefix="0" xfId="0">
      <alignment horizontal="center" vertical="center" wrapText="1"/>
    </xf>
    <xf numFmtId="0" fontId="18" fillId="29" borderId="11" applyAlignment="1" pivotButton="0" quotePrefix="0" xfId="0">
      <alignment horizontal="center" vertical="center" wrapText="1"/>
    </xf>
    <xf numFmtId="0" fontId="18" fillId="30" borderId="11" applyAlignment="1" pivotButton="0" quotePrefix="0" xfId="0">
      <alignment horizontal="center" vertical="center" wrapText="1"/>
    </xf>
    <xf numFmtId="0" fontId="18" fillId="31" borderId="11" applyAlignment="1" pivotButton="0" quotePrefix="0" xfId="0">
      <alignment horizontal="center" vertical="center" wrapText="1"/>
    </xf>
    <xf numFmtId="0" fontId="18" fillId="32" borderId="11" applyAlignment="1" pivotButton="0" quotePrefix="0" xfId="0">
      <alignment horizontal="center" vertical="center" wrapText="1"/>
    </xf>
    <xf numFmtId="0" fontId="17" fillId="0" borderId="11" applyAlignment="1" pivotButton="0" quotePrefix="0" xfId="0">
      <alignment horizontal="center" vertical="center" wrapText="1"/>
    </xf>
    <xf numFmtId="0" fontId="17" fillId="33" borderId="11" applyAlignment="1" pivotButton="0" quotePrefix="0" xfId="0">
      <alignment horizontal="center" vertical="center" wrapText="1"/>
    </xf>
    <xf numFmtId="0" fontId="17" fillId="33" borderId="11" applyAlignment="1" pivotButton="0" quotePrefix="0" xfId="0">
      <alignment vertical="top" wrapText="1"/>
    </xf>
    <xf numFmtId="0" fontId="19" fillId="0" borderId="11" applyAlignment="1" pivotButton="0" quotePrefix="0" xfId="0">
      <alignment vertical="top" wrapText="1"/>
    </xf>
    <xf numFmtId="0" fontId="20" fillId="34" borderId="11" applyAlignment="1" pivotButton="0" quotePrefix="0" xfId="0">
      <alignment vertical="top" wrapText="1"/>
    </xf>
    <xf numFmtId="0" fontId="0" fillId="0" borderId="14" pivotButton="0" quotePrefix="0" xfId="0"/>
    <xf numFmtId="0" fontId="21" fillId="35" borderId="11" applyAlignment="1" pivotButton="0" quotePrefix="0" xfId="0">
      <alignment horizontal="center" vertical="center" wrapText="1"/>
    </xf>
    <xf numFmtId="0" fontId="22" fillId="0" borderId="0" applyAlignment="1" pivotButton="0" quotePrefix="0" xfId="0">
      <alignment vertical="top" wrapText="1"/>
    </xf>
    <xf numFmtId="0" fontId="20" fillId="0" borderId="0" applyAlignment="1" pivotButton="0" quotePrefix="0" xfId="0">
      <alignment vertical="top" wrapText="1"/>
    </xf>
    <xf numFmtId="0" fontId="17" fillId="0" borderId="11" applyAlignment="1" pivotButton="0" quotePrefix="0" xfId="0">
      <alignment vertical="top" wrapText="1"/>
    </xf>
    <xf numFmtId="0" fontId="20" fillId="0" borderId="11" applyAlignment="1" pivotButton="0" quotePrefix="0" xfId="0">
      <alignment vertical="top" wrapText="1"/>
    </xf>
    <xf numFmtId="0" fontId="0" fillId="0" borderId="15" pivotButton="0" quotePrefix="0" xfId="0"/>
  </cellXfs>
  <cellStyles count="1">
    <cellStyle name="Normal" xfId="0" builtinId="0"/>
  </cellStyles>
  <dxfs count="9">
    <dxf>
      <font>
        <b val="1"/>
        <color rgb="00006100"/>
      </font>
      <fill>
        <patternFill patternType="solid">
          <fgColor rgb="00C6EFCE"/>
        </patternFill>
      </fill>
    </dxf>
    <dxf>
      <font>
        <b val="1"/>
        <color rgb="009C5700"/>
      </font>
      <fill>
        <patternFill patternType="solid">
          <fgColor rgb="00FFEB9C"/>
        </patternFill>
      </fill>
    </dxf>
    <dxf>
      <font>
        <b val="1"/>
        <color rgb="009C0006"/>
      </font>
      <fill>
        <patternFill patternType="solid">
          <fgColor rgb="00FFC7CE"/>
        </patternFill>
      </fill>
    </dxf>
    <dxf>
      <font>
        <b val="1"/>
        <color rgb="001F4E78"/>
      </font>
      <fill>
        <patternFill patternType="solid">
          <fgColor rgb="00DDEBF7"/>
        </patternFill>
      </fill>
    </dxf>
    <dxf>
      <font>
        <b val="1"/>
        <color rgb="00833C0B"/>
      </font>
      <fill>
        <patternFill patternType="solid">
          <fgColor rgb="00FCE4D6"/>
        </patternFill>
      </fill>
    </dxf>
    <dxf>
      <font>
        <b val="1"/>
        <color rgb="00595959"/>
      </font>
      <fill>
        <patternFill patternType="solid">
          <fgColor rgb="00F2F2F2"/>
        </patternFill>
      </fill>
    </dxf>
    <dxf>
      <font>
        <strike val="1"/>
        <color rgb="00A6A6A6"/>
      </font>
    </dxf>
    <dxf>
      <font>
        <b val="1"/>
        <color rgb="00FFFFFF"/>
      </font>
      <fill>
        <patternFill patternType="solid">
          <fgColor rgb="007030A0"/>
        </patternFill>
      </fill>
    </dxf>
    <dxf>
      <font>
        <b val="1"/>
      </font>
      <fill>
        <patternFill patternType="solid">
          <fgColor rgb="00E4DFE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審査ガイド</author>
  </authors>
  <commentList>
    <comment ref="J5" authorId="0" shapeId="0">
      <text>
        <t>予算・時間・スキル・出演者（受講生やゲスト）の協力は本当に用意できる？</t>
      </text>
    </comment>
    <comment ref="K5" authorId="0" shapeId="0">
      <text>
        <t>チャンネル名と顔を隠して、タイトルとサムネだけ見せても知らない人がクリックする？</t>
      </text>
    </comment>
    <comment ref="L5" authorId="0" shapeId="0">
      <text>
        <t>今の視聴者（IELTS学習者・留学検討者）の8割以上が見たいと思う？</t>
      </text>
    </comment>
    <comment ref="M5" authorId="0" shapeId="0">
      <text>
        <t>Long 3,000再生／Shorts 10,000再生を狙える？（転換枠は『相談・申込への導線になるか』で判定）</t>
      </text>
    </comment>
    <comment ref="N5" authorId="0" shapeId="0">
      <text>
        <t>チャンネルの使命（英語環境ゼロからIELTS・大学院へ）に合う？バズ狙いだけになっていない？</t>
      </text>
    </comment>
    <comment ref="O5" authorId="0" shapeId="0">
      <text>
        <t>クリックしたくなるタイトルとサムネが今すぐ書ける？書けなければ△か×</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style="35" min="1" max="1"/>
    <col width="7" customWidth="1" style="35" min="2" max="2"/>
    <col width="30" customWidth="1" style="35" min="3" max="3"/>
    <col width="14" customWidth="1" style="35" min="4" max="4"/>
    <col width="10" customWidth="1" style="35" min="5" max="5"/>
    <col width="30" customWidth="1" style="35" min="6" max="6"/>
    <col width="18" customWidth="1" style="35" min="7" max="7"/>
    <col width="18" customWidth="1" style="35" min="8" max="8"/>
    <col width="30" customWidth="1" style="35" min="9" max="9"/>
    <col width="7" customWidth="1" style="35" min="10" max="10"/>
    <col width="7" customWidth="1" style="35" min="11" max="11"/>
    <col width="7" customWidth="1" style="35" min="12" max="12"/>
    <col width="8" customWidth="1" style="35" min="13" max="13"/>
    <col width="8" customWidth="1" style="35" min="14" max="14"/>
    <col width="7" customWidth="1" style="35" min="15" max="15"/>
    <col width="16" customWidth="1" style="35" min="16" max="16"/>
    <col width="7" customWidth="1" style="35" min="17" max="17"/>
    <col width="7" customWidth="1" style="35" min="18" max="18"/>
    <col width="7" customWidth="1" style="35" min="19" max="19"/>
    <col width="7" customWidth="1" style="35" min="20" max="20"/>
    <col width="10" customWidth="1" style="35" min="21" max="21"/>
    <col width="28" customWidth="1" style="35" min="22" max="22"/>
    <col width="9" customWidth="1" style="35" min="23" max="23"/>
  </cols>
  <sheetData>
    <row r="1">
      <c r="A1" s="73" t="inlineStr">
        <is>
          <t>企画パイプライン：一覧 → STEP4 チェック → STEP5 採点 → ランキング</t>
        </is>
      </c>
    </row>
    <row r="2" ht="42" customHeight="1" s="35">
      <c r="A2" s="74" t="inlineStr">
        <is>
          <t>使い方：①黄色セルだけ記入 → ②STEP4の6項目を ○（はい）/△（直せばいける）/×（いいえ）で審査 → ③ステータスが「◎ 候補リスト」になったものだけ STEP5 を採点 → ④「②候補ランキング」シートで優先軸を選ぶと順位が出る → ⑤「最終判断」で制作決定／保留／ボツを決める。  新しい企画は空いている行に追加するだけで自動判定されます。</t>
        </is>
      </c>
    </row>
    <row r="3">
      <c r="A3" s="75" t="inlineStr">
        <is>
          <t>ステータスの流れ： ① STEP1待ち → ② フォーマット・アングル未記入 → ③ STEP4 審査待ち → （×が1つでも）✕ ボツ候補 ／ （△あり）△ 修正して再審査 ／ （全部○）◎ 候補リスト</t>
        </is>
      </c>
    </row>
    <row r="4">
      <c r="A4" s="76" t="inlineStr">
        <is>
          <t>基本</t>
        </is>
      </c>
      <c r="E4" s="77" t="inlineStr">
        <is>
          <t>STEP1</t>
        </is>
      </c>
      <c r="G4" s="78" t="inlineStr">
        <is>
          <t>STEP2-3</t>
        </is>
      </c>
      <c r="J4" s="79" t="inlineStr">
        <is>
          <t>STEP4</t>
        </is>
      </c>
      <c r="P4" s="80" t="inlineStr">
        <is>
          <t>判定</t>
        </is>
      </c>
      <c r="Q4" s="81" t="inlineStr">
        <is>
          <t>STEP5</t>
        </is>
      </c>
      <c r="U4" s="82" t="inlineStr">
        <is>
          <t>判断</t>
        </is>
      </c>
      <c r="W4" s="83" t="inlineStr">
        <is>
          <t>内部</t>
        </is>
      </c>
    </row>
    <row r="5" ht="34" customHeight="1" s="35">
      <c r="A5" s="76" t="inlineStr">
        <is>
          <t>ID</t>
        </is>
      </c>
      <c r="B5" s="76" t="inlineStr">
        <is>
          <t>区分</t>
        </is>
      </c>
      <c r="C5" s="76" t="inlineStr">
        <is>
          <t>企画名</t>
        </is>
      </c>
      <c r="D5" s="76" t="inlineStr">
        <is>
          <t>トピック</t>
        </is>
      </c>
      <c r="E5" s="77" t="inlineStr">
        <is>
          <t>STEP1
検証結果</t>
        </is>
      </c>
      <c r="F5" s="77" t="inlineStr">
        <is>
          <t>STEP1 根拠・メモ</t>
        </is>
      </c>
      <c r="G5" s="78" t="inlineStr">
        <is>
          <t>STEP2
フォーマット</t>
        </is>
      </c>
      <c r="H5" s="78" t="inlineStr">
        <is>
          <t>STEP3
アングル</t>
        </is>
      </c>
      <c r="I5" s="78" t="inlineStr">
        <is>
          <t>タイトル／サムネ案</t>
        </is>
      </c>
      <c r="J5" s="79" t="inlineStr">
        <is>
          <t>①実現
可能性</t>
        </is>
      </c>
      <c r="K5" s="79" t="inlineStr">
        <is>
          <t>②新規
視聴者</t>
        </is>
      </c>
      <c r="L5" s="79" t="inlineStr">
        <is>
          <t>③既存
視聴者</t>
        </is>
      </c>
      <c r="M5" s="79" t="inlineStr">
        <is>
          <t>④再生
ポテンシャル</t>
        </is>
      </c>
      <c r="N5" s="79" t="inlineStr">
        <is>
          <t>⑤ブランド
親和性</t>
        </is>
      </c>
      <c r="O5" s="79" t="inlineStr">
        <is>
          <t>⑥パッケー
ジ化</t>
        </is>
      </c>
      <c r="P5" s="80" t="inlineStr">
        <is>
          <t>ステータス
（自動）</t>
        </is>
      </c>
      <c r="Q5" s="81" t="inlineStr">
        <is>
          <t>ワクワク</t>
        </is>
      </c>
      <c r="R5" s="81" t="inlineStr">
        <is>
          <t>労力
(1=楽)</t>
        </is>
      </c>
      <c r="S5" s="81" t="inlineStr">
        <is>
          <t>確信度</t>
        </is>
      </c>
      <c r="T5" s="81" t="inlineStr">
        <is>
          <t>合計
（自動）</t>
        </is>
      </c>
      <c r="U5" s="82" t="inlineStr">
        <is>
          <t>最終判断</t>
        </is>
      </c>
      <c r="V5" s="82" t="inlineStr">
        <is>
          <t>審査メモ</t>
        </is>
      </c>
      <c r="W5" s="83" t="inlineStr">
        <is>
          <t>並べ替え
キー</t>
        </is>
      </c>
    </row>
    <row r="6" ht="30" customHeight="1" s="35">
      <c r="A6" s="84">
        <f>IF(C6="","",ROW()-5)</f>
        <v/>
      </c>
      <c r="B6" s="85" t="inlineStr">
        <is>
          <t>本命</t>
        </is>
      </c>
      <c r="C6" s="86" t="inlineStr">
        <is>
          <t>受講生のスピーキング模試を全部見せる＋フィードバック解説</t>
        </is>
      </c>
      <c r="D6" s="86" t="inlineStr">
        <is>
          <t>IELTS Speaking</t>
        </is>
      </c>
      <c r="E6" s="85" t="inlineStr">
        <is>
          <t>通過</t>
        </is>
      </c>
      <c r="F6" s="86" t="inlineStr">
        <is>
          <t>STEP1通過（Speaking・模試＋フィードバック解説型が繰り返し当たっている）。根拠：ORIENT ACADEMY 58x／76,246再生／登録1,610人</t>
        </is>
      </c>
      <c r="G6" s="86" t="inlineStr">
        <is>
          <t>チュートリアル×インタビュー（模試通し＋解説）</t>
        </is>
      </c>
      <c r="H6" s="86" t="inlineStr">
        <is>
          <t>変身・変化 × 親近感</t>
        </is>
      </c>
      <c r="I6" s="86" t="inlineStr">
        <is>
          <t>「Band 6.0の受講生が3週間で7.0を取るまで（模試を全公開）」／スコア表のビフォーアフター</t>
        </is>
      </c>
      <c r="J6" s="85" t="n"/>
      <c r="K6" s="85" t="n"/>
      <c r="L6" s="85" t="n"/>
      <c r="M6" s="85" t="n"/>
      <c r="N6" s="85" t="n"/>
      <c r="O6" s="85" t="n"/>
      <c r="P6" s="84">
        <f>IF(C6="","",IF(OR(E6="",E6="未検証"),"① STEP1待ち",IF(E6="不通過","✕ STEP1不通過",IF(OR(G6="",H6=""),"② STEP2-3 未記入",IF(COUNTIF(J6:O6,"×")&gt;0,"✕ ボツ候補",IF(COUNTA(J6:O6)&lt;6,"③ STEP4 審査待ち",IF(COUNTIF(J6:O6,"△")&gt;0,"△ 修正して再審査","◎ 候補リスト")))))))</f>
        <v/>
      </c>
      <c r="Q6" s="85" t="n">
        <v>8</v>
      </c>
      <c r="R6" s="85" t="n">
        <v>8</v>
      </c>
      <c r="S6" s="85" t="n">
        <v>9</v>
      </c>
      <c r="T6" s="84">
        <f>IF(COUNT(Q6:S6)&lt;3,"",Q6+(11-R6)+S6)</f>
        <v/>
      </c>
      <c r="U6" s="85" t="n"/>
      <c r="V6" s="86" t="n"/>
      <c r="W6" s="87">
        <f>IF(AND(P6="◎ 候補リスト",U6&lt;&gt;"ボツ",U6&lt;&gt;"制作済み",T6&lt;&gt;"",OR('②候補ランキング'!$C$5="すべて",B6='②候補ランキング'!$C$5)),IF('②候補ランキング'!$C$4="ワクワク",Q6,IF('②候補ランキング'!$C$4="手軽さ",11-R6,IF('②候補ランキング'!$C$4="確信度",S6,T6)))*1000+T6+(1000-A6)/10000,"")</f>
        <v/>
      </c>
    </row>
    <row r="7" ht="30" customHeight="1" s="35">
      <c r="A7" s="84">
        <f>IF(C7="","",ROW()-5)</f>
        <v/>
      </c>
      <c r="B7" s="85" t="inlineStr">
        <is>
          <t>本命</t>
        </is>
      </c>
      <c r="C7" s="86" t="inlineStr">
        <is>
          <t>Part1〜3 通し模試（ゲスト受験者）</t>
        </is>
      </c>
      <c r="D7" s="86" t="inlineStr">
        <is>
          <t>IELTS Speaking</t>
        </is>
      </c>
      <c r="E7" s="85" t="inlineStr">
        <is>
          <t>通過</t>
        </is>
      </c>
      <c r="F7" s="86" t="inlineStr">
        <is>
          <t>STEP1通過。根拠：BBC GLOBAL EDUCATION 6.9x／11,926再生／登録40,400人（21日前）</t>
        </is>
      </c>
      <c r="G7" s="86" t="inlineStr">
        <is>
          <t>チャレンジ×インタビュー</t>
        </is>
      </c>
      <c r="H7" s="86" t="inlineStr">
        <is>
          <t>網羅的（コンプリート）× 比較</t>
        </is>
      </c>
      <c r="I7" s="86" t="inlineStr">
        <is>
          <t>「Part1〜3を最初から最後まで通しで受けてみた」／Band別に並べた比較サムネ</t>
        </is>
      </c>
      <c r="J7" s="85" t="n"/>
      <c r="K7" s="85" t="n"/>
      <c r="L7" s="85" t="n"/>
      <c r="M7" s="85" t="n"/>
      <c r="N7" s="85" t="n"/>
      <c r="O7" s="85" t="n"/>
      <c r="P7" s="84">
        <f>IF(C7="","",IF(OR(E7="",E7="未検証"),"① STEP1待ち",IF(E7="不通過","✕ STEP1不通過",IF(OR(G7="",H7=""),"② STEP2-3 未記入",IF(COUNTIF(J7:O7,"×")&gt;0,"✕ ボツ候補",IF(COUNTA(J7:O7)&lt;6,"③ STEP4 審査待ち",IF(COUNTIF(J7:O7,"△")&gt;0,"△ 修正して再審査","◎ 候補リスト")))))))</f>
        <v/>
      </c>
      <c r="Q7" s="85" t="n">
        <v>7</v>
      </c>
      <c r="R7" s="85" t="n">
        <v>8</v>
      </c>
      <c r="S7" s="85" t="n">
        <v>9</v>
      </c>
      <c r="T7" s="84">
        <f>IF(COUNT(Q7:S7)&lt;3,"",Q7+(11-R7)+S7)</f>
        <v/>
      </c>
      <c r="U7" s="85" t="n"/>
      <c r="V7" s="86" t="n"/>
      <c r="W7" s="87">
        <f>IF(AND(P7="◎ 候補リスト",U7&lt;&gt;"ボツ",U7&lt;&gt;"制作済み",T7&lt;&gt;"",OR('②候補ランキング'!$C$5="すべて",B7='②候補ランキング'!$C$5)),IF('②候補ランキング'!$C$4="ワクワク",Q7,IF('②候補ランキング'!$C$4="手軽さ",11-R7,IF('②候補ランキング'!$C$4="確信度",S7,T7)))*1000+T7+(1000-A7)/10000,"")</f>
        <v/>
      </c>
    </row>
    <row r="8" ht="30" customHeight="1" s="35">
      <c r="A8" s="84">
        <f>IF(C8="","",ROW()-5)</f>
        <v/>
      </c>
      <c r="B8" s="85" t="inlineStr">
        <is>
          <t>本命</t>
        </is>
      </c>
      <c r="C8" s="86" t="inlineStr">
        <is>
          <t>スコアが伸びない回答を1つずつ採点・改善</t>
        </is>
      </c>
      <c r="D8" s="86" t="inlineStr">
        <is>
          <t>IELTS Speaking</t>
        </is>
      </c>
      <c r="E8" s="85" t="inlineStr">
        <is>
          <t>通過</t>
        </is>
      </c>
      <c r="F8" s="86" t="inlineStr">
        <is>
          <t>STEP1通過（フィードバック解説が当たり型の核）。添削700件の実績が参入障壁として機能</t>
        </is>
      </c>
      <c r="G8" s="86" t="inlineStr">
        <is>
          <t>チュートリアル×コメンタリー</t>
        </is>
      </c>
      <c r="H8" s="86" t="inlineStr">
        <is>
          <t>比較（悪い回答 vs 改善回答）</t>
        </is>
      </c>
      <c r="I8" s="86" t="inlineStr">
        <is>
          <t>「この回答、なぜ6.0なのか？」／実際の解答を赤入れして見せる</t>
        </is>
      </c>
      <c r="J8" s="85" t="n"/>
      <c r="K8" s="85" t="n"/>
      <c r="L8" s="85" t="n"/>
      <c r="M8" s="85" t="n"/>
      <c r="N8" s="85" t="n"/>
      <c r="O8" s="85" t="n"/>
      <c r="P8" s="84">
        <f>IF(C8="","",IF(OR(E8="",E8="未検証"),"① STEP1待ち",IF(E8="不通過","✕ STEP1不通過",IF(OR(G8="",H8=""),"② STEP2-3 未記入",IF(COUNTIF(J8:O8,"×")&gt;0,"✕ ボツ候補",IF(COUNTA(J8:O8)&lt;6,"③ STEP4 審査待ち",IF(COUNTIF(J8:O8,"△")&gt;0,"△ 修正して再審査","◎ 候補リスト")))))))</f>
        <v/>
      </c>
      <c r="Q8" s="85" t="n">
        <v>7</v>
      </c>
      <c r="R8" s="85" t="n">
        <v>5</v>
      </c>
      <c r="S8" s="85" t="n">
        <v>9</v>
      </c>
      <c r="T8" s="84">
        <f>IF(COUNT(Q8:S8)&lt;3,"",Q8+(11-R8)+S8)</f>
        <v/>
      </c>
      <c r="U8" s="85" t="n"/>
      <c r="V8" s="86" t="n"/>
      <c r="W8" s="87">
        <f>IF(AND(P8="◎ 候補リスト",U8&lt;&gt;"ボツ",U8&lt;&gt;"制作済み",T8&lt;&gt;"",OR('②候補ランキング'!$C$5="すべて",B8='②候補ランキング'!$C$5)),IF('②候補ランキング'!$C$4="ワクワク",Q8,IF('②候補ランキング'!$C$4="手軽さ",11-R8,IF('②候補ランキング'!$C$4="確信度",S8,T8)))*1000+T8+(1000-A8)/10000,"")</f>
        <v/>
      </c>
    </row>
    <row r="9" ht="30" customHeight="1" s="35">
      <c r="A9" s="84">
        <f>IF(C9="","",ROW()-5)</f>
        <v/>
      </c>
      <c r="B9" s="85" t="inlineStr">
        <is>
          <t>本命</t>
        </is>
      </c>
      <c r="C9" s="86" t="inlineStr">
        <is>
          <t>言い換え（Paraphrasing）マスター</t>
        </is>
      </c>
      <c r="D9" s="86" t="inlineStr">
        <is>
          <t>IELTS Writing</t>
        </is>
      </c>
      <c r="E9" s="85" t="inlineStr">
        <is>
          <t>通過</t>
        </is>
      </c>
      <c r="F9" s="86" t="inlineStr">
        <is>
          <t>STEP1通過。根拠：Paraphrasing Masterclass &gt;100x／117,729再生／登録8,670人（Speaking・Writing共通の最大アウトライアー）</t>
        </is>
      </c>
      <c r="G9" s="86" t="inlineStr">
        <is>
          <t>チュートリアル（×リスト）</t>
        </is>
      </c>
      <c r="H9" s="86" t="inlineStr">
        <is>
          <t>明確なリスト（数字）× 網羅的</t>
        </is>
      </c>
      <c r="I9" s="86" t="inlineStr">
        <is>
          <t>「IELTS言い換え術：Band 7+のための5つの戦略」／Before-Afterの文比較</t>
        </is>
      </c>
      <c r="J9" s="85" t="n"/>
      <c r="K9" s="85" t="n"/>
      <c r="L9" s="85" t="n"/>
      <c r="M9" s="85" t="n"/>
      <c r="N9" s="85" t="n"/>
      <c r="O9" s="85" t="n"/>
      <c r="P9" s="84">
        <f>IF(C9="","",IF(OR(E9="",E9="未検証"),"① STEP1待ち",IF(E9="不通過","✕ STEP1不通過",IF(OR(G9="",H9=""),"② STEP2-3 未記入",IF(COUNTIF(J9:O9,"×")&gt;0,"✕ ボツ候補",IF(COUNTA(J9:O9)&lt;6,"③ STEP4 審査待ち",IF(COUNTIF(J9:O9,"△")&gt;0,"△ 修正して再審査","◎ 候補リスト")))))))</f>
        <v/>
      </c>
      <c r="Q9" s="85" t="n">
        <v>8</v>
      </c>
      <c r="R9" s="85" t="n">
        <v>4</v>
      </c>
      <c r="S9" s="85" t="n">
        <v>9</v>
      </c>
      <c r="T9" s="84">
        <f>IF(COUNT(Q9:S9)&lt;3,"",Q9+(11-R9)+S9)</f>
        <v/>
      </c>
      <c r="U9" s="85" t="n"/>
      <c r="V9" s="86" t="n"/>
      <c r="W9" s="87">
        <f>IF(AND(P9="◎ 候補リスト",U9&lt;&gt;"ボツ",U9&lt;&gt;"制作済み",T9&lt;&gt;"",OR('②候補ランキング'!$C$5="すべて",B9='②候補ランキング'!$C$5)),IF('②候補ランキング'!$C$4="ワクワク",Q9,IF('②候補ランキング'!$C$4="手軽さ",11-R9,IF('②候補ランキング'!$C$4="確信度",S9,T9)))*1000+T9+(1000-A9)/10000,"")</f>
        <v/>
      </c>
    </row>
    <row r="10" ht="30" customHeight="1" s="35">
      <c r="A10" s="84">
        <f>IF(C10="","",ROW()-5)</f>
        <v/>
      </c>
      <c r="B10" s="85" t="inlineStr">
        <is>
          <t>本命</t>
        </is>
      </c>
      <c r="C10" s="86" t="inlineStr">
        <is>
          <t>ライティングの「設計図」（Cohesion &amp; Coherence）</t>
        </is>
      </c>
      <c r="D10" s="86" t="inlineStr">
        <is>
          <t>IELTS Writing</t>
        </is>
      </c>
      <c r="E10" s="85" t="inlineStr">
        <is>
          <t>通過</t>
        </is>
      </c>
      <c r="F10" s="86" t="inlineStr">
        <is>
          <t>STEP1通過。根拠：Writing Flow 9.6x／30,860再生、What Makes Writing Good 8.8x／28,279再生（いずれも設計図型レッスン）</t>
        </is>
      </c>
      <c r="G10" s="86" t="inlineStr">
        <is>
          <t>チュートリアル</t>
        </is>
      </c>
      <c r="H10" s="86" t="inlineStr">
        <is>
          <t>明確なリスト（数字）× 変身・変化</t>
        </is>
      </c>
      <c r="I10" s="86" t="inlineStr">
        <is>
          <t>「文章のつながりを設計する」／構成図で示すBefore-After</t>
        </is>
      </c>
      <c r="J10" s="85" t="n"/>
      <c r="K10" s="85" t="n"/>
      <c r="L10" s="85" t="n"/>
      <c r="M10" s="85" t="n"/>
      <c r="N10" s="85" t="n"/>
      <c r="O10" s="85" t="n"/>
      <c r="P10" s="84">
        <f>IF(C10="","",IF(OR(E10="",E10="未検証"),"① STEP1待ち",IF(E10="不通過","✕ STEP1不通過",IF(OR(G10="",H10=""),"② STEP2-3 未記入",IF(COUNTIF(J10:O10,"×")&gt;0,"✕ ボツ候補",IF(COUNTA(J10:O10)&lt;6,"③ STEP4 審査待ち",IF(COUNTIF(J10:O10,"△")&gt;0,"△ 修正して再審査","◎ 候補リスト")))))))</f>
        <v/>
      </c>
      <c r="Q10" s="85" t="n">
        <v>7</v>
      </c>
      <c r="R10" s="85" t="n">
        <v>5</v>
      </c>
      <c r="S10" s="85" t="n">
        <v>9</v>
      </c>
      <c r="T10" s="84">
        <f>IF(COUNT(Q10:S10)&lt;3,"",Q10+(11-R10)+S10)</f>
        <v/>
      </c>
      <c r="U10" s="85" t="n"/>
      <c r="V10" s="86" t="n"/>
      <c r="W10" s="87">
        <f>IF(AND(P10="◎ 候補リスト",U10&lt;&gt;"ボツ",U10&lt;&gt;"制作済み",T10&lt;&gt;"",OR('②候補ランキング'!$C$5="すべて",B10='②候補ランキング'!$C$5)),IF('②候補ランキング'!$C$4="ワクワク",Q10,IF('②候補ランキング'!$C$4="手軽さ",11-R10,IF('②候補ランキング'!$C$4="確信度",S10,T10)))*1000+T10+(1000-A10)/10000,"")</f>
        <v/>
      </c>
    </row>
    <row r="11" ht="30" customHeight="1" s="35">
      <c r="A11" s="84">
        <f>IF(C11="","",ROW()-5)</f>
        <v/>
      </c>
      <c r="B11" s="85" t="inlineStr">
        <is>
          <t>本命</t>
        </is>
      </c>
      <c r="C11" s="86" t="inlineStr">
        <is>
          <t>Task1 地図問題はこの1つの公式だけ</t>
        </is>
      </c>
      <c r="D11" s="86" t="inlineStr">
        <is>
          <t>IELTS Writing Task1</t>
        </is>
      </c>
      <c r="E11" s="85" t="inlineStr">
        <is>
          <t>通過</t>
        </is>
      </c>
      <c r="F11" s="86" t="inlineStr">
        <is>
          <t>STEP1通過。根拠：IELTS Writing Task 1 Academic: One Simple Formula for Maps 2.3x／11,155再生</t>
        </is>
      </c>
      <c r="G11" s="86" t="inlineStr">
        <is>
          <t>チュートリアル</t>
        </is>
      </c>
      <c r="H11" s="86" t="inlineStr">
        <is>
          <t>明確なリスト（数字）× トピック＋ひねり</t>
        </is>
      </c>
      <c r="I11" s="86" t="inlineStr">
        <is>
          <t>「地図問題はこの1つの公式で書ける」／図解サムネ</t>
        </is>
      </c>
      <c r="J11" s="85" t="n"/>
      <c r="K11" s="85" t="n"/>
      <c r="L11" s="85" t="n"/>
      <c r="M11" s="85" t="n"/>
      <c r="N11" s="85" t="n"/>
      <c r="O11" s="85" t="n"/>
      <c r="P11" s="84">
        <f>IF(C11="","",IF(OR(E11="",E11="未検証"),"① STEP1待ち",IF(E11="不通過","✕ STEP1不通過",IF(OR(G11="",H11=""),"② STEP2-3 未記入",IF(COUNTIF(J11:O11,"×")&gt;0,"✕ ボツ候補",IF(COUNTA(J11:O11)&lt;6,"③ STEP4 審査待ち",IF(COUNTIF(J11:O11,"△")&gt;0,"△ 修正して再審査","◎ 候補リスト")))))))</f>
        <v/>
      </c>
      <c r="Q11" s="85" t="n">
        <v>6</v>
      </c>
      <c r="R11" s="85" t="n">
        <v>4</v>
      </c>
      <c r="S11" s="85" t="n">
        <v>8</v>
      </c>
      <c r="T11" s="84">
        <f>IF(COUNT(Q11:S11)&lt;3,"",Q11+(11-R11)+S11)</f>
        <v/>
      </c>
      <c r="U11" s="85" t="n"/>
      <c r="V11" s="86" t="n"/>
      <c r="W11" s="87">
        <f>IF(AND(P11="◎ 候補リスト",U11&lt;&gt;"ボツ",U11&lt;&gt;"制作済み",T11&lt;&gt;"",OR('②候補ランキング'!$C$5="すべて",B11='②候補ランキング'!$C$5)),IF('②候補ランキング'!$C$4="ワクワク",Q11,IF('②候補ランキング'!$C$4="手軽さ",11-R11,IF('②候補ランキング'!$C$4="確信度",S11,T11)))*1000+T11+(1000-A11)/10000,"")</f>
        <v/>
      </c>
    </row>
    <row r="12" ht="30" customHeight="1" s="35">
      <c r="A12" s="84">
        <f>IF(C12="","",ROW()-5)</f>
        <v/>
      </c>
      <c r="B12" s="85" t="inlineStr">
        <is>
          <t>本命</t>
        </is>
      </c>
      <c r="C12" s="86" t="inlineStr">
        <is>
          <t>30日でBand 4→8.5の変化ストーリー</t>
        </is>
      </c>
      <c r="D12" s="86" t="inlineStr">
        <is>
          <t>IELTS全体</t>
        </is>
      </c>
      <c r="E12" s="85" t="inlineStr">
        <is>
          <t>通過</t>
        </is>
      </c>
      <c r="F12" s="86" t="inlineStr">
        <is>
          <t>STEP1通過。根拠：Simran IELTS 112.65倍／登録3,860人＝『知名度なしでも伸びる』の直接証拠</t>
        </is>
      </c>
      <c r="G12" s="86" t="inlineStr">
        <is>
          <t>チャレンジ×Vlog</t>
        </is>
      </c>
      <c r="H12" s="86" t="inlineStr">
        <is>
          <t>長期コミット（時間）× 変身・変化</t>
        </is>
      </c>
      <c r="I12" s="86" t="inlineStr">
        <is>
          <t>「30日でBand 4→8.5を取った全記録」／Day別のスコア推移</t>
        </is>
      </c>
      <c r="J12" s="85" t="n"/>
      <c r="K12" s="85" t="n"/>
      <c r="L12" s="85" t="n"/>
      <c r="M12" s="85" t="n"/>
      <c r="N12" s="85" t="n"/>
      <c r="O12" s="85" t="n"/>
      <c r="P12" s="84">
        <f>IF(C12="","",IF(OR(E12="",E12="未検証"),"① STEP1待ち",IF(E12="不通過","✕ STEP1不通過",IF(OR(G12="",H12=""),"② STEP2-3 未記入",IF(COUNTIF(J12:O12,"×")&gt;0,"✕ ボツ候補",IF(COUNTA(J12:O12)&lt;6,"③ STEP4 審査待ち",IF(COUNTIF(J12:O12,"△")&gt;0,"△ 修正して再審査","◎ 候補リスト")))))))</f>
        <v/>
      </c>
      <c r="Q12" s="85" t="n">
        <v>9</v>
      </c>
      <c r="R12" s="85" t="n">
        <v>9</v>
      </c>
      <c r="S12" s="85" t="n">
        <v>8</v>
      </c>
      <c r="T12" s="84">
        <f>IF(COUNT(Q12:S12)&lt;3,"",Q12+(11-R12)+S12)</f>
        <v/>
      </c>
      <c r="U12" s="85" t="n"/>
      <c r="V12" s="86" t="n"/>
      <c r="W12" s="87">
        <f>IF(AND(P12="◎ 候補リスト",U12&lt;&gt;"ボツ",U12&lt;&gt;"制作済み",T12&lt;&gt;"",OR('②候補ランキング'!$C$5="すべて",B12='②候補ランキング'!$C$5)),IF('②候補ランキング'!$C$4="ワクワク",Q12,IF('②候補ランキング'!$C$4="手軽さ",11-R12,IF('②候補ランキング'!$C$4="確信度",S12,T12)))*1000+T12+(1000-A12)/10000,"")</f>
        <v/>
      </c>
    </row>
    <row r="13" ht="30" customHeight="1" s="35">
      <c r="A13" s="84">
        <f>IF(C13="","",ROW()-5)</f>
        <v/>
      </c>
      <c r="B13" s="85" t="inlineStr">
        <is>
          <t>実験</t>
        </is>
      </c>
      <c r="C13" s="86" t="inlineStr">
        <is>
          <t>日本語「IELTS勉強法」の実験1本</t>
        </is>
      </c>
      <c r="D13" s="86" t="inlineStr">
        <is>
          <t>IELTS 勉強法（日本語）</t>
        </is>
      </c>
      <c r="E13" s="85" t="inlineStr">
        <is>
          <t>実験枠</t>
        </is>
      </c>
      <c r="F13" s="86" t="inlineStr">
        <is>
          <t>STEP1は実績ゼロ（アウトライヤー索引に関連結果なし）。英語クエリで再検索が必要。フレームワーク通り実験枠として1本だけキープ</t>
        </is>
      </c>
      <c r="G13" s="86" t="inlineStr">
        <is>
          <t>チュートリアル×Vlog</t>
        </is>
      </c>
      <c r="H13" s="86" t="inlineStr">
        <is>
          <t>親近感</t>
        </is>
      </c>
      <c r="I13" s="86" t="inlineStr">
        <is>
          <t>「英語環境ゼロの私が実際にやったIELTS勉強法」／手元の教材を並べる</t>
        </is>
      </c>
      <c r="J13" s="85" t="n"/>
      <c r="K13" s="85" t="n"/>
      <c r="L13" s="85" t="n"/>
      <c r="M13" s="85" t="n"/>
      <c r="N13" s="85" t="n"/>
      <c r="O13" s="85" t="n"/>
      <c r="P13" s="84">
        <f>IF(C13="","",IF(OR(E13="",E13="未検証"),"① STEP1待ち",IF(E13="不通過","✕ STEP1不通過",IF(OR(G13="",H13=""),"② STEP2-3 未記入",IF(COUNTIF(J13:O13,"×")&gt;0,"✕ ボツ候補",IF(COUNTA(J13:O13)&lt;6,"③ STEP4 審査待ち",IF(COUNTIF(J13:O13,"△")&gt;0,"△ 修正して再審査","◎ 候補リスト")))))))</f>
        <v/>
      </c>
      <c r="Q13" s="85" t="n">
        <v>6</v>
      </c>
      <c r="R13" s="85" t="n">
        <v>3</v>
      </c>
      <c r="S13" s="85" t="n">
        <v>4</v>
      </c>
      <c r="T13" s="84">
        <f>IF(COUNT(Q13:S13)&lt;3,"",Q13+(11-R13)+S13)</f>
        <v/>
      </c>
      <c r="U13" s="85" t="n"/>
      <c r="V13" s="86" t="n"/>
      <c r="W13" s="87">
        <f>IF(AND(P13="◎ 候補リスト",U13&lt;&gt;"ボツ",U13&lt;&gt;"制作済み",T13&lt;&gt;"",OR('②候補ランキング'!$C$5="すべて",B13='②候補ランキング'!$C$5)),IF('②候補ランキング'!$C$4="ワクワク",Q13,IF('②候補ランキング'!$C$4="手軽さ",11-R13,IF('②候補ランキング'!$C$4="確信度",S13,T13)))*1000+T13+(1000-A13)/10000,"")</f>
        <v/>
      </c>
    </row>
    <row r="14" ht="30" customHeight="1" s="35">
      <c r="A14" s="84">
        <f>IF(C14="","",ROW()-5)</f>
        <v/>
      </c>
      <c r="B14" s="85" t="inlineStr">
        <is>
          <t>実験</t>
        </is>
      </c>
      <c r="C14" s="86" t="inlineStr">
        <is>
          <t>30代・アラサーの年齢不安</t>
        </is>
      </c>
      <c r="D14" s="86" t="inlineStr">
        <is>
          <t>社会人の大学院留学</t>
        </is>
      </c>
      <c r="E14" s="85" t="inlineStr">
        <is>
          <t>実験枠</t>
        </is>
      </c>
      <c r="F14" s="86" t="inlineStr">
        <is>
          <t>自チャンネル最大アウトライアー1,942回（中央値の約6倍）だが、今回のSTEP1では外部検証が未実施。次回は英語クエリでの検証が必要</t>
        </is>
      </c>
      <c r="G14" s="86" t="inlineStr">
        <is>
          <t>解説×Vlog</t>
        </is>
      </c>
      <c r="H14" s="86" t="inlineStr">
        <is>
          <t>親近感 × 比較</t>
        </is>
      </c>
      <c r="I14" s="86" t="inlineStr">
        <is>
          <t>「30代で大学院留学して後悔しなかった理由」／20代との比較</t>
        </is>
      </c>
      <c r="J14" s="85" t="n"/>
      <c r="K14" s="85" t="n"/>
      <c r="L14" s="85" t="n"/>
      <c r="M14" s="85" t="n"/>
      <c r="N14" s="85" t="n"/>
      <c r="O14" s="85" t="n"/>
      <c r="P14" s="84">
        <f>IF(C14="","",IF(OR(E14="",E14="未検証"),"① STEP1待ち",IF(E14="不通過","✕ STEP1不通過",IF(OR(G14="",H14=""),"② STEP2-3 未記入",IF(COUNTIF(J14:O14,"×")&gt;0,"✕ ボツ候補",IF(COUNTA(J14:O14)&lt;6,"③ STEP4 審査待ち",IF(COUNTIF(J14:O14,"△")&gt;0,"△ 修正して再審査","◎ 候補リスト")))))))</f>
        <v/>
      </c>
      <c r="Q14" s="85" t="n">
        <v>8</v>
      </c>
      <c r="R14" s="85" t="n">
        <v>3</v>
      </c>
      <c r="S14" s="85" t="n">
        <v>7</v>
      </c>
      <c r="T14" s="84">
        <f>IF(COUNT(Q14:S14)&lt;3,"",Q14+(11-R14)+S14)</f>
        <v/>
      </c>
      <c r="U14" s="85" t="n"/>
      <c r="V14" s="86" t="n"/>
      <c r="W14" s="87">
        <f>IF(AND(P14="◎ 候補リスト",U14&lt;&gt;"ボツ",U14&lt;&gt;"制作済み",T14&lt;&gt;"",OR('②候補ランキング'!$C$5="すべて",B14='②候補ランキング'!$C$5)),IF('②候補ランキング'!$C$4="ワクワク",Q14,IF('②候補ランキング'!$C$4="手軽さ",11-R14,IF('②候補ランキング'!$C$4="確信度",S14,T14)))*1000+T14+(1000-A14)/10000,"")</f>
        <v/>
      </c>
    </row>
    <row r="15" ht="30" customHeight="1" s="35">
      <c r="A15" s="84">
        <f>IF(C15="","",ROW()-5)</f>
        <v/>
      </c>
      <c r="B15" s="85" t="inlineStr">
        <is>
          <t>転換</t>
        </is>
      </c>
      <c r="C15" s="86" t="inlineStr">
        <is>
          <t>条件付きオファーの逆算スケジュール</t>
        </is>
      </c>
      <c r="D15" s="86" t="inlineStr">
        <is>
          <t>条件付き合格</t>
        </is>
      </c>
      <c r="E15" s="85" t="inlineStr">
        <is>
          <t>転換枠</t>
        </is>
      </c>
      <c r="F15" s="86" t="inlineStr">
        <is>
          <t>STEP1でキラー失格（大学院準備は目標超えが少なく、未知チャンネルが跳ねた例がない）。キラー枠ではなく相談・コーチングへのコンバージョン枠として維持</t>
        </is>
      </c>
      <c r="G15" s="86" t="inlineStr">
        <is>
          <t>チュートリアル×解説</t>
        </is>
      </c>
      <c r="H15" s="86" t="inlineStr">
        <is>
          <t>ステークス：時間制限</t>
        </is>
      </c>
      <c r="I15" s="86" t="inlineStr">
        <is>
          <t>「条件付きオファーの期限に間に合わなかったら？」／逆算カレンダー</t>
        </is>
      </c>
      <c r="J15" s="85" t="n"/>
      <c r="K15" s="85" t="n"/>
      <c r="L15" s="85" t="n"/>
      <c r="M15" s="85" t="n"/>
      <c r="N15" s="85" t="n"/>
      <c r="O15" s="85" t="n"/>
      <c r="P15" s="84">
        <f>IF(C15="","",IF(OR(E15="",E15="未検証"),"① STEP1待ち",IF(E15="不通過","✕ STEP1不通過",IF(OR(G15="",H15=""),"② STEP2-3 未記入",IF(COUNTIF(J15:O15,"×")&gt;0,"✕ ボツ候補",IF(COUNTA(J15:O15)&lt;6,"③ STEP4 審査待ち",IF(COUNTIF(J15:O15,"△")&gt;0,"△ 修正して再審査","◎ 候補リスト")))))))</f>
        <v/>
      </c>
      <c r="Q15" s="85" t="n">
        <v>6</v>
      </c>
      <c r="R15" s="85" t="n">
        <v>4</v>
      </c>
      <c r="S15" s="85" t="n">
        <v>5</v>
      </c>
      <c r="T15" s="84">
        <f>IF(COUNT(Q15:S15)&lt;3,"",Q15+(11-R15)+S15)</f>
        <v/>
      </c>
      <c r="U15" s="85" t="n"/>
      <c r="V15" s="86" t="n"/>
      <c r="W15" s="87">
        <f>IF(AND(P15="◎ 候補リスト",U15&lt;&gt;"ボツ",U15&lt;&gt;"制作済み",T15&lt;&gt;"",OR('②候補ランキング'!$C$5="すべて",B15='②候補ランキング'!$C$5)),IF('②候補ランキング'!$C$4="ワクワク",Q15,IF('②候補ランキング'!$C$4="手軽さ",11-R15,IF('②候補ランキング'!$C$4="確信度",S15,T15)))*1000+T15+(1000-A15)/10000,"")</f>
        <v/>
      </c>
    </row>
    <row r="16" ht="30" customHeight="1" s="35">
      <c r="A16" s="84">
        <f>IF(C16="","",ROW()-5)</f>
        <v/>
      </c>
      <c r="B16" s="85" t="inlineStr">
        <is>
          <t>転換</t>
        </is>
      </c>
      <c r="C16" s="86" t="inlineStr">
        <is>
          <t>留学費用を全部公開</t>
        </is>
      </c>
      <c r="D16" s="86" t="inlineStr">
        <is>
          <t>留学費用・資金計画</t>
        </is>
      </c>
      <c r="E16" s="85" t="inlineStr">
        <is>
          <t>転換枠</t>
        </is>
      </c>
      <c r="F16" s="86" t="inlineStr">
        <is>
          <t>転換枠。STEP1のD判定に従いキラーにはしない（転換・信頼構築用）</t>
        </is>
      </c>
      <c r="G16" s="86" t="inlineStr">
        <is>
          <t>解説×Vlog</t>
        </is>
      </c>
      <c r="H16" s="86" t="inlineStr">
        <is>
          <t>ステークス：お金 × 網羅的</t>
        </is>
      </c>
      <c r="I16" s="86" t="inlineStr">
        <is>
          <t>「ロンドンで大学院に通った実際の総額を全部出す」／内訳の一覧</t>
        </is>
      </c>
      <c r="J16" s="85" t="n"/>
      <c r="K16" s="85" t="n"/>
      <c r="L16" s="85" t="n"/>
      <c r="M16" s="85" t="n"/>
      <c r="N16" s="85" t="n"/>
      <c r="O16" s="85" t="n"/>
      <c r="P16" s="84">
        <f>IF(C16="","",IF(OR(E16="",E16="未検証"),"① STEP1待ち",IF(E16="不通過","✕ STEP1不通過",IF(OR(G16="",H16=""),"② STEP2-3 未記入",IF(COUNTIF(J16:O16,"×")&gt;0,"✕ ボツ候補",IF(COUNTA(J16:O16)&lt;6,"③ STEP4 審査待ち",IF(COUNTIF(J16:O16,"△")&gt;0,"△ 修正して再審査","◎ 候補リスト")))))))</f>
        <v/>
      </c>
      <c r="Q16" s="85" t="n">
        <v>7</v>
      </c>
      <c r="R16" s="85" t="n">
        <v>4</v>
      </c>
      <c r="S16" s="85" t="n">
        <v>5</v>
      </c>
      <c r="T16" s="84">
        <f>IF(COUNT(Q16:S16)&lt;3,"",Q16+(11-R16)+S16)</f>
        <v/>
      </c>
      <c r="U16" s="85" t="n"/>
      <c r="V16" s="86" t="n"/>
      <c r="W16" s="87">
        <f>IF(AND(P16="◎ 候補リスト",U16&lt;&gt;"ボツ",U16&lt;&gt;"制作済み",T16&lt;&gt;"",OR('②候補ランキング'!$C$5="すべて",B16='②候補ランキング'!$C$5)),IF('②候補ランキング'!$C$4="ワクワク",Q16,IF('②候補ランキング'!$C$4="手軽さ",11-R16,IF('②候補ランキング'!$C$4="確信度",S16,T16)))*1000+T16+(1000-A16)/10000,"")</f>
        <v/>
      </c>
    </row>
    <row r="17" ht="30" customHeight="1" s="35">
      <c r="A17" s="84">
        <f>IF(C17="","",ROW()-5)</f>
        <v/>
      </c>
      <c r="B17" s="85" t="inlineStr">
        <is>
          <t>転換</t>
        </is>
      </c>
      <c r="C17" s="86" t="inlineStr">
        <is>
          <t>出願書類を全部見せる</t>
        </is>
      </c>
      <c r="D17" s="86" t="inlineStr">
        <is>
          <t>大学院出願</t>
        </is>
      </c>
      <c r="E17" s="85" t="inlineStr">
        <is>
          <t>転換枠</t>
        </is>
      </c>
      <c r="F17" s="86" t="inlineStr">
        <is>
          <t>転換枠。同上。志望動機書系は反応があるため転換導線として残す</t>
        </is>
      </c>
      <c r="G17" s="86" t="inlineStr">
        <is>
          <t>チュートリアル×解説</t>
        </is>
      </c>
      <c r="H17" s="86" t="inlineStr">
        <is>
          <t>網羅的（コンプリート）</t>
        </is>
      </c>
      <c r="I17" s="86" t="inlineStr">
        <is>
          <t>「イギリス大学院の出願書類、ゼロから完成まで全部見せる」</t>
        </is>
      </c>
      <c r="J17" s="85" t="n"/>
      <c r="K17" s="85" t="n"/>
      <c r="L17" s="85" t="n"/>
      <c r="M17" s="85" t="n"/>
      <c r="N17" s="85" t="n"/>
      <c r="O17" s="85" t="n"/>
      <c r="P17" s="84">
        <f>IF(C17="","",IF(OR(E17="",E17="未検証"),"① STEP1待ち",IF(E17="不通過","✕ STEP1不通過",IF(OR(G17="",H17=""),"② STEP2-3 未記入",IF(COUNTIF(J17:O17,"×")&gt;0,"✕ ボツ候補",IF(COUNTA(J17:O17)&lt;6,"③ STEP4 審査待ち",IF(COUNTIF(J17:O17,"△")&gt;0,"△ 修正して再審査","◎ 候補リスト")))))))</f>
        <v/>
      </c>
      <c r="Q17" s="85" t="n">
        <v>6</v>
      </c>
      <c r="R17" s="85" t="n">
        <v>6</v>
      </c>
      <c r="S17" s="85" t="n">
        <v>5</v>
      </c>
      <c r="T17" s="84">
        <f>IF(COUNT(Q17:S17)&lt;3,"",Q17+(11-R17)+S17)</f>
        <v/>
      </c>
      <c r="U17" s="85" t="n"/>
      <c r="V17" s="86" t="n"/>
      <c r="W17" s="87">
        <f>IF(AND(P17="◎ 候補リスト",U17&lt;&gt;"ボツ",U17&lt;&gt;"制作済み",T17&lt;&gt;"",OR('②候補ランキング'!$C$5="すべて",B17='②候補ランキング'!$C$5)),IF('②候補ランキング'!$C$4="ワクワク",Q17,IF('②候補ランキング'!$C$4="手軽さ",11-R17,IF('②候補ランキング'!$C$4="確信度",S17,T17)))*1000+T17+(1000-A17)/10000,"")</f>
        <v/>
      </c>
    </row>
    <row r="18" ht="30" customHeight="1" s="35">
      <c r="A18" s="84">
        <f>IF(C18="","",ROW()-5)</f>
        <v/>
      </c>
      <c r="B18" s="85" t="inlineStr">
        <is>
          <t>本命</t>
        </is>
      </c>
      <c r="C18" s="86" t="inlineStr">
        <is>
          <t>Part 2の1分間メモ、全部見せる</t>
        </is>
      </c>
      <c r="D18" s="86" t="inlineStr">
        <is>
          <t>IELTS Speaking</t>
        </is>
      </c>
      <c r="E18" s="85" t="inlineStr">
        <is>
          <t>通過</t>
        </is>
      </c>
      <c r="F18" s="86" t="inlineStr">
        <is>
          <t>STEP1通過（Speaking）。メモの取り方は誰も見せていない空白領域。添削データが根拠になる</t>
        </is>
      </c>
      <c r="G18" s="86" t="inlineStr">
        <is>
          <t>チュートリアル×リスト</t>
        </is>
      </c>
      <c r="H18" s="86" t="inlineStr">
        <is>
          <t>明確なリスト（数字）× 親近感</t>
        </is>
      </c>
      <c r="I18" s="86" t="inlineStr">
        <is>
          <t>「Part 2の1分間メモ、全部見せます」／実際のメモ用紙を写す</t>
        </is>
      </c>
      <c r="J18" s="85" t="n"/>
      <c r="K18" s="85" t="n"/>
      <c r="L18" s="85" t="n"/>
      <c r="M18" s="85" t="n"/>
      <c r="N18" s="85" t="n"/>
      <c r="O18" s="85" t="n"/>
      <c r="P18" s="84">
        <f>IF(C18="","",IF(OR(E18="",E18="未検証"),"① STEP1待ち",IF(E18="不通過","✕ STEP1不通過",IF(OR(G18="",H18=""),"② STEP2-3 未記入",IF(COUNTIF(J18:O18,"×")&gt;0,"✕ ボツ候補",IF(COUNTA(J18:O18)&lt;6,"③ STEP4 審査待ち",IF(COUNTIF(J18:O18,"△")&gt;0,"△ 修正して再審査","◎ 候補リスト")))))))</f>
        <v/>
      </c>
      <c r="Q18" s="85" t="n">
        <v>7</v>
      </c>
      <c r="R18" s="85" t="n">
        <v>4</v>
      </c>
      <c r="S18" s="85" t="n">
        <v>8</v>
      </c>
      <c r="T18" s="84">
        <f>IF(COUNT(Q18:S18)&lt;3,"",Q18+(11-R18)+S18)</f>
        <v/>
      </c>
      <c r="U18" s="85" t="n"/>
      <c r="V18" s="86" t="n"/>
      <c r="W18" s="87">
        <f>IF(AND(P18="◎ 候補リスト",U18&lt;&gt;"ボツ",U18&lt;&gt;"制作済み",T18&lt;&gt;"",OR('②候補ランキング'!$C$5="すべて",B18='②候補ランキング'!$C$5)),IF('②候補ランキング'!$C$4="ワクワク",Q18,IF('②候補ランキング'!$C$4="手軽さ",11-R18,IF('②候補ランキング'!$C$4="確信度",S18,T18)))*1000+T18+(1000-A18)/10000,"")</f>
        <v/>
      </c>
    </row>
    <row r="19" ht="30" customHeight="1" s="35">
      <c r="A19" s="84">
        <f>IF(C19="","",ROW()-5)</f>
        <v/>
      </c>
      <c r="B19" s="85" t="inlineStr">
        <is>
          <t>本命</t>
        </is>
      </c>
      <c r="C19" s="86" t="inlineStr">
        <is>
          <t>同じ質問に Band 5.5 と Band 8.0 が答えたら</t>
        </is>
      </c>
      <c r="D19" s="86" t="inlineStr">
        <is>
          <t>IELTS Speaking</t>
        </is>
      </c>
      <c r="E19" s="85" t="inlineStr">
        <is>
          <t>通過</t>
        </is>
      </c>
      <c r="F19" s="86" t="inlineStr">
        <is>
          <t>STEP1通過。Nepal BBC型（Band違い比較）と同型。比較は基準値が明確になり強い</t>
        </is>
      </c>
      <c r="G19" s="86" t="inlineStr">
        <is>
          <t>比較×インタビュー</t>
        </is>
      </c>
      <c r="H19" s="86" t="inlineStr">
        <is>
          <t>比較</t>
        </is>
      </c>
      <c r="I19" s="86" t="inlineStr">
        <is>
          <t>「同じ質問に、5.5の人と8.0の人が答えたら」／2人の回答を並べる</t>
        </is>
      </c>
      <c r="J19" s="85" t="n"/>
      <c r="K19" s="85" t="n"/>
      <c r="L19" s="85" t="n"/>
      <c r="M19" s="85" t="n"/>
      <c r="N19" s="85" t="n"/>
      <c r="O19" s="85" t="n"/>
      <c r="P19" s="84">
        <f>IF(C19="","",IF(OR(E19="",E19="未検証"),"① STEP1待ち",IF(E19="不通過","✕ STEP1不通過",IF(OR(G19="",H19=""),"② STEP2-3 未記入",IF(COUNTIF(J19:O19,"×")&gt;0,"✕ ボツ候補",IF(COUNTA(J19:O19)&lt;6,"③ STEP4 審査待ち",IF(COUNTIF(J19:O19,"△")&gt;0,"△ 修正して再審査","◎ 候補リスト")))))))</f>
        <v/>
      </c>
      <c r="Q19" s="85" t="n">
        <v>8</v>
      </c>
      <c r="R19" s="85" t="n">
        <v>6</v>
      </c>
      <c r="S19" s="85" t="n">
        <v>9</v>
      </c>
      <c r="T19" s="84">
        <f>IF(COUNT(Q19:S19)&lt;3,"",Q19+(11-R19)+S19)</f>
        <v/>
      </c>
      <c r="U19" s="85" t="n"/>
      <c r="V19" s="86" t="n"/>
      <c r="W19" s="87">
        <f>IF(AND(P19="◎ 候補リスト",U19&lt;&gt;"ボツ",U19&lt;&gt;"制作済み",T19&lt;&gt;"",OR('②候補ランキング'!$C$5="すべて",B19='②候補ランキング'!$C$5)),IF('②候補ランキング'!$C$4="ワクワク",Q19,IF('②候補ランキング'!$C$4="手軽さ",11-R19,IF('②候補ランキング'!$C$4="確信度",S19,T19)))*1000+T19+(1000-A19)/10000,"")</f>
        <v/>
      </c>
    </row>
    <row r="20" ht="30" customHeight="1" s="35">
      <c r="A20" s="84">
        <f>IF(C20="","",ROW()-5)</f>
        <v/>
      </c>
      <c r="B20" s="85" t="inlineStr">
        <is>
          <t>本命</t>
        </is>
      </c>
      <c r="C20" s="86" t="inlineStr">
        <is>
          <t>答えに詰まった瞬間のリカバリー</t>
        </is>
      </c>
      <c r="D20" s="86" t="inlineStr">
        <is>
          <t>IELTS Speaking</t>
        </is>
      </c>
      <c r="E20" s="85" t="inlineStr">
        <is>
          <t>通過</t>
        </is>
      </c>
      <c r="F20" s="86" t="inlineStr">
        <is>
          <t>受講生が実際に詰まる場面＝生々しい。模試＋FB型の一部として切り出し可能</t>
        </is>
      </c>
      <c r="G20" s="86" t="inlineStr">
        <is>
          <t>チュートリアル×コメンタリー</t>
        </is>
      </c>
      <c r="H20" s="86" t="inlineStr">
        <is>
          <t>トピック＋ひねり × 親近感</t>
        </is>
      </c>
      <c r="I20" s="86" t="inlineStr">
        <is>
          <t>「沈黙した瞬間、何を言えばいいのか」／本番の詰まりを再現</t>
        </is>
      </c>
      <c r="J20" s="85" t="n"/>
      <c r="K20" s="85" t="n"/>
      <c r="L20" s="85" t="n"/>
      <c r="M20" s="85" t="n"/>
      <c r="N20" s="85" t="n"/>
      <c r="O20" s="85" t="n"/>
      <c r="P20" s="84">
        <f>IF(C20="","",IF(OR(E20="",E20="未検証"),"① STEP1待ち",IF(E20="不通過","✕ STEP1不通過",IF(OR(G20="",H20=""),"② STEP2-3 未記入",IF(COUNTIF(J20:O20,"×")&gt;0,"✕ ボツ候補",IF(COUNTA(J20:O20)&lt;6,"③ STEP4 審査待ち",IF(COUNTIF(J20:O20,"△")&gt;0,"△ 修正して再審査","◎ 候補リスト")))))))</f>
        <v/>
      </c>
      <c r="Q20" s="85" t="n">
        <v>7</v>
      </c>
      <c r="R20" s="85" t="n">
        <v>4</v>
      </c>
      <c r="S20" s="85" t="n">
        <v>8</v>
      </c>
      <c r="T20" s="84">
        <f>IF(COUNT(Q20:S20)&lt;3,"",Q20+(11-R20)+S20)</f>
        <v/>
      </c>
      <c r="U20" s="85" t="n"/>
      <c r="V20" s="86" t="n"/>
      <c r="W20" s="87">
        <f>IF(AND(P20="◎ 候補リスト",U20&lt;&gt;"ボツ",U20&lt;&gt;"制作済み",T20&lt;&gt;"",OR('②候補ランキング'!$C$5="すべて",B20='②候補ランキング'!$C$5)),IF('②候補ランキング'!$C$4="ワクワク",Q20,IF('②候補ランキング'!$C$4="手軽さ",11-R20,IF('②候補ランキング'!$C$4="確信度",S20,T20)))*1000+T20+(1000-A20)/10000,"")</f>
        <v/>
      </c>
    </row>
    <row r="21" ht="30" customHeight="1" s="35">
      <c r="A21" s="84">
        <f>IF(C21="","",ROW()-5)</f>
        <v/>
      </c>
      <c r="B21" s="85" t="inlineStr">
        <is>
          <t>本命</t>
        </is>
      </c>
      <c r="C21" s="86" t="inlineStr">
        <is>
          <t>頻出50問を1本で全部</t>
        </is>
      </c>
      <c r="D21" s="86" t="inlineStr">
        <is>
          <t>IELTS Speaking</t>
        </is>
      </c>
      <c r="E21" s="85" t="inlineStr">
        <is>
          <t>通過</t>
        </is>
      </c>
      <c r="F21" s="86" t="inlineStr">
        <is>
          <t>網羅型は保存されやすい。外部の『完全攻略1時間』型（417万回）と同系</t>
        </is>
      </c>
      <c r="G21" s="86" t="inlineStr">
        <is>
          <t>チュートリアル</t>
        </is>
      </c>
      <c r="H21" s="86" t="inlineStr">
        <is>
          <t>網羅的（コンプリート）</t>
        </is>
      </c>
      <c r="I21" s="86" t="inlineStr">
        <is>
          <t>「IELTSスピーキング頻出50問、全部答えます」／問題リストを敷き詰めたサムネ</t>
        </is>
      </c>
      <c r="J21" s="85" t="n"/>
      <c r="K21" s="85" t="n"/>
      <c r="L21" s="85" t="n"/>
      <c r="M21" s="85" t="n"/>
      <c r="N21" s="85" t="n"/>
      <c r="O21" s="85" t="n"/>
      <c r="P21" s="84">
        <f>IF(C21="","",IF(OR(E21="",E21="未検証"),"① STEP1待ち",IF(E21="不通過","✕ STEP1不通過",IF(OR(G21="",H21=""),"② STEP2-3 未記入",IF(COUNTIF(J21:O21,"×")&gt;0,"✕ ボツ候補",IF(COUNTA(J21:O21)&lt;6,"③ STEP4 審査待ち",IF(COUNTIF(J21:O21,"△")&gt;0,"△ 修正して再審査","◎ 候補リスト")))))))</f>
        <v/>
      </c>
      <c r="Q21" s="85" t="n">
        <v>7</v>
      </c>
      <c r="R21" s="85" t="n">
        <v>7</v>
      </c>
      <c r="S21" s="85" t="n">
        <v>7</v>
      </c>
      <c r="T21" s="84">
        <f>IF(COUNT(Q21:S21)&lt;3,"",Q21+(11-R21)+S21)</f>
        <v/>
      </c>
      <c r="U21" s="85" t="n"/>
      <c r="V21" s="86" t="n"/>
      <c r="W21" s="87">
        <f>IF(AND(P21="◎ 候補リスト",U21&lt;&gt;"ボツ",U21&lt;&gt;"制作済み",T21&lt;&gt;"",OR('②候補ランキング'!$C$5="すべて",B21='②候補ランキング'!$C$5)),IF('②候補ランキング'!$C$4="ワクワク",Q21,IF('②候補ランキング'!$C$4="手軽さ",11-R21,IF('②候補ランキング'!$C$4="確信度",S21,T21)))*1000+T21+(1000-A21)/10000,"")</f>
        <v/>
      </c>
    </row>
    <row r="22" ht="30" customHeight="1" s="35">
      <c r="A22" s="84">
        <f>IF(C22="","",ROW()-5)</f>
        <v/>
      </c>
      <c r="B22" s="85" t="inlineStr">
        <is>
          <t>本命</t>
        </is>
      </c>
      <c r="C22" s="86" t="inlineStr">
        <is>
          <t>3週間で伸びる人と伸びない人の練習の違い</t>
        </is>
      </c>
      <c r="D22" s="86" t="inlineStr">
        <is>
          <t>IELTS Speaking</t>
        </is>
      </c>
      <c r="E22" s="85" t="inlineStr">
        <is>
          <t>通過</t>
        </is>
      </c>
      <c r="F22" s="86" t="inlineStr">
        <is>
          <t>STEP1通過。受講生事例は自分の柱Bの勝ち型（639回・561回で実証）</t>
        </is>
      </c>
      <c r="G22" s="86" t="inlineStr">
        <is>
          <t>比較×Vlog</t>
        </is>
      </c>
      <c r="H22" s="86" t="inlineStr">
        <is>
          <t>比較</t>
        </is>
      </c>
      <c r="I22" s="86" t="inlineStr">
        <is>
          <t>「3週間で伸びる人と伸びない人、練習の何が違ったか」</t>
        </is>
      </c>
      <c r="J22" s="85" t="n"/>
      <c r="K22" s="85" t="n"/>
      <c r="L22" s="85" t="n"/>
      <c r="M22" s="85" t="n"/>
      <c r="N22" s="85" t="n"/>
      <c r="O22" s="85" t="n"/>
      <c r="P22" s="84">
        <f>IF(C22="","",IF(OR(E22="",E22="未検証"),"① STEP1待ち",IF(E22="不通過","✕ STEP1不通過",IF(OR(G22="",H22=""),"② STEP2-3 未記入",IF(COUNTIF(J22:O22,"×")&gt;0,"✕ ボツ候補",IF(COUNTA(J22:O22)&lt;6,"③ STEP4 審査待ち",IF(COUNTIF(J22:O22,"△")&gt;0,"△ 修正して再審査","◎ 候補リスト")))))))</f>
        <v/>
      </c>
      <c r="Q22" s="85" t="n">
        <v>8</v>
      </c>
      <c r="R22" s="85" t="n">
        <v>5</v>
      </c>
      <c r="S22" s="85" t="n">
        <v>9</v>
      </c>
      <c r="T22" s="84">
        <f>IF(COUNT(Q22:S22)&lt;3,"",Q22+(11-R22)+S22)</f>
        <v/>
      </c>
      <c r="U22" s="85" t="n"/>
      <c r="V22" s="86" t="n"/>
      <c r="W22" s="87">
        <f>IF(AND(P22="◎ 候補リスト",U22&lt;&gt;"ボツ",U22&lt;&gt;"制作済み",T22&lt;&gt;"",OR('②候補ランキング'!$C$5="すべて",B22='②候補ランキング'!$C$5)),IF('②候補ランキング'!$C$4="ワクワク",Q22,IF('②候補ランキング'!$C$4="手軽さ",11-R22,IF('②候補ランキング'!$C$4="確信度",S22,T22)))*1000+T22+(1000-A22)/10000,"")</f>
        <v/>
      </c>
    </row>
    <row r="23" ht="30" customHeight="1" s="35">
      <c r="A23" s="84">
        <f>IF(C23="","",ROW()-5)</f>
        <v/>
      </c>
      <c r="B23" s="85" t="inlineStr">
        <is>
          <t>本命</t>
        </is>
      </c>
      <c r="C23" s="86" t="inlineStr">
        <is>
          <t>自分の回答を採点官の基準で採点してみた</t>
        </is>
      </c>
      <c r="D23" s="86" t="inlineStr">
        <is>
          <t>IELTS Speaking</t>
        </is>
      </c>
      <c r="E23" s="85" t="inlineStr">
        <is>
          <t>通過</t>
        </is>
      </c>
      <c r="F23" s="86" t="inlineStr">
        <is>
          <t>権威×自己開示。他では見にくい切り口で差別化できる</t>
        </is>
      </c>
      <c r="G23" s="86" t="inlineStr">
        <is>
          <t>コメンタリー</t>
        </is>
      </c>
      <c r="H23" s="86" t="inlineStr">
        <is>
          <t>トピック＋ひねり</t>
        </is>
      </c>
      <c r="I23" s="86" t="inlineStr">
        <is>
          <t>「自分の回答を、採点官の基準で採点してみた」</t>
        </is>
      </c>
      <c r="J23" s="85" t="n"/>
      <c r="K23" s="85" t="n"/>
      <c r="L23" s="85" t="n"/>
      <c r="M23" s="85" t="n"/>
      <c r="N23" s="85" t="n"/>
      <c r="O23" s="85" t="n"/>
      <c r="P23" s="84">
        <f>IF(C23="","",IF(OR(E23="",E23="未検証"),"① STEP1待ち",IF(E23="不通過","✕ STEP1不通過",IF(OR(G23="",H23=""),"② STEP2-3 未記入",IF(COUNTIF(J23:O23,"×")&gt;0,"✕ ボツ候補",IF(COUNTA(J23:O23)&lt;6,"③ STEP4 審査待ち",IF(COUNTIF(J23:O23,"△")&gt;0,"△ 修正して再審査","◎ 候補リスト")))))))</f>
        <v/>
      </c>
      <c r="Q23" s="85" t="n">
        <v>7</v>
      </c>
      <c r="R23" s="85" t="n">
        <v>4</v>
      </c>
      <c r="S23" s="85" t="n">
        <v>8</v>
      </c>
      <c r="T23" s="84">
        <f>IF(COUNT(Q23:S23)&lt;3,"",Q23+(11-R23)+S23)</f>
        <v/>
      </c>
      <c r="U23" s="85" t="n"/>
      <c r="V23" s="86" t="n"/>
      <c r="W23" s="87">
        <f>IF(AND(P23="◎ 候補リスト",U23&lt;&gt;"ボツ",U23&lt;&gt;"制作済み",T23&lt;&gt;"",OR('②候補ランキング'!$C$5="すべて",B23='②候補ランキング'!$C$5)),IF('②候補ランキング'!$C$4="ワクワク",Q23,IF('②候補ランキング'!$C$4="手軽さ",11-R23,IF('②候補ランキング'!$C$4="確信度",S23,T23)))*1000+T23+(1000-A23)/10000,"")</f>
        <v/>
      </c>
    </row>
    <row r="24" ht="30" customHeight="1" s="35">
      <c r="A24" s="84">
        <f>IF(C24="","",ROW()-5)</f>
        <v/>
      </c>
      <c r="B24" s="85" t="inlineStr">
        <is>
          <t>本命</t>
        </is>
      </c>
      <c r="C24" s="86" t="inlineStr">
        <is>
          <t>発音だけ直したらスコアは変わるのか検証</t>
        </is>
      </c>
      <c r="D24" s="86" t="inlineStr">
        <is>
          <t>IELTS Speaking</t>
        </is>
      </c>
      <c r="E24" s="85" t="inlineStr">
        <is>
          <t>通過</t>
        </is>
      </c>
      <c r="F24" s="86" t="inlineStr">
        <is>
          <t>検証型＝好奇心の空白を埋める。自分で実験できるのが強み</t>
        </is>
      </c>
      <c r="G24" s="86" t="inlineStr">
        <is>
          <t>チャレンジ×解説</t>
        </is>
      </c>
      <c r="H24" s="86" t="inlineStr">
        <is>
          <t>トピック＋ひねり × 比較</t>
        </is>
      </c>
      <c r="I24" s="86" t="inlineStr">
        <is>
          <t>「発音だけ直したらスコアは変わるのか、実験した」</t>
        </is>
      </c>
      <c r="J24" s="85" t="n"/>
      <c r="K24" s="85" t="n"/>
      <c r="L24" s="85" t="n"/>
      <c r="M24" s="85" t="n"/>
      <c r="N24" s="85" t="n"/>
      <c r="O24" s="85" t="n"/>
      <c r="P24" s="84">
        <f>IF(C24="","",IF(OR(E24="",E24="未検証"),"① STEP1待ち",IF(E24="不通過","✕ STEP1不通過",IF(OR(G24="",H24=""),"② STEP2-3 未記入",IF(COUNTIF(J24:O24,"×")&gt;0,"✕ ボツ候補",IF(COUNTA(J24:O24)&lt;6,"③ STEP4 審査待ち",IF(COUNTIF(J24:O24,"△")&gt;0,"△ 修正して再審査","◎ 候補リスト")))))))</f>
        <v/>
      </c>
      <c r="Q24" s="85" t="n">
        <v>8</v>
      </c>
      <c r="R24" s="85" t="n">
        <v>7</v>
      </c>
      <c r="S24" s="85" t="n">
        <v>7</v>
      </c>
      <c r="T24" s="84">
        <f>IF(COUNT(Q24:S24)&lt;3,"",Q24+(11-R24)+S24)</f>
        <v/>
      </c>
      <c r="U24" s="85" t="n"/>
      <c r="V24" s="86" t="n"/>
      <c r="W24" s="87">
        <f>IF(AND(P24="◎ 候補リスト",U24&lt;&gt;"ボツ",U24&lt;&gt;"制作済み",T24&lt;&gt;"",OR('②候補ランキング'!$C$5="すべて",B24='②候補ランキング'!$C$5)),IF('②候補ランキング'!$C$4="ワクワク",Q24,IF('②候補ランキング'!$C$4="手軽さ",11-R24,IF('②候補ランキング'!$C$4="確信度",S24,T24)))*1000+T24+(1000-A24)/10000,"")</f>
        <v/>
      </c>
    </row>
    <row r="25" ht="30" customHeight="1" s="35">
      <c r="A25" s="84">
        <f>IF(C25="","",ROW()-5)</f>
        <v/>
      </c>
      <c r="B25" s="85" t="inlineStr">
        <is>
          <t>本命</t>
        </is>
      </c>
      <c r="C25" s="86" t="inlineStr">
        <is>
          <t>当日の朝から会場まで全部見せる</t>
        </is>
      </c>
      <c r="D25" s="86" t="inlineStr">
        <is>
          <t>IELTS Speaking</t>
        </is>
      </c>
      <c r="E25" s="85" t="inlineStr">
        <is>
          <t>通過</t>
        </is>
      </c>
      <c r="F25" s="86" t="inlineStr">
        <is>
          <t>親近感×希少な一次情報。受験直前層に刺さる</t>
        </is>
      </c>
      <c r="G25" s="86" t="inlineStr">
        <is>
          <t>Vlog</t>
        </is>
      </c>
      <c r="H25" s="86" t="inlineStr">
        <is>
          <t>親近感 × ステークス：時間制限</t>
        </is>
      </c>
      <c r="I25" s="86" t="inlineStr">
        <is>
          <t>「IELTSスピーキング当日、朝から会場まで全部見せる」</t>
        </is>
      </c>
      <c r="J25" s="85" t="n"/>
      <c r="K25" s="85" t="n"/>
      <c r="L25" s="85" t="n"/>
      <c r="M25" s="85" t="n"/>
      <c r="N25" s="85" t="n"/>
      <c r="O25" s="85" t="n"/>
      <c r="P25" s="84">
        <f>IF(C25="","",IF(OR(E25="",E25="未検証"),"① STEP1待ち",IF(E25="不通過","✕ STEP1不通過",IF(OR(G25="",H25=""),"② STEP2-3 未記入",IF(COUNTIF(J25:O25,"×")&gt;0,"✕ ボツ候補",IF(COUNTA(J25:O25)&lt;6,"③ STEP4 審査待ち",IF(COUNTIF(J25:O25,"△")&gt;0,"△ 修正して再審査","◎ 候補リスト")))))))</f>
        <v/>
      </c>
      <c r="Q25" s="85" t="n">
        <v>7</v>
      </c>
      <c r="R25" s="85" t="n">
        <v>5</v>
      </c>
      <c r="S25" s="85" t="n">
        <v>7</v>
      </c>
      <c r="T25" s="84">
        <f>IF(COUNT(Q25:S25)&lt;3,"",Q25+(11-R25)+S25)</f>
        <v/>
      </c>
      <c r="U25" s="85" t="n"/>
      <c r="V25" s="86" t="n"/>
      <c r="W25" s="87">
        <f>IF(AND(P25="◎ 候補リスト",U25&lt;&gt;"ボツ",U25&lt;&gt;"制作済み",T25&lt;&gt;"",OR('②候補ランキング'!$C$5="すべて",B25='②候補ランキング'!$C$5)),IF('②候補ランキング'!$C$4="ワクワク",Q25,IF('②候補ランキング'!$C$4="手軽さ",11-R25,IF('②候補ランキング'!$C$4="確信度",S25,T25)))*1000+T25+(1000-A25)/10000,"")</f>
        <v/>
      </c>
    </row>
    <row r="26" ht="30" customHeight="1" s="35">
      <c r="A26" s="84">
        <f>IF(C26="","",ROW()-5)</f>
        <v/>
      </c>
      <c r="B26" s="85" t="inlineStr">
        <is>
          <t>本命</t>
        </is>
      </c>
      <c r="C26" s="86" t="inlineStr">
        <is>
          <t>言い換え表現100を1本に</t>
        </is>
      </c>
      <c r="D26" s="86" t="inlineStr">
        <is>
          <t>IELTS Writing</t>
        </is>
      </c>
      <c r="E26" s="85" t="inlineStr">
        <is>
          <t>通過</t>
        </is>
      </c>
      <c r="F26" s="86" t="inlineStr">
        <is>
          <t>★STEP1最大アウトライアー（Paraphrasing Masterclass 806.27倍）の網羅版</t>
        </is>
      </c>
      <c r="G26" s="86" t="inlineStr">
        <is>
          <t>チュートリアル</t>
        </is>
      </c>
      <c r="H26" s="86" t="inlineStr">
        <is>
          <t>網羅的（コンプリート）</t>
        </is>
      </c>
      <c r="I26" s="86" t="inlineStr">
        <is>
          <t>「IELTS言い換え表現100、これ1本で全部」／Before-Afterの一覧</t>
        </is>
      </c>
      <c r="J26" s="85" t="n"/>
      <c r="K26" s="85" t="n"/>
      <c r="L26" s="85" t="n"/>
      <c r="M26" s="85" t="n"/>
      <c r="N26" s="85" t="n"/>
      <c r="O26" s="85" t="n"/>
      <c r="P26" s="84">
        <f>IF(C26="","",IF(OR(E26="",E26="未検証"),"① STEP1待ち",IF(E26="不通過","✕ STEP1不通過",IF(OR(G26="",H26=""),"② STEP2-3 未記入",IF(COUNTIF(J26:O26,"×")&gt;0,"✕ ボツ候補",IF(COUNTA(J26:O26)&lt;6,"③ STEP4 審査待ち",IF(COUNTIF(J26:O26,"△")&gt;0,"△ 修正して再審査","◎ 候補リスト")))))))</f>
        <v/>
      </c>
      <c r="Q26" s="85" t="n">
        <v>7</v>
      </c>
      <c r="R26" s="85" t="n">
        <v>7</v>
      </c>
      <c r="S26" s="85" t="n">
        <v>8</v>
      </c>
      <c r="T26" s="84">
        <f>IF(COUNT(Q26:S26)&lt;3,"",Q26+(11-R26)+S26)</f>
        <v/>
      </c>
      <c r="U26" s="85" t="n"/>
      <c r="V26" s="86" t="n"/>
      <c r="W26" s="87">
        <f>IF(AND(P26="◎ 候補リスト",U26&lt;&gt;"ボツ",U26&lt;&gt;"制作済み",T26&lt;&gt;"",OR('②候補ランキング'!$C$5="すべて",B26='②候補ランキング'!$C$5)),IF('②候補ランキング'!$C$4="ワクワク",Q26,IF('②候補ランキング'!$C$4="手軽さ",11-R26,IF('②候補ランキング'!$C$4="確信度",S26,T26)))*1000+T26+(1000-A26)/10000,"")</f>
        <v/>
      </c>
    </row>
    <row r="27" ht="30" customHeight="1" s="35">
      <c r="A27" s="84">
        <f>IF(C27="","",ROW()-5)</f>
        <v/>
      </c>
      <c r="B27" s="85" t="inlineStr">
        <is>
          <t>本命</t>
        </is>
      </c>
      <c r="C27" s="86" t="inlineStr">
        <is>
          <t>同じお題で6.0の答案と8.0の答案を並べる</t>
        </is>
      </c>
      <c r="D27" s="86" t="inlineStr">
        <is>
          <t>IELTS Writing</t>
        </is>
      </c>
      <c r="E27" s="85" t="inlineStr">
        <is>
          <t>通過</t>
        </is>
      </c>
      <c r="F27" s="86" t="inlineStr">
        <is>
          <t>STEP1通過。Band違い比較のWriting版。差が一目で見える</t>
        </is>
      </c>
      <c r="G27" s="86" t="inlineStr">
        <is>
          <t>比較×チュートリアル</t>
        </is>
      </c>
      <c r="H27" s="86" t="inlineStr">
        <is>
          <t>比較</t>
        </is>
      </c>
      <c r="I27" s="86" t="inlineStr">
        <is>
          <t>「同じお題で、6.0の答案と8.0の答案を並べてみた」</t>
        </is>
      </c>
      <c r="J27" s="85" t="n"/>
      <c r="K27" s="85" t="n"/>
      <c r="L27" s="85" t="n"/>
      <c r="M27" s="85" t="n"/>
      <c r="N27" s="85" t="n"/>
      <c r="O27" s="85" t="n"/>
      <c r="P27" s="84">
        <f>IF(C27="","",IF(OR(E27="",E27="未検証"),"① STEP1待ち",IF(E27="不通過","✕ STEP1不通過",IF(OR(G27="",H27=""),"② STEP2-3 未記入",IF(COUNTIF(J27:O27,"×")&gt;0,"✕ ボツ候補",IF(COUNTA(J27:O27)&lt;6,"③ STEP4 審査待ち",IF(COUNTIF(J27:O27,"△")&gt;0,"△ 修正して再審査","◎ 候補リスト")))))))</f>
        <v/>
      </c>
      <c r="Q27" s="85" t="n">
        <v>8</v>
      </c>
      <c r="R27" s="85" t="n">
        <v>5</v>
      </c>
      <c r="S27" s="85" t="n">
        <v>9</v>
      </c>
      <c r="T27" s="84">
        <f>IF(COUNT(Q27:S27)&lt;3,"",Q27+(11-R27)+S27)</f>
        <v/>
      </c>
      <c r="U27" s="85" t="n"/>
      <c r="V27" s="86" t="n"/>
      <c r="W27" s="87">
        <f>IF(AND(P27="◎ 候補リスト",U27&lt;&gt;"ボツ",U27&lt;&gt;"制作済み",T27&lt;&gt;"",OR('②候補ランキング'!$C$5="すべて",B27='②候補ランキング'!$C$5)),IF('②候補ランキング'!$C$4="ワクワク",Q27,IF('②候補ランキング'!$C$4="手軽さ",11-R27,IF('②候補ランキング'!$C$4="確信度",S27,T27)))*1000+T27+(1000-A27)/10000,"")</f>
        <v/>
      </c>
    </row>
    <row r="28" ht="30" customHeight="1" s="35">
      <c r="A28" s="84">
        <f>IF(C28="","",ROW()-5)</f>
        <v/>
      </c>
      <c r="B28" s="85" t="inlineStr">
        <is>
          <t>本命</t>
        </is>
      </c>
      <c r="C28" s="86" t="inlineStr">
        <is>
          <t>Task 2はこの1つの型だけで書ける</t>
        </is>
      </c>
      <c r="D28" s="86" t="inlineStr">
        <is>
          <t>IELTS Writing</t>
        </is>
      </c>
      <c r="E28" s="85" t="inlineStr">
        <is>
          <t>通過</t>
        </is>
      </c>
      <c r="F28" s="86" t="inlineStr">
        <is>
          <t>既存の『テンプレ逆効果』（234回）と対になる。少ない型で済ませるメッセージは支持されやすい</t>
        </is>
      </c>
      <c r="G28" s="86" t="inlineStr">
        <is>
          <t>チュートリアル</t>
        </is>
      </c>
      <c r="H28" s="86" t="inlineStr">
        <is>
          <t>明確なリスト（数字）× トピック＋ひねり</t>
        </is>
      </c>
      <c r="I28" s="86" t="inlineStr">
        <is>
          <t>「Task 2はこの1つの型だけで書ける」／型の図解</t>
        </is>
      </c>
      <c r="J28" s="85" t="n"/>
      <c r="K28" s="85" t="n"/>
      <c r="L28" s="85" t="n"/>
      <c r="M28" s="85" t="n"/>
      <c r="N28" s="85" t="n"/>
      <c r="O28" s="85" t="n"/>
      <c r="P28" s="84">
        <f>IF(C28="","",IF(OR(E28="",E28="未検証"),"① STEP1待ち",IF(E28="不通過","✕ STEP1不通過",IF(OR(G28="",H28=""),"② STEP2-3 未記入",IF(COUNTIF(J28:O28,"×")&gt;0,"✕ ボツ候補",IF(COUNTA(J28:O28)&lt;6,"③ STEP4 審査待ち",IF(COUNTIF(J28:O28,"△")&gt;0,"△ 修正して再審査","◎ 候補リスト")))))))</f>
        <v/>
      </c>
      <c r="Q28" s="85" t="n">
        <v>7</v>
      </c>
      <c r="R28" s="85" t="n">
        <v>4</v>
      </c>
      <c r="S28" s="85" t="n">
        <v>8</v>
      </c>
      <c r="T28" s="84">
        <f>IF(COUNT(Q28:S28)&lt;3,"",Q28+(11-R28)+S28)</f>
        <v/>
      </c>
      <c r="U28" s="85" t="n"/>
      <c r="V28" s="86" t="n"/>
      <c r="W28" s="87">
        <f>IF(AND(P28="◎ 候補リスト",U28&lt;&gt;"ボツ",U28&lt;&gt;"制作済み",T28&lt;&gt;"",OR('②候補ランキング'!$C$5="すべて",B28='②候補ランキング'!$C$5)),IF('②候補ランキング'!$C$4="ワクワク",Q28,IF('②候補ランキング'!$C$4="手軽さ",11-R28,IF('②候補ランキング'!$C$4="確信度",S28,T28)))*1000+T28+(1000-A28)/10000,"")</f>
        <v/>
      </c>
    </row>
    <row r="29" ht="30" customHeight="1" s="35">
      <c r="A29" s="84">
        <f>IF(C29="","",ROW()-5)</f>
        <v/>
      </c>
      <c r="B29" s="85" t="inlineStr">
        <is>
          <t>本命</t>
        </is>
      </c>
      <c r="C29" s="86" t="inlineStr">
        <is>
          <t>受講生の答案をその場で赤入れ添削</t>
        </is>
      </c>
      <c r="D29" s="86" t="inlineStr">
        <is>
          <t>IELTS Writing</t>
        </is>
      </c>
      <c r="E29" s="85" t="inlineStr">
        <is>
          <t>通過</t>
        </is>
      </c>
      <c r="F29" s="86" t="inlineStr">
        <is>
          <t>添削700件が参入障壁。変化が視覚で見える最も強い形</t>
        </is>
      </c>
      <c r="G29" s="86" t="inlineStr">
        <is>
          <t>チュートリアル×コメンタリー</t>
        </is>
      </c>
      <c r="H29" s="86" t="inlineStr">
        <is>
          <t>変身・変化 × 比較</t>
        </is>
      </c>
      <c r="I29" s="86" t="inlineStr">
        <is>
          <t>「受講生の答案をその場で赤入れしてみた」／赤入れのビフォーアフター</t>
        </is>
      </c>
      <c r="J29" s="85" t="n"/>
      <c r="K29" s="85" t="n"/>
      <c r="L29" s="85" t="n"/>
      <c r="M29" s="85" t="n"/>
      <c r="N29" s="85" t="n"/>
      <c r="O29" s="85" t="n"/>
      <c r="P29" s="84">
        <f>IF(C29="","",IF(OR(E29="",E29="未検証"),"① STEP1待ち",IF(E29="不通過","✕ STEP1不通過",IF(OR(G29="",H29=""),"② STEP2-3 未記入",IF(COUNTIF(J29:O29,"×")&gt;0,"✕ ボツ候補",IF(COUNTA(J29:O29)&lt;6,"③ STEP4 審査待ち",IF(COUNTIF(J29:O29,"△")&gt;0,"△ 修正して再審査","◎ 候補リスト")))))))</f>
        <v/>
      </c>
      <c r="Q29" s="85" t="n">
        <v>8</v>
      </c>
      <c r="R29" s="85" t="n">
        <v>5</v>
      </c>
      <c r="S29" s="85" t="n">
        <v>9</v>
      </c>
      <c r="T29" s="84">
        <f>IF(COUNT(Q29:S29)&lt;3,"",Q29+(11-R29)+S29)</f>
        <v/>
      </c>
      <c r="U29" s="85" t="n"/>
      <c r="V29" s="86" t="n"/>
      <c r="W29" s="87">
        <f>IF(AND(P29="◎ 候補リスト",U29&lt;&gt;"ボツ",U29&lt;&gt;"制作済み",T29&lt;&gt;"",OR('②候補ランキング'!$C$5="すべて",B29='②候補ランキング'!$C$5)),IF('②候補ランキング'!$C$4="ワクワク",Q29,IF('②候補ランキング'!$C$4="手軽さ",11-R29,IF('②候補ランキング'!$C$4="確信度",S29,T29)))*1000+T29+(1000-A29)/10000,"")</f>
        <v/>
      </c>
    </row>
    <row r="30" ht="30" customHeight="1" s="35">
      <c r="A30" s="84">
        <f>IF(C30="","",ROW()-5)</f>
        <v/>
      </c>
      <c r="B30" s="85" t="inlineStr">
        <is>
          <t>本命</t>
        </is>
      </c>
      <c r="C30" s="86" t="inlineStr">
        <is>
          <t>減点されるミスを全部集める</t>
        </is>
      </c>
      <c r="D30" s="86" t="inlineStr">
        <is>
          <t>IELTS Writing</t>
        </is>
      </c>
      <c r="E30" s="85" t="inlineStr">
        <is>
          <t>通過</t>
        </is>
      </c>
      <c r="F30" s="86" t="inlineStr">
        <is>
          <t>失敗回避型は保存される。添削データと相性が良い</t>
        </is>
      </c>
      <c r="G30" s="86" t="inlineStr">
        <is>
          <t>チュートリアル</t>
        </is>
      </c>
      <c r="H30" s="86" t="inlineStr">
        <is>
          <t>網羅的（コンプリート）× 明確なリスト</t>
        </is>
      </c>
      <c r="I30" s="86" t="inlineStr">
        <is>
          <t>「IELTSライティングで減点されるミス、全部集めました」</t>
        </is>
      </c>
      <c r="J30" s="85" t="n"/>
      <c r="K30" s="85" t="n"/>
      <c r="L30" s="85" t="n"/>
      <c r="M30" s="85" t="n"/>
      <c r="N30" s="85" t="n"/>
      <c r="O30" s="85" t="n"/>
      <c r="P30" s="84">
        <f>IF(C30="","",IF(OR(E30="",E30="未検証"),"① STEP1待ち",IF(E30="不通過","✕ STEP1不通過",IF(OR(G30="",H30=""),"② STEP2-3 未記入",IF(COUNTIF(J30:O30,"×")&gt;0,"✕ ボツ候補",IF(COUNTA(J30:O30)&lt;6,"③ STEP4 審査待ち",IF(COUNTIF(J30:O30,"△")&gt;0,"△ 修正して再審査","◎ 候補リスト")))))))</f>
        <v/>
      </c>
      <c r="Q30" s="85" t="n">
        <v>7</v>
      </c>
      <c r="R30" s="85" t="n">
        <v>6</v>
      </c>
      <c r="S30" s="85" t="n">
        <v>8</v>
      </c>
      <c r="T30" s="84">
        <f>IF(COUNT(Q30:S30)&lt;3,"",Q30+(11-R30)+S30)</f>
        <v/>
      </c>
      <c r="U30" s="85" t="n"/>
      <c r="V30" s="86" t="n"/>
      <c r="W30" s="87">
        <f>IF(AND(P30="◎ 候補リスト",U30&lt;&gt;"ボツ",U30&lt;&gt;"制作済み",T30&lt;&gt;"",OR('②候補ランキング'!$C$5="すべて",B30='②候補ランキング'!$C$5)),IF('②候補ランキング'!$C$4="ワクワク",Q30,IF('②候補ランキング'!$C$4="手軽さ",11-R30,IF('②候補ランキング'!$C$4="確信度",S30,T30)))*1000+T30+(1000-A30)/10000,"")</f>
        <v/>
      </c>
    </row>
    <row r="31" ht="30" customHeight="1" s="35">
      <c r="A31" s="84">
        <f>IF(C31="","",ROW()-5)</f>
        <v/>
      </c>
      <c r="B31" s="85" t="inlineStr">
        <is>
          <t>本命</t>
        </is>
      </c>
      <c r="C31" s="86" t="inlineStr">
        <is>
          <t>本番60分の時間配分を実演</t>
        </is>
      </c>
      <c r="D31" s="86" t="inlineStr">
        <is>
          <t>IELTS Writing</t>
        </is>
      </c>
      <c r="E31" s="85" t="inlineStr">
        <is>
          <t>通過</t>
        </is>
      </c>
      <c r="F31" s="86" t="inlineStr">
        <is>
          <t>時間制限は緊張感を生む。実際に実演できるのがYukoさんの強み</t>
        </is>
      </c>
      <c r="G31" s="86" t="inlineStr">
        <is>
          <t>チュートリアル×チャレンジ</t>
        </is>
      </c>
      <c r="H31" s="86" t="inlineStr">
        <is>
          <t>ステークス：時間制限</t>
        </is>
      </c>
      <c r="I31" s="86" t="inlineStr">
        <is>
          <t>「本番60分、時間配分を全部実演する」／60分を可視化</t>
        </is>
      </c>
      <c r="J31" s="85" t="n"/>
      <c r="K31" s="85" t="n"/>
      <c r="L31" s="85" t="n"/>
      <c r="M31" s="85" t="n"/>
      <c r="N31" s="85" t="n"/>
      <c r="O31" s="85" t="n"/>
      <c r="P31" s="84">
        <f>IF(C31="","",IF(OR(E31="",E31="未検証"),"① STEP1待ち",IF(E31="不通過","✕ STEP1不通過",IF(OR(G31="",H31=""),"② STEP2-3 未記入",IF(COUNTIF(J31:O31,"×")&gt;0,"✕ ボツ候補",IF(COUNTA(J31:O31)&lt;6,"③ STEP4 審査待ち",IF(COUNTIF(J31:O31,"△")&gt;0,"△ 修正して再審査","◎ 候補リスト")))))))</f>
        <v/>
      </c>
      <c r="Q31" s="85" t="n">
        <v>7</v>
      </c>
      <c r="R31" s="85" t="n">
        <v>5</v>
      </c>
      <c r="S31" s="85" t="n">
        <v>8</v>
      </c>
      <c r="T31" s="84">
        <f>IF(COUNT(Q31:S31)&lt;3,"",Q31+(11-R31)+S31)</f>
        <v/>
      </c>
      <c r="U31" s="85" t="n"/>
      <c r="V31" s="86" t="n"/>
      <c r="W31" s="87">
        <f>IF(AND(P31="◎ 候補リスト",U31&lt;&gt;"ボツ",U31&lt;&gt;"制作済み",T31&lt;&gt;"",OR('②候補ランキング'!$C$5="すべて",B31='②候補ランキング'!$C$5)),IF('②候補ランキング'!$C$4="ワクワク",Q31,IF('②候補ランキング'!$C$4="手軽さ",11-R31,IF('②候補ランキング'!$C$4="確信度",S31,T31)))*1000+T31+(1000-A31)/10000,"")</f>
        <v/>
      </c>
    </row>
    <row r="32" ht="30" customHeight="1" s="35">
      <c r="A32" s="84">
        <f>IF(C32="","",ROW()-5)</f>
        <v/>
      </c>
      <c r="B32" s="85" t="inlineStr">
        <is>
          <t>本命</t>
        </is>
      </c>
      <c r="C32" s="86" t="inlineStr">
        <is>
          <t>Task 1の数値の書き方だけで足りる</t>
        </is>
      </c>
      <c r="D32" s="86" t="inlineStr">
        <is>
          <t>IELTS Writing</t>
        </is>
      </c>
      <c r="E32" s="85" t="inlineStr">
        <is>
          <t>通過</t>
        </is>
      </c>
      <c r="F32" s="86" t="inlineStr">
        <is>
          <t>地図問題（2.3x）と同系。Task1は部分攻略が刺さる</t>
        </is>
      </c>
      <c r="G32" s="86" t="inlineStr">
        <is>
          <t>チュートリアル</t>
        </is>
      </c>
      <c r="H32" s="86" t="inlineStr">
        <is>
          <t>明確なリスト（数字）× トピック＋ひねり</t>
        </is>
      </c>
      <c r="I32" s="86" t="inlineStr">
        <is>
          <t>「Task 1の数値、この書き方だけで足りる」</t>
        </is>
      </c>
      <c r="J32" s="85" t="n"/>
      <c r="K32" s="85" t="n"/>
      <c r="L32" s="85" t="n"/>
      <c r="M32" s="85" t="n"/>
      <c r="N32" s="85" t="n"/>
      <c r="O32" s="85" t="n"/>
      <c r="P32" s="84">
        <f>IF(C32="","",IF(OR(E32="",E32="未検証"),"① STEP1待ち",IF(E32="不通過","✕ STEP1不通過",IF(OR(G32="",H32=""),"② STEP2-3 未記入",IF(COUNTIF(J32:O32,"×")&gt;0,"✕ ボツ候補",IF(COUNTA(J32:O32)&lt;6,"③ STEP4 審査待ち",IF(COUNTIF(J32:O32,"△")&gt;0,"△ 修正して再審査","◎ 候補リスト")))))))</f>
        <v/>
      </c>
      <c r="Q32" s="85" t="n">
        <v>6</v>
      </c>
      <c r="R32" s="85" t="n">
        <v>4</v>
      </c>
      <c r="S32" s="85" t="n">
        <v>8</v>
      </c>
      <c r="T32" s="84">
        <f>IF(COUNT(Q32:S32)&lt;3,"",Q32+(11-R32)+S32)</f>
        <v/>
      </c>
      <c r="U32" s="85" t="n"/>
      <c r="V32" s="86" t="n"/>
      <c r="W32" s="87">
        <f>IF(AND(P32="◎ 候補リスト",U32&lt;&gt;"ボツ",U32&lt;&gt;"制作済み",T32&lt;&gt;"",OR('②候補ランキング'!$C$5="すべて",B32='②候補ランキング'!$C$5)),IF('②候補ランキング'!$C$4="ワクワク",Q32,IF('②候補ランキング'!$C$4="手軽さ",11-R32,IF('②候補ランキング'!$C$4="確信度",S32,T32)))*1000+T32+(1000-A32)/10000,"")</f>
        <v/>
      </c>
    </row>
    <row r="33" ht="30" customHeight="1" s="35">
      <c r="A33" s="84">
        <f>IF(C33="","",ROW()-5)</f>
        <v/>
      </c>
      <c r="B33" s="85" t="inlineStr">
        <is>
          <t>本命</t>
        </is>
      </c>
      <c r="C33" s="86" t="inlineStr">
        <is>
          <t>テンプレを捨てて自力で書けるようになるまで</t>
        </is>
      </c>
      <c r="D33" s="86" t="inlineStr">
        <is>
          <t>IELTS Writing</t>
        </is>
      </c>
      <c r="E33" s="85" t="inlineStr">
        <is>
          <t>通過</t>
        </is>
      </c>
      <c r="F33" s="86" t="inlineStr">
        <is>
          <t>変化×時間。外部『30日で4→8.5』（112.65倍）と同型の長期記録</t>
        </is>
      </c>
      <c r="G33" s="86" t="inlineStr">
        <is>
          <t>Vlog×チュートリアル</t>
        </is>
      </c>
      <c r="H33" s="86" t="inlineStr">
        <is>
          <t>長期コミット（時間）× 変身・変化</t>
        </is>
      </c>
      <c r="I33" s="86" t="inlineStr">
        <is>
          <t>「テンプレを捨てて、自力で書けるようになるまでの記録」</t>
        </is>
      </c>
      <c r="J33" s="85" t="n"/>
      <c r="K33" s="85" t="n"/>
      <c r="L33" s="85" t="n"/>
      <c r="M33" s="85" t="n"/>
      <c r="N33" s="85" t="n"/>
      <c r="O33" s="85" t="n"/>
      <c r="P33" s="84">
        <f>IF(C33="","",IF(OR(E33="",E33="未検証"),"① STEP1待ち",IF(E33="不通過","✕ STEP1不通過",IF(OR(G33="",H33=""),"② STEP2-3 未記入",IF(COUNTIF(J33:O33,"×")&gt;0,"✕ ボツ候補",IF(COUNTA(J33:O33)&lt;6,"③ STEP4 審査待ち",IF(COUNTIF(J33:O33,"△")&gt;0,"△ 修正して再審査","◎ 候補リスト")))))))</f>
        <v/>
      </c>
      <c r="Q33" s="85" t="n">
        <v>8</v>
      </c>
      <c r="R33" s="85" t="n">
        <v>8</v>
      </c>
      <c r="S33" s="85" t="n">
        <v>8</v>
      </c>
      <c r="T33" s="84">
        <f>IF(COUNT(Q33:S33)&lt;3,"",Q33+(11-R33)+S33)</f>
        <v/>
      </c>
      <c r="U33" s="85" t="n"/>
      <c r="V33" s="86" t="n"/>
      <c r="W33" s="87">
        <f>IF(AND(P33="◎ 候補リスト",U33&lt;&gt;"ボツ",U33&lt;&gt;"制作済み",T33&lt;&gt;"",OR('②候補ランキング'!$C$5="すべて",B33='②候補ランキング'!$C$5)),IF('②候補ランキング'!$C$4="ワクワク",Q33,IF('②候補ランキング'!$C$4="手軽さ",11-R33,IF('②候補ランキング'!$C$4="確信度",S33,T33)))*1000+T33+(1000-A33)/10000,"")</f>
        <v/>
      </c>
    </row>
    <row r="34" ht="30" customHeight="1" s="35">
      <c r="A34" s="84">
        <f>IF(C34="","",ROW()-5)</f>
        <v/>
      </c>
      <c r="B34" s="85" t="inlineStr">
        <is>
          <t>本命</t>
        </is>
      </c>
      <c r="C34" s="86" t="inlineStr">
        <is>
          <t>過去問1年分を全部解く</t>
        </is>
      </c>
      <c r="D34" s="86" t="inlineStr">
        <is>
          <t>IELTS Writing</t>
        </is>
      </c>
      <c r="E34" s="85" t="inlineStr">
        <is>
          <t>通過</t>
        </is>
      </c>
      <c r="F34" s="86" t="inlineStr">
        <is>
          <t>網羅×時間。再生数よりも信頼構築と保存に効く（転換にも寄与）</t>
        </is>
      </c>
      <c r="G34" s="86" t="inlineStr">
        <is>
          <t>チャレンジ</t>
        </is>
      </c>
      <c r="H34" s="86" t="inlineStr">
        <is>
          <t>網羅的（コンプリート）× 長期コミット（時間）</t>
        </is>
      </c>
      <c r="I34" s="86" t="inlineStr">
        <is>
          <t>「IELTSライティング過去問1年分、全部解いてみた」</t>
        </is>
      </c>
      <c r="J34" s="85" t="n"/>
      <c r="K34" s="85" t="n"/>
      <c r="L34" s="85" t="n"/>
      <c r="M34" s="85" t="n"/>
      <c r="N34" s="85" t="n"/>
      <c r="O34" s="85" t="n"/>
      <c r="P34" s="84">
        <f>IF(C34="","",IF(OR(E34="",E34="未検証"),"① STEP1待ち",IF(E34="不通過","✕ STEP1不通過",IF(OR(G34="",H34=""),"② STEP2-3 未記入",IF(COUNTIF(J34:O34,"×")&gt;0,"✕ ボツ候補",IF(COUNTA(J34:O34)&lt;6,"③ STEP4 審査待ち",IF(COUNTIF(J34:O34,"△")&gt;0,"△ 修正して再審査","◎ 候補リスト")))))))</f>
        <v/>
      </c>
      <c r="Q34" s="85" t="n">
        <v>7</v>
      </c>
      <c r="R34" s="85" t="n">
        <v>9</v>
      </c>
      <c r="S34" s="85" t="n">
        <v>7</v>
      </c>
      <c r="T34" s="84">
        <f>IF(COUNT(Q34:S34)&lt;3,"",Q34+(11-R34)+S34)</f>
        <v/>
      </c>
      <c r="U34" s="85" t="n"/>
      <c r="V34" s="86" t="n"/>
      <c r="W34" s="87">
        <f>IF(AND(P34="◎ 候補リスト",U34&lt;&gt;"ボツ",U34&lt;&gt;"制作済み",T34&lt;&gt;"",OR('②候補ランキング'!$C$5="すべて",B34='②候補ランキング'!$C$5)),IF('②候補ランキング'!$C$4="ワクワク",Q34,IF('②候補ランキング'!$C$4="手軽さ",11-R34,IF('②候補ランキング'!$C$4="確信度",S34,T34)))*1000+T34+(1000-A34)/10000,"")</f>
        <v/>
      </c>
    </row>
    <row r="35" ht="30" customHeight="1" s="35">
      <c r="A35" s="84">
        <f>IF(C35="","",ROW()-5)</f>
        <v/>
      </c>
      <c r="B35" s="85" t="inlineStr">
        <is>
          <t>本命</t>
        </is>
      </c>
      <c r="C35" s="86" t="inlineStr">
        <is>
          <t>添削700件で見えた「伸びる答案」の共通点</t>
        </is>
      </c>
      <c r="D35" s="86" t="inlineStr">
        <is>
          <t>IELTS Writing</t>
        </is>
      </c>
      <c r="E35" s="85" t="inlineStr">
        <is>
          <t>通過</t>
        </is>
      </c>
      <c r="F35" s="86" t="inlineStr">
        <is>
          <t>実績数字が最強の参入障壁。既存の『700件で判明』（242回）を発展させる</t>
        </is>
      </c>
      <c r="G35" s="86" t="inlineStr">
        <is>
          <t>コメンタリー</t>
        </is>
      </c>
      <c r="H35" s="86" t="inlineStr">
        <is>
          <t>比較 × 網羅的（コンプリート）</t>
        </is>
      </c>
      <c r="I35" s="86" t="inlineStr">
        <is>
          <t>「添削700件で見えた、伸びる答案の共通点5つ」</t>
        </is>
      </c>
      <c r="J35" s="85" t="n"/>
      <c r="K35" s="85" t="n"/>
      <c r="L35" s="85" t="n"/>
      <c r="M35" s="85" t="n"/>
      <c r="N35" s="85" t="n"/>
      <c r="O35" s="85" t="n"/>
      <c r="P35" s="84">
        <f>IF(C35="","",IF(OR(E35="",E35="未検証"),"① STEP1待ち",IF(E35="不通過","✕ STEP1不通過",IF(OR(G35="",H35=""),"② STEP2-3 未記入",IF(COUNTIF(J35:O35,"×")&gt;0,"✕ ボツ候補",IF(COUNTA(J35:O35)&lt;6,"③ STEP4 審査待ち",IF(COUNTIF(J35:O35,"△")&gt;0,"△ 修正して再審査","◎ 候補リスト")))))))</f>
        <v/>
      </c>
      <c r="Q35" s="85" t="n">
        <v>8</v>
      </c>
      <c r="R35" s="85" t="n">
        <v>4</v>
      </c>
      <c r="S35" s="85" t="n">
        <v>9</v>
      </c>
      <c r="T35" s="84">
        <f>IF(COUNT(Q35:S35)&lt;3,"",Q35+(11-R35)+S35)</f>
        <v/>
      </c>
      <c r="U35" s="85" t="n"/>
      <c r="V35" s="86" t="n"/>
      <c r="W35" s="87">
        <f>IF(AND(P35="◎ 候補リスト",U35&lt;&gt;"ボツ",U35&lt;&gt;"制作済み",T35&lt;&gt;"",OR('②候補ランキング'!$C$5="すべて",B35='②候補ランキング'!$C$5)),IF('②候補ランキング'!$C$4="ワクワク",Q35,IF('②候補ランキング'!$C$4="手軽さ",11-R35,IF('②候補ランキング'!$C$4="確信度",S35,T35)))*1000+T35+(1000-A35)/10000,"")</f>
        <v/>
      </c>
    </row>
    <row r="36" ht="30" customHeight="1" s="35">
      <c r="A36" s="84">
        <f>IF(C36="","",ROW()-5)</f>
        <v/>
      </c>
      <c r="B36" s="85" t="inlineStr">
        <is>
          <t>実験</t>
        </is>
      </c>
      <c r="C36" s="86" t="inlineStr">
        <is>
          <t>Shorts：1分で覚える言い換え</t>
        </is>
      </c>
      <c r="D36" s="86" t="inlineStr">
        <is>
          <t>IELTS Speaking／Writing</t>
        </is>
      </c>
      <c r="E36" s="85" t="inlineStr">
        <is>
          <t>実験枠</t>
        </is>
      </c>
      <c r="F36" s="86" t="inlineStr">
        <is>
          <t>Shorts平均1,572はLong平均331の約4.7倍。キラー定義はShorts10,000超。Shorts側のアウトライアー検証は未実施のため実験枠</t>
        </is>
      </c>
      <c r="G36" s="86" t="inlineStr">
        <is>
          <t>チュートリアル（Shorts）</t>
        </is>
      </c>
      <c r="H36" s="86" t="inlineStr">
        <is>
          <t>明確なリスト（数字）</t>
        </is>
      </c>
      <c r="I36" s="86" t="inlineStr">
        <is>
          <t>「1分で覚えるIELTS言い換え」／1テーマ1カット</t>
        </is>
      </c>
      <c r="J36" s="85" t="n"/>
      <c r="K36" s="85" t="n"/>
      <c r="L36" s="85" t="n"/>
      <c r="M36" s="85" t="n"/>
      <c r="N36" s="85" t="n"/>
      <c r="O36" s="85" t="n"/>
      <c r="P36" s="84">
        <f>IF(C36="","",IF(OR(E36="",E36="未検証"),"① STEP1待ち",IF(E36="不通過","✕ STEP1不通過",IF(OR(G36="",H36=""),"② STEP2-3 未記入",IF(COUNTIF(J36:O36,"×")&gt;0,"✕ ボツ候補",IF(COUNTA(J36:O36)&lt;6,"③ STEP4 審査待ち",IF(COUNTIF(J36:O36,"△")&gt;0,"△ 修正して再審査","◎ 候補リスト")))))))</f>
        <v/>
      </c>
      <c r="Q36" s="85" t="n">
        <v>7</v>
      </c>
      <c r="R36" s="85" t="n">
        <v>3</v>
      </c>
      <c r="S36" s="85" t="n">
        <v>6</v>
      </c>
      <c r="T36" s="84">
        <f>IF(COUNT(Q36:S36)&lt;3,"",Q36+(11-R36)+S36)</f>
        <v/>
      </c>
      <c r="U36" s="85" t="n"/>
      <c r="V36" s="86" t="n"/>
      <c r="W36" s="87">
        <f>IF(AND(P36="◎ 候補リスト",U36&lt;&gt;"ボツ",U36&lt;&gt;"制作済み",T36&lt;&gt;"",OR('②候補ランキング'!$C$5="すべて",B36='②候補ランキング'!$C$5)),IF('②候補ランキング'!$C$4="ワクワク",Q36,IF('②候補ランキング'!$C$4="手軽さ",11-R36,IF('②候補ランキング'!$C$4="確信度",S36,T36)))*1000+T36+(1000-A36)/10000,"")</f>
        <v/>
      </c>
    </row>
    <row r="37" ht="30" customHeight="1" s="35">
      <c r="A37" s="84">
        <f>IF(C37="","",ROW()-5)</f>
        <v/>
      </c>
      <c r="B37" s="85" t="inlineStr">
        <is>
          <t>転換</t>
        </is>
      </c>
      <c r="C37" s="86" t="inlineStr">
        <is>
          <t>受講生の合格体験談</t>
        </is>
      </c>
      <c r="D37" s="86" t="inlineStr">
        <is>
          <t>大学院進学</t>
        </is>
      </c>
      <c r="E37" s="85" t="inlineStr">
        <is>
          <t>転換枠</t>
        </is>
      </c>
      <c r="F37" s="86" t="inlineStr">
        <is>
          <t>転換枠。STEP1のD判定に従いキラーにはしないが、コーチング導線として最も強い</t>
        </is>
      </c>
      <c r="G37" s="86" t="inlineStr">
        <is>
          <t>インタビュー</t>
        </is>
      </c>
      <c r="H37" s="86" t="inlineStr">
        <is>
          <t>親近感 × 変身・変化</t>
        </is>
      </c>
      <c r="I37" s="86" t="inlineStr">
        <is>
          <t>「英語環境ゼロから大学院に合格した受講生の話」</t>
        </is>
      </c>
      <c r="J37" s="85" t="n"/>
      <c r="K37" s="85" t="n"/>
      <c r="L37" s="85" t="n"/>
      <c r="M37" s="85" t="n"/>
      <c r="N37" s="85" t="n"/>
      <c r="O37" s="85" t="n"/>
      <c r="P37" s="84">
        <f>IF(C37="","",IF(OR(E37="",E37="未検証"),"① STEP1待ち",IF(E37="不通過","✕ STEP1不通過",IF(OR(G37="",H37=""),"② STEP2-3 未記入",IF(COUNTIF(J37:O37,"×")&gt;0,"✕ ボツ候補",IF(COUNTA(J37:O37)&lt;6,"③ STEP4 審査待ち",IF(COUNTIF(J37:O37,"△")&gt;0,"△ 修正して再審査","◎ 候補リスト")))))))</f>
        <v/>
      </c>
      <c r="Q37" s="85" t="n">
        <v>6</v>
      </c>
      <c r="R37" s="85" t="n">
        <v>4</v>
      </c>
      <c r="S37" s="85" t="n">
        <v>5</v>
      </c>
      <c r="T37" s="84">
        <f>IF(COUNT(Q37:S37)&lt;3,"",Q37+(11-R37)+S37)</f>
        <v/>
      </c>
      <c r="U37" s="85" t="n"/>
      <c r="V37" s="86" t="n"/>
      <c r="W37" s="87">
        <f>IF(AND(P37="◎ 候補リスト",U37&lt;&gt;"ボツ",U37&lt;&gt;"制作済み",T37&lt;&gt;"",OR('②候補ランキング'!$C$5="すべて",B37='②候補ランキング'!$C$5)),IF('②候補ランキング'!$C$4="ワクワク",Q37,IF('②候補ランキング'!$C$4="手軽さ",11-R37,IF('②候補ランキング'!$C$4="確信度",S37,T37)))*1000+T37+(1000-A37)/10000,"")</f>
        <v/>
      </c>
    </row>
    <row r="38" ht="18" customHeight="1" s="35">
      <c r="A38" s="84">
        <f>IF(C38="","",ROW()-5)</f>
        <v/>
      </c>
      <c r="B38" s="85" t="n"/>
      <c r="C38" s="86" t="n"/>
      <c r="D38" s="86" t="n"/>
      <c r="E38" s="85" t="n"/>
      <c r="F38" s="86" t="n"/>
      <c r="G38" s="86" t="n"/>
      <c r="H38" s="86" t="n"/>
      <c r="I38" s="86" t="n"/>
      <c r="J38" s="85" t="n"/>
      <c r="K38" s="85" t="n"/>
      <c r="L38" s="85" t="n"/>
      <c r="M38" s="85" t="n"/>
      <c r="N38" s="85" t="n"/>
      <c r="O38" s="85" t="n"/>
      <c r="P38" s="84">
        <f>IF(C38="","",IF(OR(E38="",E38="未検証"),"① STEP1待ち",IF(E38="不通過","✕ STEP1不通過",IF(OR(G38="",H38=""),"② STEP2-3 未記入",IF(COUNTIF(J38:O38,"×")&gt;0,"✕ ボツ候補",IF(COUNTA(J38:O38)&lt;6,"③ STEP4 審査待ち",IF(COUNTIF(J38:O38,"△")&gt;0,"△ 修正して再審査","◎ 候補リスト")))))))</f>
        <v/>
      </c>
      <c r="Q38" s="85" t="n"/>
      <c r="R38" s="85" t="n"/>
      <c r="S38" s="85" t="n"/>
      <c r="T38" s="84">
        <f>IF(COUNT(Q38:S38)&lt;3,"",Q38+(11-R38)+S38)</f>
        <v/>
      </c>
      <c r="U38" s="85" t="n"/>
      <c r="V38" s="86" t="n"/>
      <c r="W38" s="87">
        <f>IF(AND(P38="◎ 候補リスト",U38&lt;&gt;"ボツ",U38&lt;&gt;"制作済み",T38&lt;&gt;"",OR('②候補ランキング'!$C$5="すべて",B38='②候補ランキング'!$C$5)),IF('②候補ランキング'!$C$4="ワクワク",Q38,IF('②候補ランキング'!$C$4="手軽さ",11-R38,IF('②候補ランキング'!$C$4="確信度",S38,T38)))*1000+T38+(1000-A38)/10000,"")</f>
        <v/>
      </c>
    </row>
    <row r="39" ht="18" customHeight="1" s="35">
      <c r="A39" s="84">
        <f>IF(C39="","",ROW()-5)</f>
        <v/>
      </c>
      <c r="B39" s="85" t="n"/>
      <c r="C39" s="86" t="n"/>
      <c r="D39" s="86" t="n"/>
      <c r="E39" s="85" t="n"/>
      <c r="F39" s="86" t="n"/>
      <c r="G39" s="86" t="n"/>
      <c r="H39" s="86" t="n"/>
      <c r="I39" s="86" t="n"/>
      <c r="J39" s="85" t="n"/>
      <c r="K39" s="85" t="n"/>
      <c r="L39" s="85" t="n"/>
      <c r="M39" s="85" t="n"/>
      <c r="N39" s="85" t="n"/>
      <c r="O39" s="85" t="n"/>
      <c r="P39" s="84">
        <f>IF(C39="","",IF(OR(E39="",E39="未検証"),"① STEP1待ち",IF(E39="不通過","✕ STEP1不通過",IF(OR(G39="",H39=""),"② STEP2-3 未記入",IF(COUNTIF(J39:O39,"×")&gt;0,"✕ ボツ候補",IF(COUNTA(J39:O39)&lt;6,"③ STEP4 審査待ち",IF(COUNTIF(J39:O39,"△")&gt;0,"△ 修正して再審査","◎ 候補リスト")))))))</f>
        <v/>
      </c>
      <c r="Q39" s="85" t="n"/>
      <c r="R39" s="85" t="n"/>
      <c r="S39" s="85" t="n"/>
      <c r="T39" s="84">
        <f>IF(COUNT(Q39:S39)&lt;3,"",Q39+(11-R39)+S39)</f>
        <v/>
      </c>
      <c r="U39" s="85" t="n"/>
      <c r="V39" s="86" t="n"/>
      <c r="W39" s="87">
        <f>IF(AND(P39="◎ 候補リスト",U39&lt;&gt;"ボツ",U39&lt;&gt;"制作済み",T39&lt;&gt;"",OR('②候補ランキング'!$C$5="すべて",B39='②候補ランキング'!$C$5)),IF('②候補ランキング'!$C$4="ワクワク",Q39,IF('②候補ランキング'!$C$4="手軽さ",11-R39,IF('②候補ランキング'!$C$4="確信度",S39,T39)))*1000+T39+(1000-A39)/10000,"")</f>
        <v/>
      </c>
    </row>
    <row r="40" ht="18" customHeight="1" s="35">
      <c r="A40" s="84">
        <f>IF(C40="","",ROW()-5)</f>
        <v/>
      </c>
      <c r="B40" s="85" t="n"/>
      <c r="C40" s="86" t="n"/>
      <c r="D40" s="86" t="n"/>
      <c r="E40" s="85" t="n"/>
      <c r="F40" s="86" t="n"/>
      <c r="G40" s="86" t="n"/>
      <c r="H40" s="86" t="n"/>
      <c r="I40" s="86" t="n"/>
      <c r="J40" s="85" t="n"/>
      <c r="K40" s="85" t="n"/>
      <c r="L40" s="85" t="n"/>
      <c r="M40" s="85" t="n"/>
      <c r="N40" s="85" t="n"/>
      <c r="O40" s="85" t="n"/>
      <c r="P40" s="84">
        <f>IF(C40="","",IF(OR(E40="",E40="未検証"),"① STEP1待ち",IF(E40="不通過","✕ STEP1不通過",IF(OR(G40="",H40=""),"② STEP2-3 未記入",IF(COUNTIF(J40:O40,"×")&gt;0,"✕ ボツ候補",IF(COUNTA(J40:O40)&lt;6,"③ STEP4 審査待ち",IF(COUNTIF(J40:O40,"△")&gt;0,"△ 修正して再審査","◎ 候補リスト")))))))</f>
        <v/>
      </c>
      <c r="Q40" s="85" t="n"/>
      <c r="R40" s="85" t="n"/>
      <c r="S40" s="85" t="n"/>
      <c r="T40" s="84">
        <f>IF(COUNT(Q40:S40)&lt;3,"",Q40+(11-R40)+S40)</f>
        <v/>
      </c>
      <c r="U40" s="85" t="n"/>
      <c r="V40" s="86" t="n"/>
      <c r="W40" s="87">
        <f>IF(AND(P40="◎ 候補リスト",U40&lt;&gt;"ボツ",U40&lt;&gt;"制作済み",T40&lt;&gt;"",OR('②候補ランキング'!$C$5="すべて",B40='②候補ランキング'!$C$5)),IF('②候補ランキング'!$C$4="ワクワク",Q40,IF('②候補ランキング'!$C$4="手軽さ",11-R40,IF('②候補ランキング'!$C$4="確信度",S40,T40)))*1000+T40+(1000-A40)/10000,"")</f>
        <v/>
      </c>
    </row>
    <row r="41" ht="18" customHeight="1" s="35">
      <c r="A41" s="84">
        <f>IF(C41="","",ROW()-5)</f>
        <v/>
      </c>
      <c r="B41" s="85" t="n"/>
      <c r="C41" s="86" t="n"/>
      <c r="D41" s="86" t="n"/>
      <c r="E41" s="85" t="n"/>
      <c r="F41" s="86" t="n"/>
      <c r="G41" s="86" t="n"/>
      <c r="H41" s="86" t="n"/>
      <c r="I41" s="86" t="n"/>
      <c r="J41" s="85" t="n"/>
      <c r="K41" s="85" t="n"/>
      <c r="L41" s="85" t="n"/>
      <c r="M41" s="85" t="n"/>
      <c r="N41" s="85" t="n"/>
      <c r="O41" s="85" t="n"/>
      <c r="P41" s="84">
        <f>IF(C41="","",IF(OR(E41="",E41="未検証"),"① STEP1待ち",IF(E41="不通過","✕ STEP1不通過",IF(OR(G41="",H41=""),"② STEP2-3 未記入",IF(COUNTIF(J41:O41,"×")&gt;0,"✕ ボツ候補",IF(COUNTA(J41:O41)&lt;6,"③ STEP4 審査待ち",IF(COUNTIF(J41:O41,"△")&gt;0,"△ 修正して再審査","◎ 候補リスト")))))))</f>
        <v/>
      </c>
      <c r="Q41" s="85" t="n"/>
      <c r="R41" s="85" t="n"/>
      <c r="S41" s="85" t="n"/>
      <c r="T41" s="84">
        <f>IF(COUNT(Q41:S41)&lt;3,"",Q41+(11-R41)+S41)</f>
        <v/>
      </c>
      <c r="U41" s="85" t="n"/>
      <c r="V41" s="86" t="n"/>
      <c r="W41" s="87">
        <f>IF(AND(P41="◎ 候補リスト",U41&lt;&gt;"ボツ",U41&lt;&gt;"制作済み",T41&lt;&gt;"",OR('②候補ランキング'!$C$5="すべて",B41='②候補ランキング'!$C$5)),IF('②候補ランキング'!$C$4="ワクワク",Q41,IF('②候補ランキング'!$C$4="手軽さ",11-R41,IF('②候補ランキング'!$C$4="確信度",S41,T41)))*1000+T41+(1000-A41)/10000,"")</f>
        <v/>
      </c>
    </row>
    <row r="42" ht="18" customHeight="1" s="35">
      <c r="A42" s="84">
        <f>IF(C42="","",ROW()-5)</f>
        <v/>
      </c>
      <c r="B42" s="85" t="n"/>
      <c r="C42" s="86" t="n"/>
      <c r="D42" s="86" t="n"/>
      <c r="E42" s="85" t="n"/>
      <c r="F42" s="86" t="n"/>
      <c r="G42" s="86" t="n"/>
      <c r="H42" s="86" t="n"/>
      <c r="I42" s="86" t="n"/>
      <c r="J42" s="85" t="n"/>
      <c r="K42" s="85" t="n"/>
      <c r="L42" s="85" t="n"/>
      <c r="M42" s="85" t="n"/>
      <c r="N42" s="85" t="n"/>
      <c r="O42" s="85" t="n"/>
      <c r="P42" s="84">
        <f>IF(C42="","",IF(OR(E42="",E42="未検証"),"① STEP1待ち",IF(E42="不通過","✕ STEP1不通過",IF(OR(G42="",H42=""),"② STEP2-3 未記入",IF(COUNTIF(J42:O42,"×")&gt;0,"✕ ボツ候補",IF(COUNTA(J42:O42)&lt;6,"③ STEP4 審査待ち",IF(COUNTIF(J42:O42,"△")&gt;0,"△ 修正して再審査","◎ 候補リスト")))))))</f>
        <v/>
      </c>
      <c r="Q42" s="85" t="n"/>
      <c r="R42" s="85" t="n"/>
      <c r="S42" s="85" t="n"/>
      <c r="T42" s="84">
        <f>IF(COUNT(Q42:S42)&lt;3,"",Q42+(11-R42)+S42)</f>
        <v/>
      </c>
      <c r="U42" s="85" t="n"/>
      <c r="V42" s="86" t="n"/>
      <c r="W42" s="87">
        <f>IF(AND(P42="◎ 候補リスト",U42&lt;&gt;"ボツ",U42&lt;&gt;"制作済み",T42&lt;&gt;"",OR('②候補ランキング'!$C$5="すべて",B42='②候補ランキング'!$C$5)),IF('②候補ランキング'!$C$4="ワクワク",Q42,IF('②候補ランキング'!$C$4="手軽さ",11-R42,IF('②候補ランキング'!$C$4="確信度",S42,T42)))*1000+T42+(1000-A42)/10000,"")</f>
        <v/>
      </c>
    </row>
    <row r="43" ht="18" customHeight="1" s="35">
      <c r="A43" s="84">
        <f>IF(C43="","",ROW()-5)</f>
        <v/>
      </c>
      <c r="B43" s="85" t="n"/>
      <c r="C43" s="86" t="n"/>
      <c r="D43" s="86" t="n"/>
      <c r="E43" s="85" t="n"/>
      <c r="F43" s="86" t="n"/>
      <c r="G43" s="86" t="n"/>
      <c r="H43" s="86" t="n"/>
      <c r="I43" s="86" t="n"/>
      <c r="J43" s="85" t="n"/>
      <c r="K43" s="85" t="n"/>
      <c r="L43" s="85" t="n"/>
      <c r="M43" s="85" t="n"/>
      <c r="N43" s="85" t="n"/>
      <c r="O43" s="85" t="n"/>
      <c r="P43" s="84">
        <f>IF(C43="","",IF(OR(E43="",E43="未検証"),"① STEP1待ち",IF(E43="不通過","✕ STEP1不通過",IF(OR(G43="",H43=""),"② STEP2-3 未記入",IF(COUNTIF(J43:O43,"×")&gt;0,"✕ ボツ候補",IF(COUNTA(J43:O43)&lt;6,"③ STEP4 審査待ち",IF(COUNTIF(J43:O43,"△")&gt;0,"△ 修正して再審査","◎ 候補リスト")))))))</f>
        <v/>
      </c>
      <c r="Q43" s="85" t="n"/>
      <c r="R43" s="85" t="n"/>
      <c r="S43" s="85" t="n"/>
      <c r="T43" s="84">
        <f>IF(COUNT(Q43:S43)&lt;3,"",Q43+(11-R43)+S43)</f>
        <v/>
      </c>
      <c r="U43" s="85" t="n"/>
      <c r="V43" s="86" t="n"/>
      <c r="W43" s="87">
        <f>IF(AND(P43="◎ 候補リスト",U43&lt;&gt;"ボツ",U43&lt;&gt;"制作済み",T43&lt;&gt;"",OR('②候補ランキング'!$C$5="すべて",B43='②候補ランキング'!$C$5)),IF('②候補ランキング'!$C$4="ワクワク",Q43,IF('②候補ランキング'!$C$4="手軽さ",11-R43,IF('②候補ランキング'!$C$4="確信度",S43,T43)))*1000+T43+(1000-A43)/10000,"")</f>
        <v/>
      </c>
    </row>
    <row r="44" ht="18" customHeight="1" s="35">
      <c r="A44" s="84">
        <f>IF(C44="","",ROW()-5)</f>
        <v/>
      </c>
      <c r="B44" s="85" t="n"/>
      <c r="C44" s="86" t="n"/>
      <c r="D44" s="86" t="n"/>
      <c r="E44" s="85" t="n"/>
      <c r="F44" s="86" t="n"/>
      <c r="G44" s="86" t="n"/>
      <c r="H44" s="86" t="n"/>
      <c r="I44" s="86" t="n"/>
      <c r="J44" s="85" t="n"/>
      <c r="K44" s="85" t="n"/>
      <c r="L44" s="85" t="n"/>
      <c r="M44" s="85" t="n"/>
      <c r="N44" s="85" t="n"/>
      <c r="O44" s="85" t="n"/>
      <c r="P44" s="84">
        <f>IF(C44="","",IF(OR(E44="",E44="未検証"),"① STEP1待ち",IF(E44="不通過","✕ STEP1不通過",IF(OR(G44="",H44=""),"② STEP2-3 未記入",IF(COUNTIF(J44:O44,"×")&gt;0,"✕ ボツ候補",IF(COUNTA(J44:O44)&lt;6,"③ STEP4 審査待ち",IF(COUNTIF(J44:O44,"△")&gt;0,"△ 修正して再審査","◎ 候補リスト")))))))</f>
        <v/>
      </c>
      <c r="Q44" s="85" t="n"/>
      <c r="R44" s="85" t="n"/>
      <c r="S44" s="85" t="n"/>
      <c r="T44" s="84">
        <f>IF(COUNT(Q44:S44)&lt;3,"",Q44+(11-R44)+S44)</f>
        <v/>
      </c>
      <c r="U44" s="85" t="n"/>
      <c r="V44" s="86" t="n"/>
      <c r="W44" s="87">
        <f>IF(AND(P44="◎ 候補リスト",U44&lt;&gt;"ボツ",U44&lt;&gt;"制作済み",T44&lt;&gt;"",OR('②候補ランキング'!$C$5="すべて",B44='②候補ランキング'!$C$5)),IF('②候補ランキング'!$C$4="ワクワク",Q44,IF('②候補ランキング'!$C$4="手軽さ",11-R44,IF('②候補ランキング'!$C$4="確信度",S44,T44)))*1000+T44+(1000-A44)/10000,"")</f>
        <v/>
      </c>
    </row>
    <row r="45" ht="18" customHeight="1" s="35">
      <c r="A45" s="84">
        <f>IF(C45="","",ROW()-5)</f>
        <v/>
      </c>
      <c r="B45" s="85" t="n"/>
      <c r="C45" s="86" t="n"/>
      <c r="D45" s="86" t="n"/>
      <c r="E45" s="85" t="n"/>
      <c r="F45" s="86" t="n"/>
      <c r="G45" s="86" t="n"/>
      <c r="H45" s="86" t="n"/>
      <c r="I45" s="86" t="n"/>
      <c r="J45" s="85" t="n"/>
      <c r="K45" s="85" t="n"/>
      <c r="L45" s="85" t="n"/>
      <c r="M45" s="85" t="n"/>
      <c r="N45" s="85" t="n"/>
      <c r="O45" s="85" t="n"/>
      <c r="P45" s="84">
        <f>IF(C45="","",IF(OR(E45="",E45="未検証"),"① STEP1待ち",IF(E45="不通過","✕ STEP1不通過",IF(OR(G45="",H45=""),"② STEP2-3 未記入",IF(COUNTIF(J45:O45,"×")&gt;0,"✕ ボツ候補",IF(COUNTA(J45:O45)&lt;6,"③ STEP4 審査待ち",IF(COUNTIF(J45:O45,"△")&gt;0,"△ 修正して再審査","◎ 候補リスト")))))))</f>
        <v/>
      </c>
      <c r="Q45" s="85" t="n"/>
      <c r="R45" s="85" t="n"/>
      <c r="S45" s="85" t="n"/>
      <c r="T45" s="84">
        <f>IF(COUNT(Q45:S45)&lt;3,"",Q45+(11-R45)+S45)</f>
        <v/>
      </c>
      <c r="U45" s="85" t="n"/>
      <c r="V45" s="86" t="n"/>
      <c r="W45" s="87">
        <f>IF(AND(P45="◎ 候補リスト",U45&lt;&gt;"ボツ",U45&lt;&gt;"制作済み",T45&lt;&gt;"",OR('②候補ランキング'!$C$5="すべて",B45='②候補ランキング'!$C$5)),IF('②候補ランキング'!$C$4="ワクワク",Q45,IF('②候補ランキング'!$C$4="手軽さ",11-R45,IF('②候補ランキング'!$C$4="確信度",S45,T45)))*1000+T45+(1000-A45)/10000,"")</f>
        <v/>
      </c>
    </row>
    <row r="46" ht="18" customHeight="1" s="35">
      <c r="A46" s="84">
        <f>IF(C46="","",ROW()-5)</f>
        <v/>
      </c>
      <c r="B46" s="85" t="n"/>
      <c r="C46" s="86" t="n"/>
      <c r="D46" s="86" t="n"/>
      <c r="E46" s="85" t="n"/>
      <c r="F46" s="86" t="n"/>
      <c r="G46" s="86" t="n"/>
      <c r="H46" s="86" t="n"/>
      <c r="I46" s="86" t="n"/>
      <c r="J46" s="85" t="n"/>
      <c r="K46" s="85" t="n"/>
      <c r="L46" s="85" t="n"/>
      <c r="M46" s="85" t="n"/>
      <c r="N46" s="85" t="n"/>
      <c r="O46" s="85" t="n"/>
      <c r="P46" s="84">
        <f>IF(C46="","",IF(OR(E46="",E46="未検証"),"① STEP1待ち",IF(E46="不通過","✕ STEP1不通過",IF(OR(G46="",H46=""),"② STEP2-3 未記入",IF(COUNTIF(J46:O46,"×")&gt;0,"✕ ボツ候補",IF(COUNTA(J46:O46)&lt;6,"③ STEP4 審査待ち",IF(COUNTIF(J46:O46,"△")&gt;0,"△ 修正して再審査","◎ 候補リスト")))))))</f>
        <v/>
      </c>
      <c r="Q46" s="85" t="n"/>
      <c r="R46" s="85" t="n"/>
      <c r="S46" s="85" t="n"/>
      <c r="T46" s="84">
        <f>IF(COUNT(Q46:S46)&lt;3,"",Q46+(11-R46)+S46)</f>
        <v/>
      </c>
      <c r="U46" s="85" t="n"/>
      <c r="V46" s="86" t="n"/>
      <c r="W46" s="87">
        <f>IF(AND(P46="◎ 候補リスト",U46&lt;&gt;"ボツ",U46&lt;&gt;"制作済み",T46&lt;&gt;"",OR('②候補ランキング'!$C$5="すべて",B46='②候補ランキング'!$C$5)),IF('②候補ランキング'!$C$4="ワクワク",Q46,IF('②候補ランキング'!$C$4="手軽さ",11-R46,IF('②候補ランキング'!$C$4="確信度",S46,T46)))*1000+T46+(1000-A46)/10000,"")</f>
        <v/>
      </c>
    </row>
    <row r="47" ht="18" customHeight="1" s="35">
      <c r="A47" s="84">
        <f>IF(C47="","",ROW()-5)</f>
        <v/>
      </c>
      <c r="B47" s="85" t="n"/>
      <c r="C47" s="86" t="n"/>
      <c r="D47" s="86" t="n"/>
      <c r="E47" s="85" t="n"/>
      <c r="F47" s="86" t="n"/>
      <c r="G47" s="86" t="n"/>
      <c r="H47" s="86" t="n"/>
      <c r="I47" s="86" t="n"/>
      <c r="J47" s="85" t="n"/>
      <c r="K47" s="85" t="n"/>
      <c r="L47" s="85" t="n"/>
      <c r="M47" s="85" t="n"/>
      <c r="N47" s="85" t="n"/>
      <c r="O47" s="85" t="n"/>
      <c r="P47" s="84">
        <f>IF(C47="","",IF(OR(E47="",E47="未検証"),"① STEP1待ち",IF(E47="不通過","✕ STEP1不通過",IF(OR(G47="",H47=""),"② STEP2-3 未記入",IF(COUNTIF(J47:O47,"×")&gt;0,"✕ ボツ候補",IF(COUNTA(J47:O47)&lt;6,"③ STEP4 審査待ち",IF(COUNTIF(J47:O47,"△")&gt;0,"△ 修正して再審査","◎ 候補リスト")))))))</f>
        <v/>
      </c>
      <c r="Q47" s="85" t="n"/>
      <c r="R47" s="85" t="n"/>
      <c r="S47" s="85" t="n"/>
      <c r="T47" s="84">
        <f>IF(COUNT(Q47:S47)&lt;3,"",Q47+(11-R47)+S47)</f>
        <v/>
      </c>
      <c r="U47" s="85" t="n"/>
      <c r="V47" s="86" t="n"/>
      <c r="W47" s="87">
        <f>IF(AND(P47="◎ 候補リスト",U47&lt;&gt;"ボツ",U47&lt;&gt;"制作済み",T47&lt;&gt;"",OR('②候補ランキング'!$C$5="すべて",B47='②候補ランキング'!$C$5)),IF('②候補ランキング'!$C$4="ワクワク",Q47,IF('②候補ランキング'!$C$4="手軽さ",11-R47,IF('②候補ランキング'!$C$4="確信度",S47,T47)))*1000+T47+(1000-A47)/10000,"")</f>
        <v/>
      </c>
    </row>
    <row r="48" ht="18" customHeight="1" s="35">
      <c r="A48" s="84">
        <f>IF(C48="","",ROW()-5)</f>
        <v/>
      </c>
      <c r="B48" s="85" t="n"/>
      <c r="C48" s="86" t="n"/>
      <c r="D48" s="86" t="n"/>
      <c r="E48" s="85" t="n"/>
      <c r="F48" s="86" t="n"/>
      <c r="G48" s="86" t="n"/>
      <c r="H48" s="86" t="n"/>
      <c r="I48" s="86" t="n"/>
      <c r="J48" s="85" t="n"/>
      <c r="K48" s="85" t="n"/>
      <c r="L48" s="85" t="n"/>
      <c r="M48" s="85" t="n"/>
      <c r="N48" s="85" t="n"/>
      <c r="O48" s="85" t="n"/>
      <c r="P48" s="84">
        <f>IF(C48="","",IF(OR(E48="",E48="未検証"),"① STEP1待ち",IF(E48="不通過","✕ STEP1不通過",IF(OR(G48="",H48=""),"② STEP2-3 未記入",IF(COUNTIF(J48:O48,"×")&gt;0,"✕ ボツ候補",IF(COUNTA(J48:O48)&lt;6,"③ STEP4 審査待ち",IF(COUNTIF(J48:O48,"△")&gt;0,"△ 修正して再審査","◎ 候補リスト")))))))</f>
        <v/>
      </c>
      <c r="Q48" s="85" t="n"/>
      <c r="R48" s="85" t="n"/>
      <c r="S48" s="85" t="n"/>
      <c r="T48" s="84">
        <f>IF(COUNT(Q48:S48)&lt;3,"",Q48+(11-R48)+S48)</f>
        <v/>
      </c>
      <c r="U48" s="85" t="n"/>
      <c r="V48" s="86" t="n"/>
      <c r="W48" s="87">
        <f>IF(AND(P48="◎ 候補リスト",U48&lt;&gt;"ボツ",U48&lt;&gt;"制作済み",T48&lt;&gt;"",OR('②候補ランキング'!$C$5="すべて",B48='②候補ランキング'!$C$5)),IF('②候補ランキング'!$C$4="ワクワク",Q48,IF('②候補ランキング'!$C$4="手軽さ",11-R48,IF('②候補ランキング'!$C$4="確信度",S48,T48)))*1000+T48+(1000-A48)/10000,"")</f>
        <v/>
      </c>
    </row>
    <row r="49" ht="18" customHeight="1" s="35">
      <c r="A49" s="84">
        <f>IF(C49="","",ROW()-5)</f>
        <v/>
      </c>
      <c r="B49" s="85" t="n"/>
      <c r="C49" s="86" t="n"/>
      <c r="D49" s="86" t="n"/>
      <c r="E49" s="85" t="n"/>
      <c r="F49" s="86" t="n"/>
      <c r="G49" s="86" t="n"/>
      <c r="H49" s="86" t="n"/>
      <c r="I49" s="86" t="n"/>
      <c r="J49" s="85" t="n"/>
      <c r="K49" s="85" t="n"/>
      <c r="L49" s="85" t="n"/>
      <c r="M49" s="85" t="n"/>
      <c r="N49" s="85" t="n"/>
      <c r="O49" s="85" t="n"/>
      <c r="P49" s="84">
        <f>IF(C49="","",IF(OR(E49="",E49="未検証"),"① STEP1待ち",IF(E49="不通過","✕ STEP1不通過",IF(OR(G49="",H49=""),"② STEP2-3 未記入",IF(COUNTIF(J49:O49,"×")&gt;0,"✕ ボツ候補",IF(COUNTA(J49:O49)&lt;6,"③ STEP4 審査待ち",IF(COUNTIF(J49:O49,"△")&gt;0,"△ 修正して再審査","◎ 候補リスト")))))))</f>
        <v/>
      </c>
      <c r="Q49" s="85" t="n"/>
      <c r="R49" s="85" t="n"/>
      <c r="S49" s="85" t="n"/>
      <c r="T49" s="84">
        <f>IF(COUNT(Q49:S49)&lt;3,"",Q49+(11-R49)+S49)</f>
        <v/>
      </c>
      <c r="U49" s="85" t="n"/>
      <c r="V49" s="86" t="n"/>
      <c r="W49" s="87">
        <f>IF(AND(P49="◎ 候補リスト",U49&lt;&gt;"ボツ",U49&lt;&gt;"制作済み",T49&lt;&gt;"",OR('②候補ランキング'!$C$5="すべて",B49='②候補ランキング'!$C$5)),IF('②候補ランキング'!$C$4="ワクワク",Q49,IF('②候補ランキング'!$C$4="手軽さ",11-R49,IF('②候補ランキング'!$C$4="確信度",S49,T49)))*1000+T49+(1000-A49)/10000,"")</f>
        <v/>
      </c>
    </row>
    <row r="50" ht="18" customHeight="1" s="35">
      <c r="A50" s="84">
        <f>IF(C50="","",ROW()-5)</f>
        <v/>
      </c>
      <c r="B50" s="85" t="n"/>
      <c r="C50" s="86" t="n"/>
      <c r="D50" s="86" t="n"/>
      <c r="E50" s="85" t="n"/>
      <c r="F50" s="86" t="n"/>
      <c r="G50" s="86" t="n"/>
      <c r="H50" s="86" t="n"/>
      <c r="I50" s="86" t="n"/>
      <c r="J50" s="85" t="n"/>
      <c r="K50" s="85" t="n"/>
      <c r="L50" s="85" t="n"/>
      <c r="M50" s="85" t="n"/>
      <c r="N50" s="85" t="n"/>
      <c r="O50" s="85" t="n"/>
      <c r="P50" s="84">
        <f>IF(C50="","",IF(OR(E50="",E50="未検証"),"① STEP1待ち",IF(E50="不通過","✕ STEP1不通過",IF(OR(G50="",H50=""),"② STEP2-3 未記入",IF(COUNTIF(J50:O50,"×")&gt;0,"✕ ボツ候補",IF(COUNTA(J50:O50)&lt;6,"③ STEP4 審査待ち",IF(COUNTIF(J50:O50,"△")&gt;0,"△ 修正して再審査","◎ 候補リスト")))))))</f>
        <v/>
      </c>
      <c r="Q50" s="85" t="n"/>
      <c r="R50" s="85" t="n"/>
      <c r="S50" s="85" t="n"/>
      <c r="T50" s="84">
        <f>IF(COUNT(Q50:S50)&lt;3,"",Q50+(11-R50)+S50)</f>
        <v/>
      </c>
      <c r="U50" s="85" t="n"/>
      <c r="V50" s="86" t="n"/>
      <c r="W50" s="87">
        <f>IF(AND(P50="◎ 候補リスト",U50&lt;&gt;"ボツ",U50&lt;&gt;"制作済み",T50&lt;&gt;"",OR('②候補ランキング'!$C$5="すべて",B50='②候補ランキング'!$C$5)),IF('②候補ランキング'!$C$4="ワクワク",Q50,IF('②候補ランキング'!$C$4="手軽さ",11-R50,IF('②候補ランキング'!$C$4="確信度",S50,T50)))*1000+T50+(1000-A50)/10000,"")</f>
        <v/>
      </c>
    </row>
    <row r="51" ht="18" customHeight="1" s="35">
      <c r="A51" s="84">
        <f>IF(C51="","",ROW()-5)</f>
        <v/>
      </c>
      <c r="B51" s="85" t="n"/>
      <c r="C51" s="86" t="n"/>
      <c r="D51" s="86" t="n"/>
      <c r="E51" s="85" t="n"/>
      <c r="F51" s="86" t="n"/>
      <c r="G51" s="86" t="n"/>
      <c r="H51" s="86" t="n"/>
      <c r="I51" s="86" t="n"/>
      <c r="J51" s="85" t="n"/>
      <c r="K51" s="85" t="n"/>
      <c r="L51" s="85" t="n"/>
      <c r="M51" s="85" t="n"/>
      <c r="N51" s="85" t="n"/>
      <c r="O51" s="85" t="n"/>
      <c r="P51" s="84">
        <f>IF(C51="","",IF(OR(E51="",E51="未検証"),"① STEP1待ち",IF(E51="不通過","✕ STEP1不通過",IF(OR(G51="",H51=""),"② STEP2-3 未記入",IF(COUNTIF(J51:O51,"×")&gt;0,"✕ ボツ候補",IF(COUNTA(J51:O51)&lt;6,"③ STEP4 審査待ち",IF(COUNTIF(J51:O51,"△")&gt;0,"△ 修正して再審査","◎ 候補リスト")))))))</f>
        <v/>
      </c>
      <c r="Q51" s="85" t="n"/>
      <c r="R51" s="85" t="n"/>
      <c r="S51" s="85" t="n"/>
      <c r="T51" s="84">
        <f>IF(COUNT(Q51:S51)&lt;3,"",Q51+(11-R51)+S51)</f>
        <v/>
      </c>
      <c r="U51" s="85" t="n"/>
      <c r="V51" s="86" t="n"/>
      <c r="W51" s="87">
        <f>IF(AND(P51="◎ 候補リスト",U51&lt;&gt;"ボツ",U51&lt;&gt;"制作済み",T51&lt;&gt;"",OR('②候補ランキング'!$C$5="すべて",B51='②候補ランキング'!$C$5)),IF('②候補ランキング'!$C$4="ワクワク",Q51,IF('②候補ランキング'!$C$4="手軽さ",11-R51,IF('②候補ランキング'!$C$4="確信度",S51,T51)))*1000+T51+(1000-A51)/10000,"")</f>
        <v/>
      </c>
    </row>
    <row r="52" ht="18" customHeight="1" s="35">
      <c r="A52" s="84">
        <f>IF(C52="","",ROW()-5)</f>
        <v/>
      </c>
      <c r="B52" s="85" t="n"/>
      <c r="C52" s="86" t="n"/>
      <c r="D52" s="86" t="n"/>
      <c r="E52" s="85" t="n"/>
      <c r="F52" s="86" t="n"/>
      <c r="G52" s="86" t="n"/>
      <c r="H52" s="86" t="n"/>
      <c r="I52" s="86" t="n"/>
      <c r="J52" s="85" t="n"/>
      <c r="K52" s="85" t="n"/>
      <c r="L52" s="85" t="n"/>
      <c r="M52" s="85" t="n"/>
      <c r="N52" s="85" t="n"/>
      <c r="O52" s="85" t="n"/>
      <c r="P52" s="84">
        <f>IF(C52="","",IF(OR(E52="",E52="未検証"),"① STEP1待ち",IF(E52="不通過","✕ STEP1不通過",IF(OR(G52="",H52=""),"② STEP2-3 未記入",IF(COUNTIF(J52:O52,"×")&gt;0,"✕ ボツ候補",IF(COUNTA(J52:O52)&lt;6,"③ STEP4 審査待ち",IF(COUNTIF(J52:O52,"△")&gt;0,"△ 修正して再審査","◎ 候補リスト")))))))</f>
        <v/>
      </c>
      <c r="Q52" s="85" t="n"/>
      <c r="R52" s="85" t="n"/>
      <c r="S52" s="85" t="n"/>
      <c r="T52" s="84">
        <f>IF(COUNT(Q52:S52)&lt;3,"",Q52+(11-R52)+S52)</f>
        <v/>
      </c>
      <c r="U52" s="85" t="n"/>
      <c r="V52" s="86" t="n"/>
      <c r="W52" s="87">
        <f>IF(AND(P52="◎ 候補リスト",U52&lt;&gt;"ボツ",U52&lt;&gt;"制作済み",T52&lt;&gt;"",OR('②候補ランキング'!$C$5="すべて",B52='②候補ランキング'!$C$5)),IF('②候補ランキング'!$C$4="ワクワク",Q52,IF('②候補ランキング'!$C$4="手軽さ",11-R52,IF('②候補ランキング'!$C$4="確信度",S52,T52)))*1000+T52+(1000-A52)/10000,"")</f>
        <v/>
      </c>
    </row>
    <row r="53" ht="18" customHeight="1" s="35">
      <c r="A53" s="84">
        <f>IF(C53="","",ROW()-5)</f>
        <v/>
      </c>
      <c r="B53" s="85" t="n"/>
      <c r="C53" s="86" t="n"/>
      <c r="D53" s="86" t="n"/>
      <c r="E53" s="85" t="n"/>
      <c r="F53" s="86" t="n"/>
      <c r="G53" s="86" t="n"/>
      <c r="H53" s="86" t="n"/>
      <c r="I53" s="86" t="n"/>
      <c r="J53" s="85" t="n"/>
      <c r="K53" s="85" t="n"/>
      <c r="L53" s="85" t="n"/>
      <c r="M53" s="85" t="n"/>
      <c r="N53" s="85" t="n"/>
      <c r="O53" s="85" t="n"/>
      <c r="P53" s="84">
        <f>IF(C53="","",IF(OR(E53="",E53="未検証"),"① STEP1待ち",IF(E53="不通過","✕ STEP1不通過",IF(OR(G53="",H53=""),"② STEP2-3 未記入",IF(COUNTIF(J53:O53,"×")&gt;0,"✕ ボツ候補",IF(COUNTA(J53:O53)&lt;6,"③ STEP4 審査待ち",IF(COUNTIF(J53:O53,"△")&gt;0,"△ 修正して再審査","◎ 候補リスト")))))))</f>
        <v/>
      </c>
      <c r="Q53" s="85" t="n"/>
      <c r="R53" s="85" t="n"/>
      <c r="S53" s="85" t="n"/>
      <c r="T53" s="84">
        <f>IF(COUNT(Q53:S53)&lt;3,"",Q53+(11-R53)+S53)</f>
        <v/>
      </c>
      <c r="U53" s="85" t="n"/>
      <c r="V53" s="86" t="n"/>
      <c r="W53" s="87">
        <f>IF(AND(P53="◎ 候補リスト",U53&lt;&gt;"ボツ",U53&lt;&gt;"制作済み",T53&lt;&gt;"",OR('②候補ランキング'!$C$5="すべて",B53='②候補ランキング'!$C$5)),IF('②候補ランキング'!$C$4="ワクワク",Q53,IF('②候補ランキング'!$C$4="手軽さ",11-R53,IF('②候補ランキング'!$C$4="確信度",S53,T53)))*1000+T53+(1000-A53)/10000,"")</f>
        <v/>
      </c>
    </row>
    <row r="54" ht="18" customHeight="1" s="35">
      <c r="A54" s="84">
        <f>IF(C54="","",ROW()-5)</f>
        <v/>
      </c>
      <c r="B54" s="85" t="n"/>
      <c r="C54" s="86" t="n"/>
      <c r="D54" s="86" t="n"/>
      <c r="E54" s="85" t="n"/>
      <c r="F54" s="86" t="n"/>
      <c r="G54" s="86" t="n"/>
      <c r="H54" s="86" t="n"/>
      <c r="I54" s="86" t="n"/>
      <c r="J54" s="85" t="n"/>
      <c r="K54" s="85" t="n"/>
      <c r="L54" s="85" t="n"/>
      <c r="M54" s="85" t="n"/>
      <c r="N54" s="85" t="n"/>
      <c r="O54" s="85" t="n"/>
      <c r="P54" s="84">
        <f>IF(C54="","",IF(OR(E54="",E54="未検証"),"① STEP1待ち",IF(E54="不通過","✕ STEP1不通過",IF(OR(G54="",H54=""),"② STEP2-3 未記入",IF(COUNTIF(J54:O54,"×")&gt;0,"✕ ボツ候補",IF(COUNTA(J54:O54)&lt;6,"③ STEP4 審査待ち",IF(COUNTIF(J54:O54,"△")&gt;0,"△ 修正して再審査","◎ 候補リスト")))))))</f>
        <v/>
      </c>
      <c r="Q54" s="85" t="n"/>
      <c r="R54" s="85" t="n"/>
      <c r="S54" s="85" t="n"/>
      <c r="T54" s="84">
        <f>IF(COUNT(Q54:S54)&lt;3,"",Q54+(11-R54)+S54)</f>
        <v/>
      </c>
      <c r="U54" s="85" t="n"/>
      <c r="V54" s="86" t="n"/>
      <c r="W54" s="87">
        <f>IF(AND(P54="◎ 候補リスト",U54&lt;&gt;"ボツ",U54&lt;&gt;"制作済み",T54&lt;&gt;"",OR('②候補ランキング'!$C$5="すべて",B54='②候補ランキング'!$C$5)),IF('②候補ランキング'!$C$4="ワクワク",Q54,IF('②候補ランキング'!$C$4="手軽さ",11-R54,IF('②候補ランキング'!$C$4="確信度",S54,T54)))*1000+T54+(1000-A54)/10000,"")</f>
        <v/>
      </c>
    </row>
    <row r="55" ht="18" customHeight="1" s="35">
      <c r="A55" s="84">
        <f>IF(C55="","",ROW()-5)</f>
        <v/>
      </c>
      <c r="B55" s="85" t="n"/>
      <c r="C55" s="86" t="n"/>
      <c r="D55" s="86" t="n"/>
      <c r="E55" s="85" t="n"/>
      <c r="F55" s="86" t="n"/>
      <c r="G55" s="86" t="n"/>
      <c r="H55" s="86" t="n"/>
      <c r="I55" s="86" t="n"/>
      <c r="J55" s="85" t="n"/>
      <c r="K55" s="85" t="n"/>
      <c r="L55" s="85" t="n"/>
      <c r="M55" s="85" t="n"/>
      <c r="N55" s="85" t="n"/>
      <c r="O55" s="85" t="n"/>
      <c r="P55" s="84">
        <f>IF(C55="","",IF(OR(E55="",E55="未検証"),"① STEP1待ち",IF(E55="不通過","✕ STEP1不通過",IF(OR(G55="",H55=""),"② STEP2-3 未記入",IF(COUNTIF(J55:O55,"×")&gt;0,"✕ ボツ候補",IF(COUNTA(J55:O55)&lt;6,"③ STEP4 審査待ち",IF(COUNTIF(J55:O55,"△")&gt;0,"△ 修正して再審査","◎ 候補リスト")))))))</f>
        <v/>
      </c>
      <c r="Q55" s="85" t="n"/>
      <c r="R55" s="85" t="n"/>
      <c r="S55" s="85" t="n"/>
      <c r="T55" s="84">
        <f>IF(COUNT(Q55:S55)&lt;3,"",Q55+(11-R55)+S55)</f>
        <v/>
      </c>
      <c r="U55" s="85" t="n"/>
      <c r="V55" s="86" t="n"/>
      <c r="W55" s="87">
        <f>IF(AND(P55="◎ 候補リスト",U55&lt;&gt;"ボツ",U55&lt;&gt;"制作済み",T55&lt;&gt;"",OR('②候補ランキング'!$C$5="すべて",B55='②候補ランキング'!$C$5)),IF('②候補ランキング'!$C$4="ワクワク",Q55,IF('②候補ランキング'!$C$4="手軽さ",11-R55,IF('②候補ランキング'!$C$4="確信度",S55,T55)))*1000+T55+(1000-A55)/10000,"")</f>
        <v/>
      </c>
    </row>
    <row r="56" ht="18" customHeight="1" s="35">
      <c r="A56" s="84">
        <f>IF(C56="","",ROW()-5)</f>
        <v/>
      </c>
      <c r="B56" s="85" t="n"/>
      <c r="C56" s="86" t="n"/>
      <c r="D56" s="86" t="n"/>
      <c r="E56" s="85" t="n"/>
      <c r="F56" s="86" t="n"/>
      <c r="G56" s="86" t="n"/>
      <c r="H56" s="86" t="n"/>
      <c r="I56" s="86" t="n"/>
      <c r="J56" s="85" t="n"/>
      <c r="K56" s="85" t="n"/>
      <c r="L56" s="85" t="n"/>
      <c r="M56" s="85" t="n"/>
      <c r="N56" s="85" t="n"/>
      <c r="O56" s="85" t="n"/>
      <c r="P56" s="84">
        <f>IF(C56="","",IF(OR(E56="",E56="未検証"),"① STEP1待ち",IF(E56="不通過","✕ STEP1不通過",IF(OR(G56="",H56=""),"② STEP2-3 未記入",IF(COUNTIF(J56:O56,"×")&gt;0,"✕ ボツ候補",IF(COUNTA(J56:O56)&lt;6,"③ STEP4 審査待ち",IF(COUNTIF(J56:O56,"△")&gt;0,"△ 修正して再審査","◎ 候補リスト")))))))</f>
        <v/>
      </c>
      <c r="Q56" s="85" t="n"/>
      <c r="R56" s="85" t="n"/>
      <c r="S56" s="85" t="n"/>
      <c r="T56" s="84">
        <f>IF(COUNT(Q56:S56)&lt;3,"",Q56+(11-R56)+S56)</f>
        <v/>
      </c>
      <c r="U56" s="85" t="n"/>
      <c r="V56" s="86" t="n"/>
      <c r="W56" s="87">
        <f>IF(AND(P56="◎ 候補リスト",U56&lt;&gt;"ボツ",U56&lt;&gt;"制作済み",T56&lt;&gt;"",OR('②候補ランキング'!$C$5="すべて",B56='②候補ランキング'!$C$5)),IF('②候補ランキング'!$C$4="ワクワク",Q56,IF('②候補ランキング'!$C$4="手軽さ",11-R56,IF('②候補ランキング'!$C$4="確信度",S56,T56)))*1000+T56+(1000-A56)/10000,"")</f>
        <v/>
      </c>
    </row>
    <row r="57" ht="18" customHeight="1" s="35">
      <c r="A57" s="84">
        <f>IF(C57="","",ROW()-5)</f>
        <v/>
      </c>
      <c r="B57" s="85" t="n"/>
      <c r="C57" s="86" t="n"/>
      <c r="D57" s="86" t="n"/>
      <c r="E57" s="85" t="n"/>
      <c r="F57" s="86" t="n"/>
      <c r="G57" s="86" t="n"/>
      <c r="H57" s="86" t="n"/>
      <c r="I57" s="86" t="n"/>
      <c r="J57" s="85" t="n"/>
      <c r="K57" s="85" t="n"/>
      <c r="L57" s="85" t="n"/>
      <c r="M57" s="85" t="n"/>
      <c r="N57" s="85" t="n"/>
      <c r="O57" s="85" t="n"/>
      <c r="P57" s="84">
        <f>IF(C57="","",IF(OR(E57="",E57="未検証"),"① STEP1待ち",IF(E57="不通過","✕ STEP1不通過",IF(OR(G57="",H57=""),"② STEP2-3 未記入",IF(COUNTIF(J57:O57,"×")&gt;0,"✕ ボツ候補",IF(COUNTA(J57:O57)&lt;6,"③ STEP4 審査待ち",IF(COUNTIF(J57:O57,"△")&gt;0,"△ 修正して再審査","◎ 候補リスト")))))))</f>
        <v/>
      </c>
      <c r="Q57" s="85" t="n"/>
      <c r="R57" s="85" t="n"/>
      <c r="S57" s="85" t="n"/>
      <c r="T57" s="84">
        <f>IF(COUNT(Q57:S57)&lt;3,"",Q57+(11-R57)+S57)</f>
        <v/>
      </c>
      <c r="U57" s="85" t="n"/>
      <c r="V57" s="86" t="n"/>
      <c r="W57" s="87">
        <f>IF(AND(P57="◎ 候補リスト",U57&lt;&gt;"ボツ",U57&lt;&gt;"制作済み",T57&lt;&gt;"",OR('②候補ランキング'!$C$5="すべて",B57='②候補ランキング'!$C$5)),IF('②候補ランキング'!$C$4="ワクワク",Q57,IF('②候補ランキング'!$C$4="手軽さ",11-R57,IF('②候補ランキング'!$C$4="確信度",S57,T57)))*1000+T57+(1000-A57)/10000,"")</f>
        <v/>
      </c>
    </row>
    <row r="58" ht="18" customHeight="1" s="35">
      <c r="A58" s="84">
        <f>IF(C58="","",ROW()-5)</f>
        <v/>
      </c>
      <c r="B58" s="85" t="n"/>
      <c r="C58" s="86" t="n"/>
      <c r="D58" s="86" t="n"/>
      <c r="E58" s="85" t="n"/>
      <c r="F58" s="86" t="n"/>
      <c r="G58" s="86" t="n"/>
      <c r="H58" s="86" t="n"/>
      <c r="I58" s="86" t="n"/>
      <c r="J58" s="85" t="n"/>
      <c r="K58" s="85" t="n"/>
      <c r="L58" s="85" t="n"/>
      <c r="M58" s="85" t="n"/>
      <c r="N58" s="85" t="n"/>
      <c r="O58" s="85" t="n"/>
      <c r="P58" s="84">
        <f>IF(C58="","",IF(OR(E58="",E58="未検証"),"① STEP1待ち",IF(E58="不通過","✕ STEP1不通過",IF(OR(G58="",H58=""),"② STEP2-3 未記入",IF(COUNTIF(J58:O58,"×")&gt;0,"✕ ボツ候補",IF(COUNTA(J58:O58)&lt;6,"③ STEP4 審査待ち",IF(COUNTIF(J58:O58,"△")&gt;0,"△ 修正して再審査","◎ 候補リスト")))))))</f>
        <v/>
      </c>
      <c r="Q58" s="85" t="n"/>
      <c r="R58" s="85" t="n"/>
      <c r="S58" s="85" t="n"/>
      <c r="T58" s="84">
        <f>IF(COUNT(Q58:S58)&lt;3,"",Q58+(11-R58)+S58)</f>
        <v/>
      </c>
      <c r="U58" s="85" t="n"/>
      <c r="V58" s="86" t="n"/>
      <c r="W58" s="87">
        <f>IF(AND(P58="◎ 候補リスト",U58&lt;&gt;"ボツ",U58&lt;&gt;"制作済み",T58&lt;&gt;"",OR('②候補ランキング'!$C$5="すべて",B58='②候補ランキング'!$C$5)),IF('②候補ランキング'!$C$4="ワクワク",Q58,IF('②候補ランキング'!$C$4="手軽さ",11-R58,IF('②候補ランキング'!$C$4="確信度",S58,T58)))*1000+T58+(1000-A58)/10000,"")</f>
        <v/>
      </c>
    </row>
    <row r="59" ht="18" customHeight="1" s="35">
      <c r="A59" s="84">
        <f>IF(C59="","",ROW()-5)</f>
        <v/>
      </c>
      <c r="B59" s="85" t="n"/>
      <c r="C59" s="86" t="n"/>
      <c r="D59" s="86" t="n"/>
      <c r="E59" s="85" t="n"/>
      <c r="F59" s="86" t="n"/>
      <c r="G59" s="86" t="n"/>
      <c r="H59" s="86" t="n"/>
      <c r="I59" s="86" t="n"/>
      <c r="J59" s="85" t="n"/>
      <c r="K59" s="85" t="n"/>
      <c r="L59" s="85" t="n"/>
      <c r="M59" s="85" t="n"/>
      <c r="N59" s="85" t="n"/>
      <c r="O59" s="85" t="n"/>
      <c r="P59" s="84">
        <f>IF(C59="","",IF(OR(E59="",E59="未検証"),"① STEP1待ち",IF(E59="不通過","✕ STEP1不通過",IF(OR(G59="",H59=""),"② STEP2-3 未記入",IF(COUNTIF(J59:O59,"×")&gt;0,"✕ ボツ候補",IF(COUNTA(J59:O59)&lt;6,"③ STEP4 審査待ち",IF(COUNTIF(J59:O59,"△")&gt;0,"△ 修正して再審査","◎ 候補リスト")))))))</f>
        <v/>
      </c>
      <c r="Q59" s="85" t="n"/>
      <c r="R59" s="85" t="n"/>
      <c r="S59" s="85" t="n"/>
      <c r="T59" s="84">
        <f>IF(COUNT(Q59:S59)&lt;3,"",Q59+(11-R59)+S59)</f>
        <v/>
      </c>
      <c r="U59" s="85" t="n"/>
      <c r="V59" s="86" t="n"/>
      <c r="W59" s="87">
        <f>IF(AND(P59="◎ 候補リスト",U59&lt;&gt;"ボツ",U59&lt;&gt;"制作済み",T59&lt;&gt;"",OR('②候補ランキング'!$C$5="すべて",B59='②候補ランキング'!$C$5)),IF('②候補ランキング'!$C$4="ワクワク",Q59,IF('②候補ランキング'!$C$4="手軽さ",11-R59,IF('②候補ランキング'!$C$4="確信度",S59,T59)))*1000+T59+(1000-A59)/10000,"")</f>
        <v/>
      </c>
    </row>
    <row r="60" ht="18" customHeight="1" s="35">
      <c r="A60" s="84">
        <f>IF(C60="","",ROW()-5)</f>
        <v/>
      </c>
      <c r="B60" s="85" t="n"/>
      <c r="C60" s="86" t="n"/>
      <c r="D60" s="86" t="n"/>
      <c r="E60" s="85" t="n"/>
      <c r="F60" s="86" t="n"/>
      <c r="G60" s="86" t="n"/>
      <c r="H60" s="86" t="n"/>
      <c r="I60" s="86" t="n"/>
      <c r="J60" s="85" t="n"/>
      <c r="K60" s="85" t="n"/>
      <c r="L60" s="85" t="n"/>
      <c r="M60" s="85" t="n"/>
      <c r="N60" s="85" t="n"/>
      <c r="O60" s="85" t="n"/>
      <c r="P60" s="84">
        <f>IF(C60="","",IF(OR(E60="",E60="未検証"),"① STEP1待ち",IF(E60="不通過","✕ STEP1不通過",IF(OR(G60="",H60=""),"② STEP2-3 未記入",IF(COUNTIF(J60:O60,"×")&gt;0,"✕ ボツ候補",IF(COUNTA(J60:O60)&lt;6,"③ STEP4 審査待ち",IF(COUNTIF(J60:O60,"△")&gt;0,"△ 修正して再審査","◎ 候補リスト")))))))</f>
        <v/>
      </c>
      <c r="Q60" s="85" t="n"/>
      <c r="R60" s="85" t="n"/>
      <c r="S60" s="85" t="n"/>
      <c r="T60" s="84">
        <f>IF(COUNT(Q60:S60)&lt;3,"",Q60+(11-R60)+S60)</f>
        <v/>
      </c>
      <c r="U60" s="85" t="n"/>
      <c r="V60" s="86" t="n"/>
      <c r="W60" s="87">
        <f>IF(AND(P60="◎ 候補リスト",U60&lt;&gt;"ボツ",U60&lt;&gt;"制作済み",T60&lt;&gt;"",OR('②候補ランキング'!$C$5="すべて",B60='②候補ランキング'!$C$5)),IF('②候補ランキング'!$C$4="ワクワク",Q60,IF('②候補ランキング'!$C$4="手軽さ",11-R60,IF('②候補ランキング'!$C$4="確信度",S60,T60)))*1000+T60+(1000-A60)/10000,"")</f>
        <v/>
      </c>
    </row>
    <row r="61" ht="18" customHeight="1" s="35">
      <c r="A61" s="84">
        <f>IF(C61="","",ROW()-5)</f>
        <v/>
      </c>
      <c r="B61" s="85" t="n"/>
      <c r="C61" s="86" t="n"/>
      <c r="D61" s="86" t="n"/>
      <c r="E61" s="85" t="n"/>
      <c r="F61" s="86" t="n"/>
      <c r="G61" s="86" t="n"/>
      <c r="H61" s="86" t="n"/>
      <c r="I61" s="86" t="n"/>
      <c r="J61" s="85" t="n"/>
      <c r="K61" s="85" t="n"/>
      <c r="L61" s="85" t="n"/>
      <c r="M61" s="85" t="n"/>
      <c r="N61" s="85" t="n"/>
      <c r="O61" s="85" t="n"/>
      <c r="P61" s="84">
        <f>IF(C61="","",IF(OR(E61="",E61="未検証"),"① STEP1待ち",IF(E61="不通過","✕ STEP1不通過",IF(OR(G61="",H61=""),"② STEP2-3 未記入",IF(COUNTIF(J61:O61,"×")&gt;0,"✕ ボツ候補",IF(COUNTA(J61:O61)&lt;6,"③ STEP4 審査待ち",IF(COUNTIF(J61:O61,"△")&gt;0,"△ 修正して再審査","◎ 候補リスト")))))))</f>
        <v/>
      </c>
      <c r="Q61" s="85" t="n"/>
      <c r="R61" s="85" t="n"/>
      <c r="S61" s="85" t="n"/>
      <c r="T61" s="84">
        <f>IF(COUNT(Q61:S61)&lt;3,"",Q61+(11-R61)+S61)</f>
        <v/>
      </c>
      <c r="U61" s="85" t="n"/>
      <c r="V61" s="86" t="n"/>
      <c r="W61" s="87">
        <f>IF(AND(P61="◎ 候補リスト",U61&lt;&gt;"ボツ",U61&lt;&gt;"制作済み",T61&lt;&gt;"",OR('②候補ランキング'!$C$5="すべて",B61='②候補ランキング'!$C$5)),IF('②候補ランキング'!$C$4="ワクワク",Q61,IF('②候補ランキング'!$C$4="手軽さ",11-R61,IF('②候補ランキング'!$C$4="確信度",S61,T61)))*1000+T61+(1000-A61)/10000,"")</f>
        <v/>
      </c>
    </row>
    <row r="62" ht="18" customHeight="1" s="35">
      <c r="A62" s="84">
        <f>IF(C62="","",ROW()-5)</f>
        <v/>
      </c>
      <c r="B62" s="85" t="n"/>
      <c r="C62" s="86" t="n"/>
      <c r="D62" s="86" t="n"/>
      <c r="E62" s="85" t="n"/>
      <c r="F62" s="86" t="n"/>
      <c r="G62" s="86" t="n"/>
      <c r="H62" s="86" t="n"/>
      <c r="I62" s="86" t="n"/>
      <c r="J62" s="85" t="n"/>
      <c r="K62" s="85" t="n"/>
      <c r="L62" s="85" t="n"/>
      <c r="M62" s="85" t="n"/>
      <c r="N62" s="85" t="n"/>
      <c r="O62" s="85" t="n"/>
      <c r="P62" s="84">
        <f>IF(C62="","",IF(OR(E62="",E62="未検証"),"① STEP1待ち",IF(E62="不通過","✕ STEP1不通過",IF(OR(G62="",H62=""),"② STEP2-3 未記入",IF(COUNTIF(J62:O62,"×")&gt;0,"✕ ボツ候補",IF(COUNTA(J62:O62)&lt;6,"③ STEP4 審査待ち",IF(COUNTIF(J62:O62,"△")&gt;0,"△ 修正して再審査","◎ 候補リスト")))))))</f>
        <v/>
      </c>
      <c r="Q62" s="85" t="n"/>
      <c r="R62" s="85" t="n"/>
      <c r="S62" s="85" t="n"/>
      <c r="T62" s="84">
        <f>IF(COUNT(Q62:S62)&lt;3,"",Q62+(11-R62)+S62)</f>
        <v/>
      </c>
      <c r="U62" s="85" t="n"/>
      <c r="V62" s="86" t="n"/>
      <c r="W62" s="87">
        <f>IF(AND(P62="◎ 候補リスト",U62&lt;&gt;"ボツ",U62&lt;&gt;"制作済み",T62&lt;&gt;"",OR('②候補ランキング'!$C$5="すべて",B62='②候補ランキング'!$C$5)),IF('②候補ランキング'!$C$4="ワクワク",Q62,IF('②候補ランキング'!$C$4="手軽さ",11-R62,IF('②候補ランキング'!$C$4="確信度",S62,T62)))*1000+T62+(1000-A62)/10000,"")</f>
        <v/>
      </c>
    </row>
    <row r="63" ht="18" customHeight="1" s="35">
      <c r="A63" s="84">
        <f>IF(C63="","",ROW()-5)</f>
        <v/>
      </c>
      <c r="B63" s="85" t="n"/>
      <c r="C63" s="86" t="n"/>
      <c r="D63" s="86" t="n"/>
      <c r="E63" s="85" t="n"/>
      <c r="F63" s="86" t="n"/>
      <c r="G63" s="86" t="n"/>
      <c r="H63" s="86" t="n"/>
      <c r="I63" s="86" t="n"/>
      <c r="J63" s="85" t="n"/>
      <c r="K63" s="85" t="n"/>
      <c r="L63" s="85" t="n"/>
      <c r="M63" s="85" t="n"/>
      <c r="N63" s="85" t="n"/>
      <c r="O63" s="85" t="n"/>
      <c r="P63" s="84">
        <f>IF(C63="","",IF(OR(E63="",E63="未検証"),"① STEP1待ち",IF(E63="不通過","✕ STEP1不通過",IF(OR(G63="",H63=""),"② STEP2-3 未記入",IF(COUNTIF(J63:O63,"×")&gt;0,"✕ ボツ候補",IF(COUNTA(J63:O63)&lt;6,"③ STEP4 審査待ち",IF(COUNTIF(J63:O63,"△")&gt;0,"△ 修正して再審査","◎ 候補リスト")))))))</f>
        <v/>
      </c>
      <c r="Q63" s="85" t="n"/>
      <c r="R63" s="85" t="n"/>
      <c r="S63" s="85" t="n"/>
      <c r="T63" s="84">
        <f>IF(COUNT(Q63:S63)&lt;3,"",Q63+(11-R63)+S63)</f>
        <v/>
      </c>
      <c r="U63" s="85" t="n"/>
      <c r="V63" s="86" t="n"/>
      <c r="W63" s="87">
        <f>IF(AND(P63="◎ 候補リスト",U63&lt;&gt;"ボツ",U63&lt;&gt;"制作済み",T63&lt;&gt;"",OR('②候補ランキング'!$C$5="すべて",B63='②候補ランキング'!$C$5)),IF('②候補ランキング'!$C$4="ワクワク",Q63,IF('②候補ランキング'!$C$4="手軽さ",11-R63,IF('②候補ランキング'!$C$4="確信度",S63,T63)))*1000+T63+(1000-A63)/10000,"")</f>
        <v/>
      </c>
    </row>
    <row r="64" ht="18" customHeight="1" s="35">
      <c r="A64" s="84">
        <f>IF(C64="","",ROW()-5)</f>
        <v/>
      </c>
      <c r="B64" s="85" t="n"/>
      <c r="C64" s="86" t="n"/>
      <c r="D64" s="86" t="n"/>
      <c r="E64" s="85" t="n"/>
      <c r="F64" s="86" t="n"/>
      <c r="G64" s="86" t="n"/>
      <c r="H64" s="86" t="n"/>
      <c r="I64" s="86" t="n"/>
      <c r="J64" s="85" t="n"/>
      <c r="K64" s="85" t="n"/>
      <c r="L64" s="85" t="n"/>
      <c r="M64" s="85" t="n"/>
      <c r="N64" s="85" t="n"/>
      <c r="O64" s="85" t="n"/>
      <c r="P64" s="84">
        <f>IF(C64="","",IF(OR(E64="",E64="未検証"),"① STEP1待ち",IF(E64="不通過","✕ STEP1不通過",IF(OR(G64="",H64=""),"② STEP2-3 未記入",IF(COUNTIF(J64:O64,"×")&gt;0,"✕ ボツ候補",IF(COUNTA(J64:O64)&lt;6,"③ STEP4 審査待ち",IF(COUNTIF(J64:O64,"△")&gt;0,"△ 修正して再審査","◎ 候補リスト")))))))</f>
        <v/>
      </c>
      <c r="Q64" s="85" t="n"/>
      <c r="R64" s="85" t="n"/>
      <c r="S64" s="85" t="n"/>
      <c r="T64" s="84">
        <f>IF(COUNT(Q64:S64)&lt;3,"",Q64+(11-R64)+S64)</f>
        <v/>
      </c>
      <c r="U64" s="85" t="n"/>
      <c r="V64" s="86" t="n"/>
      <c r="W64" s="87">
        <f>IF(AND(P64="◎ 候補リスト",U64&lt;&gt;"ボツ",U64&lt;&gt;"制作済み",T64&lt;&gt;"",OR('②候補ランキング'!$C$5="すべて",B64='②候補ランキング'!$C$5)),IF('②候補ランキング'!$C$4="ワクワク",Q64,IF('②候補ランキング'!$C$4="手軽さ",11-R64,IF('②候補ランキング'!$C$4="確信度",S64,T64)))*1000+T64+(1000-A64)/10000,"")</f>
        <v/>
      </c>
    </row>
    <row r="65" ht="18" customHeight="1" s="35">
      <c r="A65" s="84">
        <f>IF(C65="","",ROW()-5)</f>
        <v/>
      </c>
      <c r="B65" s="85" t="n"/>
      <c r="C65" s="86" t="n"/>
      <c r="D65" s="86" t="n"/>
      <c r="E65" s="85" t="n"/>
      <c r="F65" s="86" t="n"/>
      <c r="G65" s="86" t="n"/>
      <c r="H65" s="86" t="n"/>
      <c r="I65" s="86" t="n"/>
      <c r="J65" s="85" t="n"/>
      <c r="K65" s="85" t="n"/>
      <c r="L65" s="85" t="n"/>
      <c r="M65" s="85" t="n"/>
      <c r="N65" s="85" t="n"/>
      <c r="O65" s="85" t="n"/>
      <c r="P65" s="84">
        <f>IF(C65="","",IF(OR(E65="",E65="未検証"),"① STEP1待ち",IF(E65="不通過","✕ STEP1不通過",IF(OR(G65="",H65=""),"② STEP2-3 未記入",IF(COUNTIF(J65:O65,"×")&gt;0,"✕ ボツ候補",IF(COUNTA(J65:O65)&lt;6,"③ STEP4 審査待ち",IF(COUNTIF(J65:O65,"△")&gt;0,"△ 修正して再審査","◎ 候補リスト")))))))</f>
        <v/>
      </c>
      <c r="Q65" s="85" t="n"/>
      <c r="R65" s="85" t="n"/>
      <c r="S65" s="85" t="n"/>
      <c r="T65" s="84">
        <f>IF(COUNT(Q65:S65)&lt;3,"",Q65+(11-R65)+S65)</f>
        <v/>
      </c>
      <c r="U65" s="85" t="n"/>
      <c r="V65" s="86" t="n"/>
      <c r="W65" s="87">
        <f>IF(AND(P65="◎ 候補リスト",U65&lt;&gt;"ボツ",U65&lt;&gt;"制作済み",T65&lt;&gt;"",OR('②候補ランキング'!$C$5="すべて",B65='②候補ランキング'!$C$5)),IF('②候補ランキング'!$C$4="ワクワク",Q65,IF('②候補ランキング'!$C$4="手軽さ",11-R65,IF('②候補ランキング'!$C$4="確信度",S65,T65)))*1000+T65+(1000-A65)/10000,"")</f>
        <v/>
      </c>
    </row>
    <row r="66" ht="18" customHeight="1" s="35">
      <c r="A66" s="84">
        <f>IF(C66="","",ROW()-5)</f>
        <v/>
      </c>
      <c r="B66" s="85" t="n"/>
      <c r="C66" s="86" t="n"/>
      <c r="D66" s="86" t="n"/>
      <c r="E66" s="85" t="n"/>
      <c r="F66" s="86" t="n"/>
      <c r="G66" s="86" t="n"/>
      <c r="H66" s="86" t="n"/>
      <c r="I66" s="86" t="n"/>
      <c r="J66" s="85" t="n"/>
      <c r="K66" s="85" t="n"/>
      <c r="L66" s="85" t="n"/>
      <c r="M66" s="85" t="n"/>
      <c r="N66" s="85" t="n"/>
      <c r="O66" s="85" t="n"/>
      <c r="P66" s="84">
        <f>IF(C66="","",IF(OR(E66="",E66="未検証"),"① STEP1待ち",IF(E66="不通過","✕ STEP1不通過",IF(OR(G66="",H66=""),"② STEP2-3 未記入",IF(COUNTIF(J66:O66,"×")&gt;0,"✕ ボツ候補",IF(COUNTA(J66:O66)&lt;6,"③ STEP4 審査待ち",IF(COUNTIF(J66:O66,"△")&gt;0,"△ 修正して再審査","◎ 候補リスト")))))))</f>
        <v/>
      </c>
      <c r="Q66" s="85" t="n"/>
      <c r="R66" s="85" t="n"/>
      <c r="S66" s="85" t="n"/>
      <c r="T66" s="84">
        <f>IF(COUNT(Q66:S66)&lt;3,"",Q66+(11-R66)+S66)</f>
        <v/>
      </c>
      <c r="U66" s="85" t="n"/>
      <c r="V66" s="86" t="n"/>
      <c r="W66" s="87">
        <f>IF(AND(P66="◎ 候補リスト",U66&lt;&gt;"ボツ",U66&lt;&gt;"制作済み",T66&lt;&gt;"",OR('②候補ランキング'!$C$5="すべて",B66='②候補ランキング'!$C$5)),IF('②候補ランキング'!$C$4="ワクワク",Q66,IF('②候補ランキング'!$C$4="手軽さ",11-R66,IF('②候補ランキング'!$C$4="確信度",S66,T66)))*1000+T66+(1000-A66)/10000,"")</f>
        <v/>
      </c>
    </row>
    <row r="67" ht="18" customHeight="1" s="35">
      <c r="A67" s="84">
        <f>IF(C67="","",ROW()-5)</f>
        <v/>
      </c>
      <c r="B67" s="85" t="n"/>
      <c r="C67" s="86" t="n"/>
      <c r="D67" s="86" t="n"/>
      <c r="E67" s="85" t="n"/>
      <c r="F67" s="86" t="n"/>
      <c r="G67" s="86" t="n"/>
      <c r="H67" s="86" t="n"/>
      <c r="I67" s="86" t="n"/>
      <c r="J67" s="85" t="n"/>
      <c r="K67" s="85" t="n"/>
      <c r="L67" s="85" t="n"/>
      <c r="M67" s="85" t="n"/>
      <c r="N67" s="85" t="n"/>
      <c r="O67" s="85" t="n"/>
      <c r="P67" s="84">
        <f>IF(C67="","",IF(OR(E67="",E67="未検証"),"① STEP1待ち",IF(E67="不通過","✕ STEP1不通過",IF(OR(G67="",H67=""),"② STEP2-3 未記入",IF(COUNTIF(J67:O67,"×")&gt;0,"✕ ボツ候補",IF(COUNTA(J67:O67)&lt;6,"③ STEP4 審査待ち",IF(COUNTIF(J67:O67,"△")&gt;0,"△ 修正して再審査","◎ 候補リスト")))))))</f>
        <v/>
      </c>
      <c r="Q67" s="85" t="n"/>
      <c r="R67" s="85" t="n"/>
      <c r="S67" s="85" t="n"/>
      <c r="T67" s="84">
        <f>IF(COUNT(Q67:S67)&lt;3,"",Q67+(11-R67)+S67)</f>
        <v/>
      </c>
      <c r="U67" s="85" t="n"/>
      <c r="V67" s="86" t="n"/>
      <c r="W67" s="87">
        <f>IF(AND(P67="◎ 候補リスト",U67&lt;&gt;"ボツ",U67&lt;&gt;"制作済み",T67&lt;&gt;"",OR('②候補ランキング'!$C$5="すべて",B67='②候補ランキング'!$C$5)),IF('②候補ランキング'!$C$4="ワクワク",Q67,IF('②候補ランキング'!$C$4="手軽さ",11-R67,IF('②候補ランキング'!$C$4="確信度",S67,T67)))*1000+T67+(1000-A67)/10000,"")</f>
        <v/>
      </c>
    </row>
    <row r="68" ht="18" customHeight="1" s="35">
      <c r="A68" s="84">
        <f>IF(C68="","",ROW()-5)</f>
        <v/>
      </c>
      <c r="B68" s="85" t="n"/>
      <c r="C68" s="86" t="n"/>
      <c r="D68" s="86" t="n"/>
      <c r="E68" s="85" t="n"/>
      <c r="F68" s="86" t="n"/>
      <c r="G68" s="86" t="n"/>
      <c r="H68" s="86" t="n"/>
      <c r="I68" s="86" t="n"/>
      <c r="J68" s="85" t="n"/>
      <c r="K68" s="85" t="n"/>
      <c r="L68" s="85" t="n"/>
      <c r="M68" s="85" t="n"/>
      <c r="N68" s="85" t="n"/>
      <c r="O68" s="85" t="n"/>
      <c r="P68" s="84">
        <f>IF(C68="","",IF(OR(E68="",E68="未検証"),"① STEP1待ち",IF(E68="不通過","✕ STEP1不通過",IF(OR(G68="",H68=""),"② STEP2-3 未記入",IF(COUNTIF(J68:O68,"×")&gt;0,"✕ ボツ候補",IF(COUNTA(J68:O68)&lt;6,"③ STEP4 審査待ち",IF(COUNTIF(J68:O68,"△")&gt;0,"△ 修正して再審査","◎ 候補リスト")))))))</f>
        <v/>
      </c>
      <c r="Q68" s="85" t="n"/>
      <c r="R68" s="85" t="n"/>
      <c r="S68" s="85" t="n"/>
      <c r="T68" s="84">
        <f>IF(COUNT(Q68:S68)&lt;3,"",Q68+(11-R68)+S68)</f>
        <v/>
      </c>
      <c r="U68" s="85" t="n"/>
      <c r="V68" s="86" t="n"/>
      <c r="W68" s="87">
        <f>IF(AND(P68="◎ 候補リスト",U68&lt;&gt;"ボツ",U68&lt;&gt;"制作済み",T68&lt;&gt;"",OR('②候補ランキング'!$C$5="すべて",B68='②候補ランキング'!$C$5)),IF('②候補ランキング'!$C$4="ワクワク",Q68,IF('②候補ランキング'!$C$4="手軽さ",11-R68,IF('②候補ランキング'!$C$4="確信度",S68,T68)))*1000+T68+(1000-A68)/10000,"")</f>
        <v/>
      </c>
    </row>
    <row r="69" ht="18" customHeight="1" s="35">
      <c r="A69" s="84">
        <f>IF(C69="","",ROW()-5)</f>
        <v/>
      </c>
      <c r="B69" s="85" t="n"/>
      <c r="C69" s="86" t="n"/>
      <c r="D69" s="86" t="n"/>
      <c r="E69" s="85" t="n"/>
      <c r="F69" s="86" t="n"/>
      <c r="G69" s="86" t="n"/>
      <c r="H69" s="86" t="n"/>
      <c r="I69" s="86" t="n"/>
      <c r="J69" s="85" t="n"/>
      <c r="K69" s="85" t="n"/>
      <c r="L69" s="85" t="n"/>
      <c r="M69" s="85" t="n"/>
      <c r="N69" s="85" t="n"/>
      <c r="O69" s="85" t="n"/>
      <c r="P69" s="84">
        <f>IF(C69="","",IF(OR(E69="",E69="未検証"),"① STEP1待ち",IF(E69="不通過","✕ STEP1不通過",IF(OR(G69="",H69=""),"② STEP2-3 未記入",IF(COUNTIF(J69:O69,"×")&gt;0,"✕ ボツ候補",IF(COUNTA(J69:O69)&lt;6,"③ STEP4 審査待ち",IF(COUNTIF(J69:O69,"△")&gt;0,"△ 修正して再審査","◎ 候補リスト")))))))</f>
        <v/>
      </c>
      <c r="Q69" s="85" t="n"/>
      <c r="R69" s="85" t="n"/>
      <c r="S69" s="85" t="n"/>
      <c r="T69" s="84">
        <f>IF(COUNT(Q69:S69)&lt;3,"",Q69+(11-R69)+S69)</f>
        <v/>
      </c>
      <c r="U69" s="85" t="n"/>
      <c r="V69" s="86" t="n"/>
      <c r="W69" s="87">
        <f>IF(AND(P69="◎ 候補リスト",U69&lt;&gt;"ボツ",U69&lt;&gt;"制作済み",T69&lt;&gt;"",OR('②候補ランキング'!$C$5="すべて",B69='②候補ランキング'!$C$5)),IF('②候補ランキング'!$C$4="ワクワク",Q69,IF('②候補ランキング'!$C$4="手軽さ",11-R69,IF('②候補ランキング'!$C$4="確信度",S69,T69)))*1000+T69+(1000-A69)/10000,"")</f>
        <v/>
      </c>
    </row>
    <row r="70" ht="18" customHeight="1" s="35">
      <c r="A70" s="84">
        <f>IF(C70="","",ROW()-5)</f>
        <v/>
      </c>
      <c r="B70" s="85" t="n"/>
      <c r="C70" s="86" t="n"/>
      <c r="D70" s="86" t="n"/>
      <c r="E70" s="85" t="n"/>
      <c r="F70" s="86" t="n"/>
      <c r="G70" s="86" t="n"/>
      <c r="H70" s="86" t="n"/>
      <c r="I70" s="86" t="n"/>
      <c r="J70" s="85" t="n"/>
      <c r="K70" s="85" t="n"/>
      <c r="L70" s="85" t="n"/>
      <c r="M70" s="85" t="n"/>
      <c r="N70" s="85" t="n"/>
      <c r="O70" s="85" t="n"/>
      <c r="P70" s="84">
        <f>IF(C70="","",IF(OR(E70="",E70="未検証"),"① STEP1待ち",IF(E70="不通過","✕ STEP1不通過",IF(OR(G70="",H70=""),"② STEP2-3 未記入",IF(COUNTIF(J70:O70,"×")&gt;0,"✕ ボツ候補",IF(COUNTA(J70:O70)&lt;6,"③ STEP4 審査待ち",IF(COUNTIF(J70:O70,"△")&gt;0,"△ 修正して再審査","◎ 候補リスト")))))))</f>
        <v/>
      </c>
      <c r="Q70" s="85" t="n"/>
      <c r="R70" s="85" t="n"/>
      <c r="S70" s="85" t="n"/>
      <c r="T70" s="84">
        <f>IF(COUNT(Q70:S70)&lt;3,"",Q70+(11-R70)+S70)</f>
        <v/>
      </c>
      <c r="U70" s="85" t="n"/>
      <c r="V70" s="86" t="n"/>
      <c r="W70" s="87">
        <f>IF(AND(P70="◎ 候補リスト",U70&lt;&gt;"ボツ",U70&lt;&gt;"制作済み",T70&lt;&gt;"",OR('②候補ランキング'!$C$5="すべて",B70='②候補ランキング'!$C$5)),IF('②候補ランキング'!$C$4="ワクワク",Q70,IF('②候補ランキング'!$C$4="手軽さ",11-R70,IF('②候補ランキング'!$C$4="確信度",S70,T70)))*1000+T70+(1000-A70)/10000,"")</f>
        <v/>
      </c>
    </row>
    <row r="71" ht="18" customHeight="1" s="35">
      <c r="A71" s="84">
        <f>IF(C71="","",ROW()-5)</f>
        <v/>
      </c>
      <c r="B71" s="85" t="n"/>
      <c r="C71" s="86" t="n"/>
      <c r="D71" s="86" t="n"/>
      <c r="E71" s="85" t="n"/>
      <c r="F71" s="86" t="n"/>
      <c r="G71" s="86" t="n"/>
      <c r="H71" s="86" t="n"/>
      <c r="I71" s="86" t="n"/>
      <c r="J71" s="85" t="n"/>
      <c r="K71" s="85" t="n"/>
      <c r="L71" s="85" t="n"/>
      <c r="M71" s="85" t="n"/>
      <c r="N71" s="85" t="n"/>
      <c r="O71" s="85" t="n"/>
      <c r="P71" s="84">
        <f>IF(C71="","",IF(OR(E71="",E71="未検証"),"① STEP1待ち",IF(E71="不通過","✕ STEP1不通過",IF(OR(G71="",H71=""),"② STEP2-3 未記入",IF(COUNTIF(J71:O71,"×")&gt;0,"✕ ボツ候補",IF(COUNTA(J71:O71)&lt;6,"③ STEP4 審査待ち",IF(COUNTIF(J71:O71,"△")&gt;0,"△ 修正して再審査","◎ 候補リスト")))))))</f>
        <v/>
      </c>
      <c r="Q71" s="85" t="n"/>
      <c r="R71" s="85" t="n"/>
      <c r="S71" s="85" t="n"/>
      <c r="T71" s="84">
        <f>IF(COUNT(Q71:S71)&lt;3,"",Q71+(11-R71)+S71)</f>
        <v/>
      </c>
      <c r="U71" s="85" t="n"/>
      <c r="V71" s="86" t="n"/>
      <c r="W71" s="87">
        <f>IF(AND(P71="◎ 候補リスト",U71&lt;&gt;"ボツ",U71&lt;&gt;"制作済み",T71&lt;&gt;"",OR('②候補ランキング'!$C$5="すべて",B71='②候補ランキング'!$C$5)),IF('②候補ランキング'!$C$4="ワクワク",Q71,IF('②候補ランキング'!$C$4="手軽さ",11-R71,IF('②候補ランキング'!$C$4="確信度",S71,T71)))*1000+T71+(1000-A71)/10000,"")</f>
        <v/>
      </c>
    </row>
    <row r="72" ht="18" customHeight="1" s="35">
      <c r="A72" s="84">
        <f>IF(C72="","",ROW()-5)</f>
        <v/>
      </c>
      <c r="B72" s="85" t="n"/>
      <c r="C72" s="86" t="n"/>
      <c r="D72" s="86" t="n"/>
      <c r="E72" s="85" t="n"/>
      <c r="F72" s="86" t="n"/>
      <c r="G72" s="86" t="n"/>
      <c r="H72" s="86" t="n"/>
      <c r="I72" s="86" t="n"/>
      <c r="J72" s="85" t="n"/>
      <c r="K72" s="85" t="n"/>
      <c r="L72" s="85" t="n"/>
      <c r="M72" s="85" t="n"/>
      <c r="N72" s="85" t="n"/>
      <c r="O72" s="85" t="n"/>
      <c r="P72" s="84">
        <f>IF(C72="","",IF(OR(E72="",E72="未検証"),"① STEP1待ち",IF(E72="不通過","✕ STEP1不通過",IF(OR(G72="",H72=""),"② STEP2-3 未記入",IF(COUNTIF(J72:O72,"×")&gt;0,"✕ ボツ候補",IF(COUNTA(J72:O72)&lt;6,"③ STEP4 審査待ち",IF(COUNTIF(J72:O72,"△")&gt;0,"△ 修正して再審査","◎ 候補リスト")))))))</f>
        <v/>
      </c>
      <c r="Q72" s="85" t="n"/>
      <c r="R72" s="85" t="n"/>
      <c r="S72" s="85" t="n"/>
      <c r="T72" s="84">
        <f>IF(COUNT(Q72:S72)&lt;3,"",Q72+(11-R72)+S72)</f>
        <v/>
      </c>
      <c r="U72" s="85" t="n"/>
      <c r="V72" s="86" t="n"/>
      <c r="W72" s="87">
        <f>IF(AND(P72="◎ 候補リスト",U72&lt;&gt;"ボツ",U72&lt;&gt;"制作済み",T72&lt;&gt;"",OR('②候補ランキング'!$C$5="すべて",B72='②候補ランキング'!$C$5)),IF('②候補ランキング'!$C$4="ワクワク",Q72,IF('②候補ランキング'!$C$4="手軽さ",11-R72,IF('②候補ランキング'!$C$4="確信度",S72,T72)))*1000+T72+(1000-A72)/10000,"")</f>
        <v/>
      </c>
    </row>
    <row r="73" ht="18" customHeight="1" s="35">
      <c r="A73" s="84">
        <f>IF(C73="","",ROW()-5)</f>
        <v/>
      </c>
      <c r="B73" s="85" t="n"/>
      <c r="C73" s="86" t="n"/>
      <c r="D73" s="86" t="n"/>
      <c r="E73" s="85" t="n"/>
      <c r="F73" s="86" t="n"/>
      <c r="G73" s="86" t="n"/>
      <c r="H73" s="86" t="n"/>
      <c r="I73" s="86" t="n"/>
      <c r="J73" s="85" t="n"/>
      <c r="K73" s="85" t="n"/>
      <c r="L73" s="85" t="n"/>
      <c r="M73" s="85" t="n"/>
      <c r="N73" s="85" t="n"/>
      <c r="O73" s="85" t="n"/>
      <c r="P73" s="84">
        <f>IF(C73="","",IF(OR(E73="",E73="未検証"),"① STEP1待ち",IF(E73="不通過","✕ STEP1不通過",IF(OR(G73="",H73=""),"② STEP2-3 未記入",IF(COUNTIF(J73:O73,"×")&gt;0,"✕ ボツ候補",IF(COUNTA(J73:O73)&lt;6,"③ STEP4 審査待ち",IF(COUNTIF(J73:O73,"△")&gt;0,"△ 修正して再審査","◎ 候補リスト")))))))</f>
        <v/>
      </c>
      <c r="Q73" s="85" t="n"/>
      <c r="R73" s="85" t="n"/>
      <c r="S73" s="85" t="n"/>
      <c r="T73" s="84">
        <f>IF(COUNT(Q73:S73)&lt;3,"",Q73+(11-R73)+S73)</f>
        <v/>
      </c>
      <c r="U73" s="85" t="n"/>
      <c r="V73" s="86" t="n"/>
      <c r="W73" s="87">
        <f>IF(AND(P73="◎ 候補リスト",U73&lt;&gt;"ボツ",U73&lt;&gt;"制作済み",T73&lt;&gt;"",OR('②候補ランキング'!$C$5="すべて",B73='②候補ランキング'!$C$5)),IF('②候補ランキング'!$C$4="ワクワク",Q73,IF('②候補ランキング'!$C$4="手軽さ",11-R73,IF('②候補ランキング'!$C$4="確信度",S73,T73)))*1000+T73+(1000-A73)/10000,"")</f>
        <v/>
      </c>
    </row>
    <row r="74" ht="18" customHeight="1" s="35">
      <c r="A74" s="84">
        <f>IF(C74="","",ROW()-5)</f>
        <v/>
      </c>
      <c r="B74" s="85" t="n"/>
      <c r="C74" s="86" t="n"/>
      <c r="D74" s="86" t="n"/>
      <c r="E74" s="85" t="n"/>
      <c r="F74" s="86" t="n"/>
      <c r="G74" s="86" t="n"/>
      <c r="H74" s="86" t="n"/>
      <c r="I74" s="86" t="n"/>
      <c r="J74" s="85" t="n"/>
      <c r="K74" s="85" t="n"/>
      <c r="L74" s="85" t="n"/>
      <c r="M74" s="85" t="n"/>
      <c r="N74" s="85" t="n"/>
      <c r="O74" s="85" t="n"/>
      <c r="P74" s="84">
        <f>IF(C74="","",IF(OR(E74="",E74="未検証"),"① STEP1待ち",IF(E74="不通過","✕ STEP1不通過",IF(OR(G74="",H74=""),"② STEP2-3 未記入",IF(COUNTIF(J74:O74,"×")&gt;0,"✕ ボツ候補",IF(COUNTA(J74:O74)&lt;6,"③ STEP4 審査待ち",IF(COUNTIF(J74:O74,"△")&gt;0,"△ 修正して再審査","◎ 候補リスト")))))))</f>
        <v/>
      </c>
      <c r="Q74" s="85" t="n"/>
      <c r="R74" s="85" t="n"/>
      <c r="S74" s="85" t="n"/>
      <c r="T74" s="84">
        <f>IF(COUNT(Q74:S74)&lt;3,"",Q74+(11-R74)+S74)</f>
        <v/>
      </c>
      <c r="U74" s="85" t="n"/>
      <c r="V74" s="86" t="n"/>
      <c r="W74" s="87">
        <f>IF(AND(P74="◎ 候補リスト",U74&lt;&gt;"ボツ",U74&lt;&gt;"制作済み",T74&lt;&gt;"",OR('②候補ランキング'!$C$5="すべて",B74='②候補ランキング'!$C$5)),IF('②候補ランキング'!$C$4="ワクワク",Q74,IF('②候補ランキング'!$C$4="手軽さ",11-R74,IF('②候補ランキング'!$C$4="確信度",S74,T74)))*1000+T74+(1000-A74)/10000,"")</f>
        <v/>
      </c>
    </row>
    <row r="75" ht="18" customHeight="1" s="35">
      <c r="A75" s="84">
        <f>IF(C75="","",ROW()-5)</f>
        <v/>
      </c>
      <c r="B75" s="85" t="n"/>
      <c r="C75" s="86" t="n"/>
      <c r="D75" s="86" t="n"/>
      <c r="E75" s="85" t="n"/>
      <c r="F75" s="86" t="n"/>
      <c r="G75" s="86" t="n"/>
      <c r="H75" s="86" t="n"/>
      <c r="I75" s="86" t="n"/>
      <c r="J75" s="85" t="n"/>
      <c r="K75" s="85" t="n"/>
      <c r="L75" s="85" t="n"/>
      <c r="M75" s="85" t="n"/>
      <c r="N75" s="85" t="n"/>
      <c r="O75" s="85" t="n"/>
      <c r="P75" s="84">
        <f>IF(C75="","",IF(OR(E75="",E75="未検証"),"① STEP1待ち",IF(E75="不通過","✕ STEP1不通過",IF(OR(G75="",H75=""),"② STEP2-3 未記入",IF(COUNTIF(J75:O75,"×")&gt;0,"✕ ボツ候補",IF(COUNTA(J75:O75)&lt;6,"③ STEP4 審査待ち",IF(COUNTIF(J75:O75,"△")&gt;0,"△ 修正して再審査","◎ 候補リスト")))))))</f>
        <v/>
      </c>
      <c r="Q75" s="85" t="n"/>
      <c r="R75" s="85" t="n"/>
      <c r="S75" s="85" t="n"/>
      <c r="T75" s="84">
        <f>IF(COUNT(Q75:S75)&lt;3,"",Q75+(11-R75)+S75)</f>
        <v/>
      </c>
      <c r="U75" s="85" t="n"/>
      <c r="V75" s="86" t="n"/>
      <c r="W75" s="87">
        <f>IF(AND(P75="◎ 候補リスト",U75&lt;&gt;"ボツ",U75&lt;&gt;"制作済み",T75&lt;&gt;"",OR('②候補ランキング'!$C$5="すべて",B75='②候補ランキング'!$C$5)),IF('②候補ランキング'!$C$4="ワクワク",Q75,IF('②候補ランキング'!$C$4="手軽さ",11-R75,IF('②候補ランキング'!$C$4="確信度",S75,T75)))*1000+T75+(1000-A75)/10000,"")</f>
        <v/>
      </c>
    </row>
    <row r="76" ht="18" customHeight="1" s="35">
      <c r="A76" s="84">
        <f>IF(C76="","",ROW()-5)</f>
        <v/>
      </c>
      <c r="B76" s="85" t="n"/>
      <c r="C76" s="86" t="n"/>
      <c r="D76" s="86" t="n"/>
      <c r="E76" s="85" t="n"/>
      <c r="F76" s="86" t="n"/>
      <c r="G76" s="86" t="n"/>
      <c r="H76" s="86" t="n"/>
      <c r="I76" s="86" t="n"/>
      <c r="J76" s="85" t="n"/>
      <c r="K76" s="85" t="n"/>
      <c r="L76" s="85" t="n"/>
      <c r="M76" s="85" t="n"/>
      <c r="N76" s="85" t="n"/>
      <c r="O76" s="85" t="n"/>
      <c r="P76" s="84">
        <f>IF(C76="","",IF(OR(E76="",E76="未検証"),"① STEP1待ち",IF(E76="不通過","✕ STEP1不通過",IF(OR(G76="",H76=""),"② STEP2-3 未記入",IF(COUNTIF(J76:O76,"×")&gt;0,"✕ ボツ候補",IF(COUNTA(J76:O76)&lt;6,"③ STEP4 審査待ち",IF(COUNTIF(J76:O76,"△")&gt;0,"△ 修正して再審査","◎ 候補リスト")))))))</f>
        <v/>
      </c>
      <c r="Q76" s="85" t="n"/>
      <c r="R76" s="85" t="n"/>
      <c r="S76" s="85" t="n"/>
      <c r="T76" s="84">
        <f>IF(COUNT(Q76:S76)&lt;3,"",Q76+(11-R76)+S76)</f>
        <v/>
      </c>
      <c r="U76" s="85" t="n"/>
      <c r="V76" s="86" t="n"/>
      <c r="W76" s="87">
        <f>IF(AND(P76="◎ 候補リスト",U76&lt;&gt;"ボツ",U76&lt;&gt;"制作済み",T76&lt;&gt;"",OR('②候補ランキング'!$C$5="すべて",B76='②候補ランキング'!$C$5)),IF('②候補ランキング'!$C$4="ワクワク",Q76,IF('②候補ランキング'!$C$4="手軽さ",11-R76,IF('②候補ランキング'!$C$4="確信度",S76,T76)))*1000+T76+(1000-A76)/10000,"")</f>
        <v/>
      </c>
    </row>
    <row r="77" ht="18" customHeight="1" s="35">
      <c r="A77" s="84">
        <f>IF(C77="","",ROW()-5)</f>
        <v/>
      </c>
      <c r="B77" s="85" t="n"/>
      <c r="C77" s="86" t="n"/>
      <c r="D77" s="86" t="n"/>
      <c r="E77" s="85" t="n"/>
      <c r="F77" s="86" t="n"/>
      <c r="G77" s="86" t="n"/>
      <c r="H77" s="86" t="n"/>
      <c r="I77" s="86" t="n"/>
      <c r="J77" s="85" t="n"/>
      <c r="K77" s="85" t="n"/>
      <c r="L77" s="85" t="n"/>
      <c r="M77" s="85" t="n"/>
      <c r="N77" s="85" t="n"/>
      <c r="O77" s="85" t="n"/>
      <c r="P77" s="84">
        <f>IF(C77="","",IF(OR(E77="",E77="未検証"),"① STEP1待ち",IF(E77="不通過","✕ STEP1不通過",IF(OR(G77="",H77=""),"② STEP2-3 未記入",IF(COUNTIF(J77:O77,"×")&gt;0,"✕ ボツ候補",IF(COUNTA(J77:O77)&lt;6,"③ STEP4 審査待ち",IF(COUNTIF(J77:O77,"△")&gt;0,"△ 修正して再審査","◎ 候補リスト")))))))</f>
        <v/>
      </c>
      <c r="Q77" s="85" t="n"/>
      <c r="R77" s="85" t="n"/>
      <c r="S77" s="85" t="n"/>
      <c r="T77" s="84">
        <f>IF(COUNT(Q77:S77)&lt;3,"",Q77+(11-R77)+S77)</f>
        <v/>
      </c>
      <c r="U77" s="85" t="n"/>
      <c r="V77" s="86" t="n"/>
      <c r="W77" s="87">
        <f>IF(AND(P77="◎ 候補リスト",U77&lt;&gt;"ボツ",U77&lt;&gt;"制作済み",T77&lt;&gt;"",OR('②候補ランキング'!$C$5="すべて",B77='②候補ランキング'!$C$5)),IF('②候補ランキング'!$C$4="ワクワク",Q77,IF('②候補ランキング'!$C$4="手軽さ",11-R77,IF('②候補ランキング'!$C$4="確信度",S77,T77)))*1000+T77+(1000-A77)/10000,"")</f>
        <v/>
      </c>
    </row>
    <row r="78" ht="18" customHeight="1" s="35">
      <c r="A78" s="84">
        <f>IF(C78="","",ROW()-5)</f>
        <v/>
      </c>
      <c r="B78" s="85" t="n"/>
      <c r="C78" s="86" t="n"/>
      <c r="D78" s="86" t="n"/>
      <c r="E78" s="85" t="n"/>
      <c r="F78" s="86" t="n"/>
      <c r="G78" s="86" t="n"/>
      <c r="H78" s="86" t="n"/>
      <c r="I78" s="86" t="n"/>
      <c r="J78" s="85" t="n"/>
      <c r="K78" s="85" t="n"/>
      <c r="L78" s="85" t="n"/>
      <c r="M78" s="85" t="n"/>
      <c r="N78" s="85" t="n"/>
      <c r="O78" s="85" t="n"/>
      <c r="P78" s="84">
        <f>IF(C78="","",IF(OR(E78="",E78="未検証"),"① STEP1待ち",IF(E78="不通過","✕ STEP1不通過",IF(OR(G78="",H78=""),"② STEP2-3 未記入",IF(COUNTIF(J78:O78,"×")&gt;0,"✕ ボツ候補",IF(COUNTA(J78:O78)&lt;6,"③ STEP4 審査待ち",IF(COUNTIF(J78:O78,"△")&gt;0,"△ 修正して再審査","◎ 候補リスト")))))))</f>
        <v/>
      </c>
      <c r="Q78" s="85" t="n"/>
      <c r="R78" s="85" t="n"/>
      <c r="S78" s="85" t="n"/>
      <c r="T78" s="84">
        <f>IF(COUNT(Q78:S78)&lt;3,"",Q78+(11-R78)+S78)</f>
        <v/>
      </c>
      <c r="U78" s="85" t="n"/>
      <c r="V78" s="86" t="n"/>
      <c r="W78" s="87">
        <f>IF(AND(P78="◎ 候補リスト",U78&lt;&gt;"ボツ",U78&lt;&gt;"制作済み",T78&lt;&gt;"",OR('②候補ランキング'!$C$5="すべて",B78='②候補ランキング'!$C$5)),IF('②候補ランキング'!$C$4="ワクワク",Q78,IF('②候補ランキング'!$C$4="手軽さ",11-R78,IF('②候補ランキング'!$C$4="確信度",S78,T78)))*1000+T78+(1000-A78)/10000,"")</f>
        <v/>
      </c>
    </row>
    <row r="79" ht="18" customHeight="1" s="35">
      <c r="A79" s="84">
        <f>IF(C79="","",ROW()-5)</f>
        <v/>
      </c>
      <c r="B79" s="85" t="n"/>
      <c r="C79" s="86" t="n"/>
      <c r="D79" s="86" t="n"/>
      <c r="E79" s="85" t="n"/>
      <c r="F79" s="86" t="n"/>
      <c r="G79" s="86" t="n"/>
      <c r="H79" s="86" t="n"/>
      <c r="I79" s="86" t="n"/>
      <c r="J79" s="85" t="n"/>
      <c r="K79" s="85" t="n"/>
      <c r="L79" s="85" t="n"/>
      <c r="M79" s="85" t="n"/>
      <c r="N79" s="85" t="n"/>
      <c r="O79" s="85" t="n"/>
      <c r="P79" s="84">
        <f>IF(C79="","",IF(OR(E79="",E79="未検証"),"① STEP1待ち",IF(E79="不通過","✕ STEP1不通過",IF(OR(G79="",H79=""),"② STEP2-3 未記入",IF(COUNTIF(J79:O79,"×")&gt;0,"✕ ボツ候補",IF(COUNTA(J79:O79)&lt;6,"③ STEP4 審査待ち",IF(COUNTIF(J79:O79,"△")&gt;0,"△ 修正して再審査","◎ 候補リスト")))))))</f>
        <v/>
      </c>
      <c r="Q79" s="85" t="n"/>
      <c r="R79" s="85" t="n"/>
      <c r="S79" s="85" t="n"/>
      <c r="T79" s="84">
        <f>IF(COUNT(Q79:S79)&lt;3,"",Q79+(11-R79)+S79)</f>
        <v/>
      </c>
      <c r="U79" s="85" t="n"/>
      <c r="V79" s="86" t="n"/>
      <c r="W79" s="87">
        <f>IF(AND(P79="◎ 候補リスト",U79&lt;&gt;"ボツ",U79&lt;&gt;"制作済み",T79&lt;&gt;"",OR('②候補ランキング'!$C$5="すべて",B79='②候補ランキング'!$C$5)),IF('②候補ランキング'!$C$4="ワクワク",Q79,IF('②候補ランキング'!$C$4="手軽さ",11-R79,IF('②候補ランキング'!$C$4="確信度",S79,T79)))*1000+T79+(1000-A79)/10000,"")</f>
        <v/>
      </c>
    </row>
    <row r="80" ht="18" customHeight="1" s="35">
      <c r="A80" s="84">
        <f>IF(C80="","",ROW()-5)</f>
        <v/>
      </c>
      <c r="B80" s="85" t="n"/>
      <c r="C80" s="86" t="n"/>
      <c r="D80" s="86" t="n"/>
      <c r="E80" s="85" t="n"/>
      <c r="F80" s="86" t="n"/>
      <c r="G80" s="86" t="n"/>
      <c r="H80" s="86" t="n"/>
      <c r="I80" s="86" t="n"/>
      <c r="J80" s="85" t="n"/>
      <c r="K80" s="85" t="n"/>
      <c r="L80" s="85" t="n"/>
      <c r="M80" s="85" t="n"/>
      <c r="N80" s="85" t="n"/>
      <c r="O80" s="85" t="n"/>
      <c r="P80" s="84">
        <f>IF(C80="","",IF(OR(E80="",E80="未検証"),"① STEP1待ち",IF(E80="不通過","✕ STEP1不通過",IF(OR(G80="",H80=""),"② STEP2-3 未記入",IF(COUNTIF(J80:O80,"×")&gt;0,"✕ ボツ候補",IF(COUNTA(J80:O80)&lt;6,"③ STEP4 審査待ち",IF(COUNTIF(J80:O80,"△")&gt;0,"△ 修正して再審査","◎ 候補リスト")))))))</f>
        <v/>
      </c>
      <c r="Q80" s="85" t="n"/>
      <c r="R80" s="85" t="n"/>
      <c r="S80" s="85" t="n"/>
      <c r="T80" s="84">
        <f>IF(COUNT(Q80:S80)&lt;3,"",Q80+(11-R80)+S80)</f>
        <v/>
      </c>
      <c r="U80" s="85" t="n"/>
      <c r="V80" s="86" t="n"/>
      <c r="W80" s="87">
        <f>IF(AND(P80="◎ 候補リスト",U80&lt;&gt;"ボツ",U80&lt;&gt;"制作済み",T80&lt;&gt;"",OR('②候補ランキング'!$C$5="すべて",B80='②候補ランキング'!$C$5)),IF('②候補ランキング'!$C$4="ワクワク",Q80,IF('②候補ランキング'!$C$4="手軽さ",11-R80,IF('②候補ランキング'!$C$4="確信度",S80,T80)))*1000+T80+(1000-A80)/10000,"")</f>
        <v/>
      </c>
    </row>
    <row r="81" ht="18" customHeight="1" s="35">
      <c r="A81" s="84">
        <f>IF(C81="","",ROW()-5)</f>
        <v/>
      </c>
      <c r="B81" s="85" t="n"/>
      <c r="C81" s="86" t="n"/>
      <c r="D81" s="86" t="n"/>
      <c r="E81" s="85" t="n"/>
      <c r="F81" s="86" t="n"/>
      <c r="G81" s="86" t="n"/>
      <c r="H81" s="86" t="n"/>
      <c r="I81" s="86" t="n"/>
      <c r="J81" s="85" t="n"/>
      <c r="K81" s="85" t="n"/>
      <c r="L81" s="85" t="n"/>
      <c r="M81" s="85" t="n"/>
      <c r="N81" s="85" t="n"/>
      <c r="O81" s="85" t="n"/>
      <c r="P81" s="84">
        <f>IF(C81="","",IF(OR(E81="",E81="未検証"),"① STEP1待ち",IF(E81="不通過","✕ STEP1不通過",IF(OR(G81="",H81=""),"② STEP2-3 未記入",IF(COUNTIF(J81:O81,"×")&gt;0,"✕ ボツ候補",IF(COUNTA(J81:O81)&lt;6,"③ STEP4 審査待ち",IF(COUNTIF(J81:O81,"△")&gt;0,"△ 修正して再審査","◎ 候補リスト")))))))</f>
        <v/>
      </c>
      <c r="Q81" s="85" t="n"/>
      <c r="R81" s="85" t="n"/>
      <c r="S81" s="85" t="n"/>
      <c r="T81" s="84">
        <f>IF(COUNT(Q81:S81)&lt;3,"",Q81+(11-R81)+S81)</f>
        <v/>
      </c>
      <c r="U81" s="85" t="n"/>
      <c r="V81" s="86" t="n"/>
      <c r="W81" s="87">
        <f>IF(AND(P81="◎ 候補リスト",U81&lt;&gt;"ボツ",U81&lt;&gt;"制作済み",T81&lt;&gt;"",OR('②候補ランキング'!$C$5="すべて",B81='②候補ランキング'!$C$5)),IF('②候補ランキング'!$C$4="ワクワク",Q81,IF('②候補ランキング'!$C$4="手軽さ",11-R81,IF('②候補ランキング'!$C$4="確信度",S81,T81)))*1000+T81+(1000-A81)/10000,"")</f>
        <v/>
      </c>
    </row>
    <row r="82" ht="18" customHeight="1" s="35">
      <c r="A82" s="84">
        <f>IF(C82="","",ROW()-5)</f>
        <v/>
      </c>
      <c r="B82" s="85" t="n"/>
      <c r="C82" s="86" t="n"/>
      <c r="D82" s="86" t="n"/>
      <c r="E82" s="85" t="n"/>
      <c r="F82" s="86" t="n"/>
      <c r="G82" s="86" t="n"/>
      <c r="H82" s="86" t="n"/>
      <c r="I82" s="86" t="n"/>
      <c r="J82" s="85" t="n"/>
      <c r="K82" s="85" t="n"/>
      <c r="L82" s="85" t="n"/>
      <c r="M82" s="85" t="n"/>
      <c r="N82" s="85" t="n"/>
      <c r="O82" s="85" t="n"/>
      <c r="P82" s="84">
        <f>IF(C82="","",IF(OR(E82="",E82="未検証"),"① STEP1待ち",IF(E82="不通過","✕ STEP1不通過",IF(OR(G82="",H82=""),"② STEP2-3 未記入",IF(COUNTIF(J82:O82,"×")&gt;0,"✕ ボツ候補",IF(COUNTA(J82:O82)&lt;6,"③ STEP4 審査待ち",IF(COUNTIF(J82:O82,"△")&gt;0,"△ 修正して再審査","◎ 候補リスト")))))))</f>
        <v/>
      </c>
      <c r="Q82" s="85" t="n"/>
      <c r="R82" s="85" t="n"/>
      <c r="S82" s="85" t="n"/>
      <c r="T82" s="84">
        <f>IF(COUNT(Q82:S82)&lt;3,"",Q82+(11-R82)+S82)</f>
        <v/>
      </c>
      <c r="U82" s="85" t="n"/>
      <c r="V82" s="86" t="n"/>
      <c r="W82" s="87">
        <f>IF(AND(P82="◎ 候補リスト",U82&lt;&gt;"ボツ",U82&lt;&gt;"制作済み",T82&lt;&gt;"",OR('②候補ランキング'!$C$5="すべて",B82='②候補ランキング'!$C$5)),IF('②候補ランキング'!$C$4="ワクワク",Q82,IF('②候補ランキング'!$C$4="手軽さ",11-R82,IF('②候補ランキング'!$C$4="確信度",S82,T82)))*1000+T82+(1000-A82)/10000,"")</f>
        <v/>
      </c>
    </row>
    <row r="83" ht="18" customHeight="1" s="35">
      <c r="A83" s="84">
        <f>IF(C83="","",ROW()-5)</f>
        <v/>
      </c>
      <c r="B83" s="85" t="n"/>
      <c r="C83" s="86" t="n"/>
      <c r="D83" s="86" t="n"/>
      <c r="E83" s="85" t="n"/>
      <c r="F83" s="86" t="n"/>
      <c r="G83" s="86" t="n"/>
      <c r="H83" s="86" t="n"/>
      <c r="I83" s="86" t="n"/>
      <c r="J83" s="85" t="n"/>
      <c r="K83" s="85" t="n"/>
      <c r="L83" s="85" t="n"/>
      <c r="M83" s="85" t="n"/>
      <c r="N83" s="85" t="n"/>
      <c r="O83" s="85" t="n"/>
      <c r="P83" s="84">
        <f>IF(C83="","",IF(OR(E83="",E83="未検証"),"① STEP1待ち",IF(E83="不通過","✕ STEP1不通過",IF(OR(G83="",H83=""),"② STEP2-3 未記入",IF(COUNTIF(J83:O83,"×")&gt;0,"✕ ボツ候補",IF(COUNTA(J83:O83)&lt;6,"③ STEP4 審査待ち",IF(COUNTIF(J83:O83,"△")&gt;0,"△ 修正して再審査","◎ 候補リスト")))))))</f>
        <v/>
      </c>
      <c r="Q83" s="85" t="n"/>
      <c r="R83" s="85" t="n"/>
      <c r="S83" s="85" t="n"/>
      <c r="T83" s="84">
        <f>IF(COUNT(Q83:S83)&lt;3,"",Q83+(11-R83)+S83)</f>
        <v/>
      </c>
      <c r="U83" s="85" t="n"/>
      <c r="V83" s="86" t="n"/>
      <c r="W83" s="87">
        <f>IF(AND(P83="◎ 候補リスト",U83&lt;&gt;"ボツ",U83&lt;&gt;"制作済み",T83&lt;&gt;"",OR('②候補ランキング'!$C$5="すべて",B83='②候補ランキング'!$C$5)),IF('②候補ランキング'!$C$4="ワクワク",Q83,IF('②候補ランキング'!$C$4="手軽さ",11-R83,IF('②候補ランキング'!$C$4="確信度",S83,T83)))*1000+T83+(1000-A83)/10000,"")</f>
        <v/>
      </c>
    </row>
    <row r="84" ht="18" customHeight="1" s="35">
      <c r="A84" s="84">
        <f>IF(C84="","",ROW()-5)</f>
        <v/>
      </c>
      <c r="B84" s="85" t="n"/>
      <c r="C84" s="86" t="n"/>
      <c r="D84" s="86" t="n"/>
      <c r="E84" s="85" t="n"/>
      <c r="F84" s="86" t="n"/>
      <c r="G84" s="86" t="n"/>
      <c r="H84" s="86" t="n"/>
      <c r="I84" s="86" t="n"/>
      <c r="J84" s="85" t="n"/>
      <c r="K84" s="85" t="n"/>
      <c r="L84" s="85" t="n"/>
      <c r="M84" s="85" t="n"/>
      <c r="N84" s="85" t="n"/>
      <c r="O84" s="85" t="n"/>
      <c r="P84" s="84">
        <f>IF(C84="","",IF(OR(E84="",E84="未検証"),"① STEP1待ち",IF(E84="不通過","✕ STEP1不通過",IF(OR(G84="",H84=""),"② STEP2-3 未記入",IF(COUNTIF(J84:O84,"×")&gt;0,"✕ ボツ候補",IF(COUNTA(J84:O84)&lt;6,"③ STEP4 審査待ち",IF(COUNTIF(J84:O84,"△")&gt;0,"△ 修正して再審査","◎ 候補リスト")))))))</f>
        <v/>
      </c>
      <c r="Q84" s="85" t="n"/>
      <c r="R84" s="85" t="n"/>
      <c r="S84" s="85" t="n"/>
      <c r="T84" s="84">
        <f>IF(COUNT(Q84:S84)&lt;3,"",Q84+(11-R84)+S84)</f>
        <v/>
      </c>
      <c r="U84" s="85" t="n"/>
      <c r="V84" s="86" t="n"/>
      <c r="W84" s="87">
        <f>IF(AND(P84="◎ 候補リスト",U84&lt;&gt;"ボツ",U84&lt;&gt;"制作済み",T84&lt;&gt;"",OR('②候補ランキング'!$C$5="すべて",B84='②候補ランキング'!$C$5)),IF('②候補ランキング'!$C$4="ワクワク",Q84,IF('②候補ランキング'!$C$4="手軽さ",11-R84,IF('②候補ランキング'!$C$4="確信度",S84,T84)))*1000+T84+(1000-A84)/10000,"")</f>
        <v/>
      </c>
    </row>
    <row r="85" ht="18" customHeight="1" s="35">
      <c r="A85" s="84">
        <f>IF(C85="","",ROW()-5)</f>
        <v/>
      </c>
      <c r="B85" s="85" t="n"/>
      <c r="C85" s="86" t="n"/>
      <c r="D85" s="86" t="n"/>
      <c r="E85" s="85" t="n"/>
      <c r="F85" s="86" t="n"/>
      <c r="G85" s="86" t="n"/>
      <c r="H85" s="86" t="n"/>
      <c r="I85" s="86" t="n"/>
      <c r="J85" s="85" t="n"/>
      <c r="K85" s="85" t="n"/>
      <c r="L85" s="85" t="n"/>
      <c r="M85" s="85" t="n"/>
      <c r="N85" s="85" t="n"/>
      <c r="O85" s="85" t="n"/>
      <c r="P85" s="84">
        <f>IF(C85="","",IF(OR(E85="",E85="未検証"),"① STEP1待ち",IF(E85="不通過","✕ STEP1不通過",IF(OR(G85="",H85=""),"② STEP2-3 未記入",IF(COUNTIF(J85:O85,"×")&gt;0,"✕ ボツ候補",IF(COUNTA(J85:O85)&lt;6,"③ STEP4 審査待ち",IF(COUNTIF(J85:O85,"△")&gt;0,"△ 修正して再審査","◎ 候補リスト")))))))</f>
        <v/>
      </c>
      <c r="Q85" s="85" t="n"/>
      <c r="R85" s="85" t="n"/>
      <c r="S85" s="85" t="n"/>
      <c r="T85" s="84">
        <f>IF(COUNT(Q85:S85)&lt;3,"",Q85+(11-R85)+S85)</f>
        <v/>
      </c>
      <c r="U85" s="85" t="n"/>
      <c r="V85" s="86" t="n"/>
      <c r="W85" s="87">
        <f>IF(AND(P85="◎ 候補リスト",U85&lt;&gt;"ボツ",U85&lt;&gt;"制作済み",T85&lt;&gt;"",OR('②候補ランキング'!$C$5="すべて",B85='②候補ランキング'!$C$5)),IF('②候補ランキング'!$C$4="ワクワク",Q85,IF('②候補ランキング'!$C$4="手軽さ",11-R85,IF('②候補ランキング'!$C$4="確信度",S85,T85)))*1000+T85+(1000-A85)/10000,"")</f>
        <v/>
      </c>
    </row>
    <row r="86" ht="18" customHeight="1" s="35">
      <c r="A86" s="84">
        <f>IF(C86="","",ROW()-5)</f>
        <v/>
      </c>
      <c r="B86" s="85" t="n"/>
      <c r="C86" s="86" t="n"/>
      <c r="D86" s="86" t="n"/>
      <c r="E86" s="85" t="n"/>
      <c r="F86" s="86" t="n"/>
      <c r="G86" s="86" t="n"/>
      <c r="H86" s="86" t="n"/>
      <c r="I86" s="86" t="n"/>
      <c r="J86" s="85" t="n"/>
      <c r="K86" s="85" t="n"/>
      <c r="L86" s="85" t="n"/>
      <c r="M86" s="85" t="n"/>
      <c r="N86" s="85" t="n"/>
      <c r="O86" s="85" t="n"/>
      <c r="P86" s="84">
        <f>IF(C86="","",IF(OR(E86="",E86="未検証"),"① STEP1待ち",IF(E86="不通過","✕ STEP1不通過",IF(OR(G86="",H86=""),"② STEP2-3 未記入",IF(COUNTIF(J86:O86,"×")&gt;0,"✕ ボツ候補",IF(COUNTA(J86:O86)&lt;6,"③ STEP4 審査待ち",IF(COUNTIF(J86:O86,"△")&gt;0,"△ 修正して再審査","◎ 候補リスト")))))))</f>
        <v/>
      </c>
      <c r="Q86" s="85" t="n"/>
      <c r="R86" s="85" t="n"/>
      <c r="S86" s="85" t="n"/>
      <c r="T86" s="84">
        <f>IF(COUNT(Q86:S86)&lt;3,"",Q86+(11-R86)+S86)</f>
        <v/>
      </c>
      <c r="U86" s="85" t="n"/>
      <c r="V86" s="86" t="n"/>
      <c r="W86" s="87">
        <f>IF(AND(P86="◎ 候補リスト",U86&lt;&gt;"ボツ",U86&lt;&gt;"制作済み",T86&lt;&gt;"",OR('②候補ランキング'!$C$5="すべて",B86='②候補ランキング'!$C$5)),IF('②候補ランキング'!$C$4="ワクワク",Q86,IF('②候補ランキング'!$C$4="手軽さ",11-R86,IF('②候補ランキング'!$C$4="確信度",S86,T86)))*1000+T86+(1000-A86)/10000,"")</f>
        <v/>
      </c>
    </row>
    <row r="87" ht="18" customHeight="1" s="35">
      <c r="A87" s="84">
        <f>IF(C87="","",ROW()-5)</f>
        <v/>
      </c>
      <c r="B87" s="85" t="n"/>
      <c r="C87" s="86" t="n"/>
      <c r="D87" s="86" t="n"/>
      <c r="E87" s="85" t="n"/>
      <c r="F87" s="86" t="n"/>
      <c r="G87" s="86" t="n"/>
      <c r="H87" s="86" t="n"/>
      <c r="I87" s="86" t="n"/>
      <c r="J87" s="85" t="n"/>
      <c r="K87" s="85" t="n"/>
      <c r="L87" s="85" t="n"/>
      <c r="M87" s="85" t="n"/>
      <c r="N87" s="85" t="n"/>
      <c r="O87" s="85" t="n"/>
      <c r="P87" s="84">
        <f>IF(C87="","",IF(OR(E87="",E87="未検証"),"① STEP1待ち",IF(E87="不通過","✕ STEP1不通過",IF(OR(G87="",H87=""),"② STEP2-3 未記入",IF(COUNTIF(J87:O87,"×")&gt;0,"✕ ボツ候補",IF(COUNTA(J87:O87)&lt;6,"③ STEP4 審査待ち",IF(COUNTIF(J87:O87,"△")&gt;0,"△ 修正して再審査","◎ 候補リスト")))))))</f>
        <v/>
      </c>
      <c r="Q87" s="85" t="n"/>
      <c r="R87" s="85" t="n"/>
      <c r="S87" s="85" t="n"/>
      <c r="T87" s="84">
        <f>IF(COUNT(Q87:S87)&lt;3,"",Q87+(11-R87)+S87)</f>
        <v/>
      </c>
      <c r="U87" s="85" t="n"/>
      <c r="V87" s="86" t="n"/>
      <c r="W87" s="87">
        <f>IF(AND(P87="◎ 候補リスト",U87&lt;&gt;"ボツ",U87&lt;&gt;"制作済み",T87&lt;&gt;"",OR('②候補ランキング'!$C$5="すべて",B87='②候補ランキング'!$C$5)),IF('②候補ランキング'!$C$4="ワクワク",Q87,IF('②候補ランキング'!$C$4="手軽さ",11-R87,IF('②候補ランキング'!$C$4="確信度",S87,T87)))*1000+T87+(1000-A87)/10000,"")</f>
        <v/>
      </c>
    </row>
    <row r="88" ht="18" customHeight="1" s="35">
      <c r="A88" s="84">
        <f>IF(C88="","",ROW()-5)</f>
        <v/>
      </c>
      <c r="B88" s="85" t="n"/>
      <c r="C88" s="86" t="n"/>
      <c r="D88" s="86" t="n"/>
      <c r="E88" s="85" t="n"/>
      <c r="F88" s="86" t="n"/>
      <c r="G88" s="86" t="n"/>
      <c r="H88" s="86" t="n"/>
      <c r="I88" s="86" t="n"/>
      <c r="J88" s="85" t="n"/>
      <c r="K88" s="85" t="n"/>
      <c r="L88" s="85" t="n"/>
      <c r="M88" s="85" t="n"/>
      <c r="N88" s="85" t="n"/>
      <c r="O88" s="85" t="n"/>
      <c r="P88" s="84">
        <f>IF(C88="","",IF(OR(E88="",E88="未検証"),"① STEP1待ち",IF(E88="不通過","✕ STEP1不通過",IF(OR(G88="",H88=""),"② STEP2-3 未記入",IF(COUNTIF(J88:O88,"×")&gt;0,"✕ ボツ候補",IF(COUNTA(J88:O88)&lt;6,"③ STEP4 審査待ち",IF(COUNTIF(J88:O88,"△")&gt;0,"△ 修正して再審査","◎ 候補リスト")))))))</f>
        <v/>
      </c>
      <c r="Q88" s="85" t="n"/>
      <c r="R88" s="85" t="n"/>
      <c r="S88" s="85" t="n"/>
      <c r="T88" s="84">
        <f>IF(COUNT(Q88:S88)&lt;3,"",Q88+(11-R88)+S88)</f>
        <v/>
      </c>
      <c r="U88" s="85" t="n"/>
      <c r="V88" s="86" t="n"/>
      <c r="W88" s="87">
        <f>IF(AND(P88="◎ 候補リスト",U88&lt;&gt;"ボツ",U88&lt;&gt;"制作済み",T88&lt;&gt;"",OR('②候補ランキング'!$C$5="すべて",B88='②候補ランキング'!$C$5)),IF('②候補ランキング'!$C$4="ワクワク",Q88,IF('②候補ランキング'!$C$4="手軽さ",11-R88,IF('②候補ランキング'!$C$4="確信度",S88,T88)))*1000+T88+(1000-A88)/10000,"")</f>
        <v/>
      </c>
    </row>
    <row r="89" ht="18" customHeight="1" s="35">
      <c r="A89" s="84">
        <f>IF(C89="","",ROW()-5)</f>
        <v/>
      </c>
      <c r="B89" s="85" t="n"/>
      <c r="C89" s="86" t="n"/>
      <c r="D89" s="86" t="n"/>
      <c r="E89" s="85" t="n"/>
      <c r="F89" s="86" t="n"/>
      <c r="G89" s="86" t="n"/>
      <c r="H89" s="86" t="n"/>
      <c r="I89" s="86" t="n"/>
      <c r="J89" s="85" t="n"/>
      <c r="K89" s="85" t="n"/>
      <c r="L89" s="85" t="n"/>
      <c r="M89" s="85" t="n"/>
      <c r="N89" s="85" t="n"/>
      <c r="O89" s="85" t="n"/>
      <c r="P89" s="84">
        <f>IF(C89="","",IF(OR(E89="",E89="未検証"),"① STEP1待ち",IF(E89="不通過","✕ STEP1不通過",IF(OR(G89="",H89=""),"② STEP2-3 未記入",IF(COUNTIF(J89:O89,"×")&gt;0,"✕ ボツ候補",IF(COUNTA(J89:O89)&lt;6,"③ STEP4 審査待ち",IF(COUNTIF(J89:O89,"△")&gt;0,"△ 修正して再審査","◎ 候補リスト")))))))</f>
        <v/>
      </c>
      <c r="Q89" s="85" t="n"/>
      <c r="R89" s="85" t="n"/>
      <c r="S89" s="85" t="n"/>
      <c r="T89" s="84">
        <f>IF(COUNT(Q89:S89)&lt;3,"",Q89+(11-R89)+S89)</f>
        <v/>
      </c>
      <c r="U89" s="85" t="n"/>
      <c r="V89" s="86" t="n"/>
      <c r="W89" s="87">
        <f>IF(AND(P89="◎ 候補リスト",U89&lt;&gt;"ボツ",U89&lt;&gt;"制作済み",T89&lt;&gt;"",OR('②候補ランキング'!$C$5="すべて",B89='②候補ランキング'!$C$5)),IF('②候補ランキング'!$C$4="ワクワク",Q89,IF('②候補ランキング'!$C$4="手軽さ",11-R89,IF('②候補ランキング'!$C$4="確信度",S89,T89)))*1000+T89+(1000-A89)/10000,"")</f>
        <v/>
      </c>
    </row>
    <row r="90" ht="18" customHeight="1" s="35">
      <c r="A90" s="84">
        <f>IF(C90="","",ROW()-5)</f>
        <v/>
      </c>
      <c r="B90" s="85" t="n"/>
      <c r="C90" s="86" t="n"/>
      <c r="D90" s="86" t="n"/>
      <c r="E90" s="85" t="n"/>
      <c r="F90" s="86" t="n"/>
      <c r="G90" s="86" t="n"/>
      <c r="H90" s="86" t="n"/>
      <c r="I90" s="86" t="n"/>
      <c r="J90" s="85" t="n"/>
      <c r="K90" s="85" t="n"/>
      <c r="L90" s="85" t="n"/>
      <c r="M90" s="85" t="n"/>
      <c r="N90" s="85" t="n"/>
      <c r="O90" s="85" t="n"/>
      <c r="P90" s="84">
        <f>IF(C90="","",IF(OR(E90="",E90="未検証"),"① STEP1待ち",IF(E90="不通過","✕ STEP1不通過",IF(OR(G90="",H90=""),"② STEP2-3 未記入",IF(COUNTIF(J90:O90,"×")&gt;0,"✕ ボツ候補",IF(COUNTA(J90:O90)&lt;6,"③ STEP4 審査待ち",IF(COUNTIF(J90:O90,"△")&gt;0,"△ 修正して再審査","◎ 候補リスト")))))))</f>
        <v/>
      </c>
      <c r="Q90" s="85" t="n"/>
      <c r="R90" s="85" t="n"/>
      <c r="S90" s="85" t="n"/>
      <c r="T90" s="84">
        <f>IF(COUNT(Q90:S90)&lt;3,"",Q90+(11-R90)+S90)</f>
        <v/>
      </c>
      <c r="U90" s="85" t="n"/>
      <c r="V90" s="86" t="n"/>
      <c r="W90" s="87">
        <f>IF(AND(P90="◎ 候補リスト",U90&lt;&gt;"ボツ",U90&lt;&gt;"制作済み",T90&lt;&gt;"",OR('②候補ランキング'!$C$5="すべて",B90='②候補ランキング'!$C$5)),IF('②候補ランキング'!$C$4="ワクワク",Q90,IF('②候補ランキング'!$C$4="手軽さ",11-R90,IF('②候補ランキング'!$C$4="確信度",S90,T90)))*1000+T90+(1000-A90)/10000,"")</f>
        <v/>
      </c>
    </row>
    <row r="91" ht="18" customHeight="1" s="35">
      <c r="A91" s="84">
        <f>IF(C91="","",ROW()-5)</f>
        <v/>
      </c>
      <c r="B91" s="85" t="n"/>
      <c r="C91" s="86" t="n"/>
      <c r="D91" s="86" t="n"/>
      <c r="E91" s="85" t="n"/>
      <c r="F91" s="86" t="n"/>
      <c r="G91" s="86" t="n"/>
      <c r="H91" s="86" t="n"/>
      <c r="I91" s="86" t="n"/>
      <c r="J91" s="85" t="n"/>
      <c r="K91" s="85" t="n"/>
      <c r="L91" s="85" t="n"/>
      <c r="M91" s="85" t="n"/>
      <c r="N91" s="85" t="n"/>
      <c r="O91" s="85" t="n"/>
      <c r="P91" s="84">
        <f>IF(C91="","",IF(OR(E91="",E91="未検証"),"① STEP1待ち",IF(E91="不通過","✕ STEP1不通過",IF(OR(G91="",H91=""),"② STEP2-3 未記入",IF(COUNTIF(J91:O91,"×")&gt;0,"✕ ボツ候補",IF(COUNTA(J91:O91)&lt;6,"③ STEP4 審査待ち",IF(COUNTIF(J91:O91,"△")&gt;0,"△ 修正して再審査","◎ 候補リスト")))))))</f>
        <v/>
      </c>
      <c r="Q91" s="85" t="n"/>
      <c r="R91" s="85" t="n"/>
      <c r="S91" s="85" t="n"/>
      <c r="T91" s="84">
        <f>IF(COUNT(Q91:S91)&lt;3,"",Q91+(11-R91)+S91)</f>
        <v/>
      </c>
      <c r="U91" s="85" t="n"/>
      <c r="V91" s="86" t="n"/>
      <c r="W91" s="87">
        <f>IF(AND(P91="◎ 候補リスト",U91&lt;&gt;"ボツ",U91&lt;&gt;"制作済み",T91&lt;&gt;"",OR('②候補ランキング'!$C$5="すべて",B91='②候補ランキング'!$C$5)),IF('②候補ランキング'!$C$4="ワクワク",Q91,IF('②候補ランキング'!$C$4="手軽さ",11-R91,IF('②候補ランキング'!$C$4="確信度",S91,T91)))*1000+T91+(1000-A91)/10000,"")</f>
        <v/>
      </c>
    </row>
    <row r="92" ht="18" customHeight="1" s="35">
      <c r="A92" s="84">
        <f>IF(C92="","",ROW()-5)</f>
        <v/>
      </c>
      <c r="B92" s="85" t="n"/>
      <c r="C92" s="86" t="n"/>
      <c r="D92" s="86" t="n"/>
      <c r="E92" s="85" t="n"/>
      <c r="F92" s="86" t="n"/>
      <c r="G92" s="86" t="n"/>
      <c r="H92" s="86" t="n"/>
      <c r="I92" s="86" t="n"/>
      <c r="J92" s="85" t="n"/>
      <c r="K92" s="85" t="n"/>
      <c r="L92" s="85" t="n"/>
      <c r="M92" s="85" t="n"/>
      <c r="N92" s="85" t="n"/>
      <c r="O92" s="85" t="n"/>
      <c r="P92" s="84">
        <f>IF(C92="","",IF(OR(E92="",E92="未検証"),"① STEP1待ち",IF(E92="不通過","✕ STEP1不通過",IF(OR(G92="",H92=""),"② STEP2-3 未記入",IF(COUNTIF(J92:O92,"×")&gt;0,"✕ ボツ候補",IF(COUNTA(J92:O92)&lt;6,"③ STEP4 審査待ち",IF(COUNTIF(J92:O92,"△")&gt;0,"△ 修正して再審査","◎ 候補リスト")))))))</f>
        <v/>
      </c>
      <c r="Q92" s="85" t="n"/>
      <c r="R92" s="85" t="n"/>
      <c r="S92" s="85" t="n"/>
      <c r="T92" s="84">
        <f>IF(COUNT(Q92:S92)&lt;3,"",Q92+(11-R92)+S92)</f>
        <v/>
      </c>
      <c r="U92" s="85" t="n"/>
      <c r="V92" s="86" t="n"/>
      <c r="W92" s="87">
        <f>IF(AND(P92="◎ 候補リスト",U92&lt;&gt;"ボツ",U92&lt;&gt;"制作済み",T92&lt;&gt;"",OR('②候補ランキング'!$C$5="すべて",B92='②候補ランキング'!$C$5)),IF('②候補ランキング'!$C$4="ワクワク",Q92,IF('②候補ランキング'!$C$4="手軽さ",11-R92,IF('②候補ランキング'!$C$4="確信度",S92,T92)))*1000+T92+(1000-A92)/10000,"")</f>
        <v/>
      </c>
    </row>
    <row r="93" ht="18" customHeight="1" s="35">
      <c r="A93" s="84">
        <f>IF(C93="","",ROW()-5)</f>
        <v/>
      </c>
      <c r="B93" s="85" t="n"/>
      <c r="C93" s="86" t="n"/>
      <c r="D93" s="86" t="n"/>
      <c r="E93" s="85" t="n"/>
      <c r="F93" s="86" t="n"/>
      <c r="G93" s="86" t="n"/>
      <c r="H93" s="86" t="n"/>
      <c r="I93" s="86" t="n"/>
      <c r="J93" s="85" t="n"/>
      <c r="K93" s="85" t="n"/>
      <c r="L93" s="85" t="n"/>
      <c r="M93" s="85" t="n"/>
      <c r="N93" s="85" t="n"/>
      <c r="O93" s="85" t="n"/>
      <c r="P93" s="84">
        <f>IF(C93="","",IF(OR(E93="",E93="未検証"),"① STEP1待ち",IF(E93="不通過","✕ STEP1不通過",IF(OR(G93="",H93=""),"② STEP2-3 未記入",IF(COUNTIF(J93:O93,"×")&gt;0,"✕ ボツ候補",IF(COUNTA(J93:O93)&lt;6,"③ STEP4 審査待ち",IF(COUNTIF(J93:O93,"△")&gt;0,"△ 修正して再審査","◎ 候補リスト")))))))</f>
        <v/>
      </c>
      <c r="Q93" s="85" t="n"/>
      <c r="R93" s="85" t="n"/>
      <c r="S93" s="85" t="n"/>
      <c r="T93" s="84">
        <f>IF(COUNT(Q93:S93)&lt;3,"",Q93+(11-R93)+S93)</f>
        <v/>
      </c>
      <c r="U93" s="85" t="n"/>
      <c r="V93" s="86" t="n"/>
      <c r="W93" s="87">
        <f>IF(AND(P93="◎ 候補リスト",U93&lt;&gt;"ボツ",U93&lt;&gt;"制作済み",T93&lt;&gt;"",OR('②候補ランキング'!$C$5="すべて",B93='②候補ランキング'!$C$5)),IF('②候補ランキング'!$C$4="ワクワク",Q93,IF('②候補ランキング'!$C$4="手軽さ",11-R93,IF('②候補ランキング'!$C$4="確信度",S93,T93)))*1000+T93+(1000-A93)/10000,"")</f>
        <v/>
      </c>
    </row>
    <row r="94" ht="18" customHeight="1" s="35">
      <c r="A94" s="84">
        <f>IF(C94="","",ROW()-5)</f>
        <v/>
      </c>
      <c r="B94" s="85" t="n"/>
      <c r="C94" s="86" t="n"/>
      <c r="D94" s="86" t="n"/>
      <c r="E94" s="85" t="n"/>
      <c r="F94" s="86" t="n"/>
      <c r="G94" s="86" t="n"/>
      <c r="H94" s="86" t="n"/>
      <c r="I94" s="86" t="n"/>
      <c r="J94" s="85" t="n"/>
      <c r="K94" s="85" t="n"/>
      <c r="L94" s="85" t="n"/>
      <c r="M94" s="85" t="n"/>
      <c r="N94" s="85" t="n"/>
      <c r="O94" s="85" t="n"/>
      <c r="P94" s="84">
        <f>IF(C94="","",IF(OR(E94="",E94="未検証"),"① STEP1待ち",IF(E94="不通過","✕ STEP1不通過",IF(OR(G94="",H94=""),"② STEP2-3 未記入",IF(COUNTIF(J94:O94,"×")&gt;0,"✕ ボツ候補",IF(COUNTA(J94:O94)&lt;6,"③ STEP4 審査待ち",IF(COUNTIF(J94:O94,"△")&gt;0,"△ 修正して再審査","◎ 候補リスト")))))))</f>
        <v/>
      </c>
      <c r="Q94" s="85" t="n"/>
      <c r="R94" s="85" t="n"/>
      <c r="S94" s="85" t="n"/>
      <c r="T94" s="84">
        <f>IF(COUNT(Q94:S94)&lt;3,"",Q94+(11-R94)+S94)</f>
        <v/>
      </c>
      <c r="U94" s="85" t="n"/>
      <c r="V94" s="86" t="n"/>
      <c r="W94" s="87">
        <f>IF(AND(P94="◎ 候補リスト",U94&lt;&gt;"ボツ",U94&lt;&gt;"制作済み",T94&lt;&gt;"",OR('②候補ランキング'!$C$5="すべて",B94='②候補ランキング'!$C$5)),IF('②候補ランキング'!$C$4="ワクワク",Q94,IF('②候補ランキング'!$C$4="手軽さ",11-R94,IF('②候補ランキング'!$C$4="確信度",S94,T94)))*1000+T94+(1000-A94)/10000,"")</f>
        <v/>
      </c>
    </row>
    <row r="95" ht="18" customHeight="1" s="35">
      <c r="A95" s="84">
        <f>IF(C95="","",ROW()-5)</f>
        <v/>
      </c>
      <c r="B95" s="85" t="n"/>
      <c r="C95" s="86" t="n"/>
      <c r="D95" s="86" t="n"/>
      <c r="E95" s="85" t="n"/>
      <c r="F95" s="86" t="n"/>
      <c r="G95" s="86" t="n"/>
      <c r="H95" s="86" t="n"/>
      <c r="I95" s="86" t="n"/>
      <c r="J95" s="85" t="n"/>
      <c r="K95" s="85" t="n"/>
      <c r="L95" s="85" t="n"/>
      <c r="M95" s="85" t="n"/>
      <c r="N95" s="85" t="n"/>
      <c r="O95" s="85" t="n"/>
      <c r="P95" s="84">
        <f>IF(C95="","",IF(OR(E95="",E95="未検証"),"① STEP1待ち",IF(E95="不通過","✕ STEP1不通過",IF(OR(G95="",H95=""),"② STEP2-3 未記入",IF(COUNTIF(J95:O95,"×")&gt;0,"✕ ボツ候補",IF(COUNTA(J95:O95)&lt;6,"③ STEP4 審査待ち",IF(COUNTIF(J95:O95,"△")&gt;0,"△ 修正して再審査","◎ 候補リスト")))))))</f>
        <v/>
      </c>
      <c r="Q95" s="85" t="n"/>
      <c r="R95" s="85" t="n"/>
      <c r="S95" s="85" t="n"/>
      <c r="T95" s="84">
        <f>IF(COUNT(Q95:S95)&lt;3,"",Q95+(11-R95)+S95)</f>
        <v/>
      </c>
      <c r="U95" s="85" t="n"/>
      <c r="V95" s="86" t="n"/>
      <c r="W95" s="87">
        <f>IF(AND(P95="◎ 候補リスト",U95&lt;&gt;"ボツ",U95&lt;&gt;"制作済み",T95&lt;&gt;"",OR('②候補ランキング'!$C$5="すべて",B95='②候補ランキング'!$C$5)),IF('②候補ランキング'!$C$4="ワクワク",Q95,IF('②候補ランキング'!$C$4="手軽さ",11-R95,IF('②候補ランキング'!$C$4="確信度",S95,T95)))*1000+T95+(1000-A95)/10000,"")</f>
        <v/>
      </c>
    </row>
    <row r="96" ht="18" customHeight="1" s="35">
      <c r="A96" s="84">
        <f>IF(C96="","",ROW()-5)</f>
        <v/>
      </c>
      <c r="B96" s="85" t="n"/>
      <c r="C96" s="86" t="n"/>
      <c r="D96" s="86" t="n"/>
      <c r="E96" s="85" t="n"/>
      <c r="F96" s="86" t="n"/>
      <c r="G96" s="86" t="n"/>
      <c r="H96" s="86" t="n"/>
      <c r="I96" s="86" t="n"/>
      <c r="J96" s="85" t="n"/>
      <c r="K96" s="85" t="n"/>
      <c r="L96" s="85" t="n"/>
      <c r="M96" s="85" t="n"/>
      <c r="N96" s="85" t="n"/>
      <c r="O96" s="85" t="n"/>
      <c r="P96" s="84">
        <f>IF(C96="","",IF(OR(E96="",E96="未検証"),"① STEP1待ち",IF(E96="不通過","✕ STEP1不通過",IF(OR(G96="",H96=""),"② STEP2-3 未記入",IF(COUNTIF(J96:O96,"×")&gt;0,"✕ ボツ候補",IF(COUNTA(J96:O96)&lt;6,"③ STEP4 審査待ち",IF(COUNTIF(J96:O96,"△")&gt;0,"△ 修正して再審査","◎ 候補リスト")))))))</f>
        <v/>
      </c>
      <c r="Q96" s="85" t="n"/>
      <c r="R96" s="85" t="n"/>
      <c r="S96" s="85" t="n"/>
      <c r="T96" s="84">
        <f>IF(COUNT(Q96:S96)&lt;3,"",Q96+(11-R96)+S96)</f>
        <v/>
      </c>
      <c r="U96" s="85" t="n"/>
      <c r="V96" s="86" t="n"/>
      <c r="W96" s="87">
        <f>IF(AND(P96="◎ 候補リスト",U96&lt;&gt;"ボツ",U96&lt;&gt;"制作済み",T96&lt;&gt;"",OR('②候補ランキング'!$C$5="すべて",B96='②候補ランキング'!$C$5)),IF('②候補ランキング'!$C$4="ワクワク",Q96,IF('②候補ランキング'!$C$4="手軽さ",11-R96,IF('②候補ランキング'!$C$4="確信度",S96,T96)))*1000+T96+(1000-A96)/10000,"")</f>
        <v/>
      </c>
    </row>
    <row r="97" ht="18" customHeight="1" s="35">
      <c r="A97" s="84">
        <f>IF(C97="","",ROW()-5)</f>
        <v/>
      </c>
      <c r="B97" s="85" t="n"/>
      <c r="C97" s="86" t="n"/>
      <c r="D97" s="86" t="n"/>
      <c r="E97" s="85" t="n"/>
      <c r="F97" s="86" t="n"/>
      <c r="G97" s="86" t="n"/>
      <c r="H97" s="86" t="n"/>
      <c r="I97" s="86" t="n"/>
      <c r="J97" s="85" t="n"/>
      <c r="K97" s="85" t="n"/>
      <c r="L97" s="85" t="n"/>
      <c r="M97" s="85" t="n"/>
      <c r="N97" s="85" t="n"/>
      <c r="O97" s="85" t="n"/>
      <c r="P97" s="84">
        <f>IF(C97="","",IF(OR(E97="",E97="未検証"),"① STEP1待ち",IF(E97="不通過","✕ STEP1不通過",IF(OR(G97="",H97=""),"② STEP2-3 未記入",IF(COUNTIF(J97:O97,"×")&gt;0,"✕ ボツ候補",IF(COUNTA(J97:O97)&lt;6,"③ STEP4 審査待ち",IF(COUNTIF(J97:O97,"△")&gt;0,"△ 修正して再審査","◎ 候補リスト")))))))</f>
        <v/>
      </c>
      <c r="Q97" s="85" t="n"/>
      <c r="R97" s="85" t="n"/>
      <c r="S97" s="85" t="n"/>
      <c r="T97" s="84">
        <f>IF(COUNT(Q97:S97)&lt;3,"",Q97+(11-R97)+S97)</f>
        <v/>
      </c>
      <c r="U97" s="85" t="n"/>
      <c r="V97" s="86" t="n"/>
      <c r="W97" s="87">
        <f>IF(AND(P97="◎ 候補リスト",U97&lt;&gt;"ボツ",U97&lt;&gt;"制作済み",T97&lt;&gt;"",OR('②候補ランキング'!$C$5="すべて",B97='②候補ランキング'!$C$5)),IF('②候補ランキング'!$C$4="ワクワク",Q97,IF('②候補ランキング'!$C$4="手軽さ",11-R97,IF('②候補ランキング'!$C$4="確信度",S97,T97)))*1000+T97+(1000-A97)/10000,"")</f>
        <v/>
      </c>
    </row>
    <row r="98" ht="18" customHeight="1" s="35">
      <c r="A98" s="84">
        <f>IF(C98="","",ROW()-5)</f>
        <v/>
      </c>
      <c r="B98" s="85" t="n"/>
      <c r="C98" s="86" t="n"/>
      <c r="D98" s="86" t="n"/>
      <c r="E98" s="85" t="n"/>
      <c r="F98" s="86" t="n"/>
      <c r="G98" s="86" t="n"/>
      <c r="H98" s="86" t="n"/>
      <c r="I98" s="86" t="n"/>
      <c r="J98" s="85" t="n"/>
      <c r="K98" s="85" t="n"/>
      <c r="L98" s="85" t="n"/>
      <c r="M98" s="85" t="n"/>
      <c r="N98" s="85" t="n"/>
      <c r="O98" s="85" t="n"/>
      <c r="P98" s="84">
        <f>IF(C98="","",IF(OR(E98="",E98="未検証"),"① STEP1待ち",IF(E98="不通過","✕ STEP1不通過",IF(OR(G98="",H98=""),"② STEP2-3 未記入",IF(COUNTIF(J98:O98,"×")&gt;0,"✕ ボツ候補",IF(COUNTA(J98:O98)&lt;6,"③ STEP4 審査待ち",IF(COUNTIF(J98:O98,"△")&gt;0,"△ 修正して再審査","◎ 候補リスト")))))))</f>
        <v/>
      </c>
      <c r="Q98" s="85" t="n"/>
      <c r="R98" s="85" t="n"/>
      <c r="S98" s="85" t="n"/>
      <c r="T98" s="84">
        <f>IF(COUNT(Q98:S98)&lt;3,"",Q98+(11-R98)+S98)</f>
        <v/>
      </c>
      <c r="U98" s="85" t="n"/>
      <c r="V98" s="86" t="n"/>
      <c r="W98" s="87">
        <f>IF(AND(P98="◎ 候補リスト",U98&lt;&gt;"ボツ",U98&lt;&gt;"制作済み",T98&lt;&gt;"",OR('②候補ランキング'!$C$5="すべて",B98='②候補ランキング'!$C$5)),IF('②候補ランキング'!$C$4="ワクワク",Q98,IF('②候補ランキング'!$C$4="手軽さ",11-R98,IF('②候補ランキング'!$C$4="確信度",S98,T98)))*1000+T98+(1000-A98)/10000,"")</f>
        <v/>
      </c>
    </row>
    <row r="99" ht="18" customHeight="1" s="35">
      <c r="A99" s="84">
        <f>IF(C99="","",ROW()-5)</f>
        <v/>
      </c>
      <c r="B99" s="85" t="n"/>
      <c r="C99" s="86" t="n"/>
      <c r="D99" s="86" t="n"/>
      <c r="E99" s="85" t="n"/>
      <c r="F99" s="86" t="n"/>
      <c r="G99" s="86" t="n"/>
      <c r="H99" s="86" t="n"/>
      <c r="I99" s="86" t="n"/>
      <c r="J99" s="85" t="n"/>
      <c r="K99" s="85" t="n"/>
      <c r="L99" s="85" t="n"/>
      <c r="M99" s="85" t="n"/>
      <c r="N99" s="85" t="n"/>
      <c r="O99" s="85" t="n"/>
      <c r="P99" s="84">
        <f>IF(C99="","",IF(OR(E99="",E99="未検証"),"① STEP1待ち",IF(E99="不通過","✕ STEP1不通過",IF(OR(G99="",H99=""),"② STEP2-3 未記入",IF(COUNTIF(J99:O99,"×")&gt;0,"✕ ボツ候補",IF(COUNTA(J99:O99)&lt;6,"③ STEP4 審査待ち",IF(COUNTIF(J99:O99,"△")&gt;0,"△ 修正して再審査","◎ 候補リスト")))))))</f>
        <v/>
      </c>
      <c r="Q99" s="85" t="n"/>
      <c r="R99" s="85" t="n"/>
      <c r="S99" s="85" t="n"/>
      <c r="T99" s="84">
        <f>IF(COUNT(Q99:S99)&lt;3,"",Q99+(11-R99)+S99)</f>
        <v/>
      </c>
      <c r="U99" s="85" t="n"/>
      <c r="V99" s="86" t="n"/>
      <c r="W99" s="87">
        <f>IF(AND(P99="◎ 候補リスト",U99&lt;&gt;"ボツ",U99&lt;&gt;"制作済み",T99&lt;&gt;"",OR('②候補ランキング'!$C$5="すべて",B99='②候補ランキング'!$C$5)),IF('②候補ランキング'!$C$4="ワクワク",Q99,IF('②候補ランキング'!$C$4="手軽さ",11-R99,IF('②候補ランキング'!$C$4="確信度",S99,T99)))*1000+T99+(1000-A99)/10000,"")</f>
        <v/>
      </c>
    </row>
    <row r="100" ht="18" customHeight="1" s="35">
      <c r="A100" s="84">
        <f>IF(C100="","",ROW()-5)</f>
        <v/>
      </c>
      <c r="B100" s="85" t="n"/>
      <c r="C100" s="86" t="n"/>
      <c r="D100" s="86" t="n"/>
      <c r="E100" s="85" t="n"/>
      <c r="F100" s="86" t="n"/>
      <c r="G100" s="86" t="n"/>
      <c r="H100" s="86" t="n"/>
      <c r="I100" s="86" t="n"/>
      <c r="J100" s="85" t="n"/>
      <c r="K100" s="85" t="n"/>
      <c r="L100" s="85" t="n"/>
      <c r="M100" s="85" t="n"/>
      <c r="N100" s="85" t="n"/>
      <c r="O100" s="85" t="n"/>
      <c r="P100" s="84">
        <f>IF(C100="","",IF(OR(E100="",E100="未検証"),"① STEP1待ち",IF(E100="不通過","✕ STEP1不通過",IF(OR(G100="",H100=""),"② STEP2-3 未記入",IF(COUNTIF(J100:O100,"×")&gt;0,"✕ ボツ候補",IF(COUNTA(J100:O100)&lt;6,"③ STEP4 審査待ち",IF(COUNTIF(J100:O100,"△")&gt;0,"△ 修正して再審査","◎ 候補リスト")))))))</f>
        <v/>
      </c>
      <c r="Q100" s="85" t="n"/>
      <c r="R100" s="85" t="n"/>
      <c r="S100" s="85" t="n"/>
      <c r="T100" s="84">
        <f>IF(COUNT(Q100:S100)&lt;3,"",Q100+(11-R100)+S100)</f>
        <v/>
      </c>
      <c r="U100" s="85" t="n"/>
      <c r="V100" s="86" t="n"/>
      <c r="W100" s="87">
        <f>IF(AND(P100="◎ 候補リスト",U100&lt;&gt;"ボツ",U100&lt;&gt;"制作済み",T100&lt;&gt;"",OR('②候補ランキング'!$C$5="すべて",B100='②候補ランキング'!$C$5)),IF('②候補ランキング'!$C$4="ワクワク",Q100,IF('②候補ランキング'!$C$4="手軽さ",11-R100,IF('②候補ランキング'!$C$4="確信度",S100,T100)))*1000+T100+(1000-A100)/10000,"")</f>
        <v/>
      </c>
    </row>
    <row r="101" ht="18" customHeight="1" s="35">
      <c r="A101" s="84">
        <f>IF(C101="","",ROW()-5)</f>
        <v/>
      </c>
      <c r="B101" s="85" t="n"/>
      <c r="C101" s="86" t="n"/>
      <c r="D101" s="86" t="n"/>
      <c r="E101" s="85" t="n"/>
      <c r="F101" s="86" t="n"/>
      <c r="G101" s="86" t="n"/>
      <c r="H101" s="86" t="n"/>
      <c r="I101" s="86" t="n"/>
      <c r="J101" s="85" t="n"/>
      <c r="K101" s="85" t="n"/>
      <c r="L101" s="85" t="n"/>
      <c r="M101" s="85" t="n"/>
      <c r="N101" s="85" t="n"/>
      <c r="O101" s="85" t="n"/>
      <c r="P101" s="84">
        <f>IF(C101="","",IF(OR(E101="",E101="未検証"),"① STEP1待ち",IF(E101="不通過","✕ STEP1不通過",IF(OR(G101="",H101=""),"② STEP2-3 未記入",IF(COUNTIF(J101:O101,"×")&gt;0,"✕ ボツ候補",IF(COUNTA(J101:O101)&lt;6,"③ STEP4 審査待ち",IF(COUNTIF(J101:O101,"△")&gt;0,"△ 修正して再審査","◎ 候補リスト")))))))</f>
        <v/>
      </c>
      <c r="Q101" s="85" t="n"/>
      <c r="R101" s="85" t="n"/>
      <c r="S101" s="85" t="n"/>
      <c r="T101" s="84">
        <f>IF(COUNT(Q101:S101)&lt;3,"",Q101+(11-R101)+S101)</f>
        <v/>
      </c>
      <c r="U101" s="85" t="n"/>
      <c r="V101" s="86" t="n"/>
      <c r="W101" s="87">
        <f>IF(AND(P101="◎ 候補リスト",U101&lt;&gt;"ボツ",U101&lt;&gt;"制作済み",T101&lt;&gt;"",OR('②候補ランキング'!$C$5="すべて",B101='②候補ランキング'!$C$5)),IF('②候補ランキング'!$C$4="ワクワク",Q101,IF('②候補ランキング'!$C$4="手軽さ",11-R101,IF('②候補ランキング'!$C$4="確信度",S101,T101)))*1000+T101+(1000-A101)/10000,"")</f>
        <v/>
      </c>
    </row>
    <row r="102" ht="18" customHeight="1" s="35">
      <c r="A102" s="84">
        <f>IF(C102="","",ROW()-5)</f>
        <v/>
      </c>
      <c r="B102" s="85" t="n"/>
      <c r="C102" s="86" t="n"/>
      <c r="D102" s="86" t="n"/>
      <c r="E102" s="85" t="n"/>
      <c r="F102" s="86" t="n"/>
      <c r="G102" s="86" t="n"/>
      <c r="H102" s="86" t="n"/>
      <c r="I102" s="86" t="n"/>
      <c r="J102" s="85" t="n"/>
      <c r="K102" s="85" t="n"/>
      <c r="L102" s="85" t="n"/>
      <c r="M102" s="85" t="n"/>
      <c r="N102" s="85" t="n"/>
      <c r="O102" s="85" t="n"/>
      <c r="P102" s="84">
        <f>IF(C102="","",IF(OR(E102="",E102="未検証"),"① STEP1待ち",IF(E102="不通過","✕ STEP1不通過",IF(OR(G102="",H102=""),"② STEP2-3 未記入",IF(COUNTIF(J102:O102,"×")&gt;0,"✕ ボツ候補",IF(COUNTA(J102:O102)&lt;6,"③ STEP4 審査待ち",IF(COUNTIF(J102:O102,"△")&gt;0,"△ 修正して再審査","◎ 候補リスト")))))))</f>
        <v/>
      </c>
      <c r="Q102" s="85" t="n"/>
      <c r="R102" s="85" t="n"/>
      <c r="S102" s="85" t="n"/>
      <c r="T102" s="84">
        <f>IF(COUNT(Q102:S102)&lt;3,"",Q102+(11-R102)+S102)</f>
        <v/>
      </c>
      <c r="U102" s="85" t="n"/>
      <c r="V102" s="86" t="n"/>
      <c r="W102" s="87">
        <f>IF(AND(P102="◎ 候補リスト",U102&lt;&gt;"ボツ",U102&lt;&gt;"制作済み",T102&lt;&gt;"",OR('②候補ランキング'!$C$5="すべて",B102='②候補ランキング'!$C$5)),IF('②候補ランキング'!$C$4="ワクワク",Q102,IF('②候補ランキング'!$C$4="手軽さ",11-R102,IF('②候補ランキング'!$C$4="確信度",S102,T102)))*1000+T102+(1000-A102)/10000,"")</f>
        <v/>
      </c>
    </row>
    <row r="103" ht="18" customHeight="1" s="35">
      <c r="A103" s="84">
        <f>IF(C103="","",ROW()-5)</f>
        <v/>
      </c>
      <c r="B103" s="85" t="n"/>
      <c r="C103" s="86" t="n"/>
      <c r="D103" s="86" t="n"/>
      <c r="E103" s="85" t="n"/>
      <c r="F103" s="86" t="n"/>
      <c r="G103" s="86" t="n"/>
      <c r="H103" s="86" t="n"/>
      <c r="I103" s="86" t="n"/>
      <c r="J103" s="85" t="n"/>
      <c r="K103" s="85" t="n"/>
      <c r="L103" s="85" t="n"/>
      <c r="M103" s="85" t="n"/>
      <c r="N103" s="85" t="n"/>
      <c r="O103" s="85" t="n"/>
      <c r="P103" s="84">
        <f>IF(C103="","",IF(OR(E103="",E103="未検証"),"① STEP1待ち",IF(E103="不通過","✕ STEP1不通過",IF(OR(G103="",H103=""),"② STEP2-3 未記入",IF(COUNTIF(J103:O103,"×")&gt;0,"✕ ボツ候補",IF(COUNTA(J103:O103)&lt;6,"③ STEP4 審査待ち",IF(COUNTIF(J103:O103,"△")&gt;0,"△ 修正して再審査","◎ 候補リスト")))))))</f>
        <v/>
      </c>
      <c r="Q103" s="85" t="n"/>
      <c r="R103" s="85" t="n"/>
      <c r="S103" s="85" t="n"/>
      <c r="T103" s="84">
        <f>IF(COUNT(Q103:S103)&lt;3,"",Q103+(11-R103)+S103)</f>
        <v/>
      </c>
      <c r="U103" s="85" t="n"/>
      <c r="V103" s="86" t="n"/>
      <c r="W103" s="87">
        <f>IF(AND(P103="◎ 候補リスト",U103&lt;&gt;"ボツ",U103&lt;&gt;"制作済み",T103&lt;&gt;"",OR('②候補ランキング'!$C$5="すべて",B103='②候補ランキング'!$C$5)),IF('②候補ランキング'!$C$4="ワクワク",Q103,IF('②候補ランキング'!$C$4="手軽さ",11-R103,IF('②候補ランキング'!$C$4="確信度",S103,T103)))*1000+T103+(1000-A103)/10000,"")</f>
        <v/>
      </c>
    </row>
    <row r="104" ht="18" customHeight="1" s="35">
      <c r="A104" s="84">
        <f>IF(C104="","",ROW()-5)</f>
        <v/>
      </c>
      <c r="B104" s="85" t="n"/>
      <c r="C104" s="86" t="n"/>
      <c r="D104" s="86" t="n"/>
      <c r="E104" s="85" t="n"/>
      <c r="F104" s="86" t="n"/>
      <c r="G104" s="86" t="n"/>
      <c r="H104" s="86" t="n"/>
      <c r="I104" s="86" t="n"/>
      <c r="J104" s="85" t="n"/>
      <c r="K104" s="85" t="n"/>
      <c r="L104" s="85" t="n"/>
      <c r="M104" s="85" t="n"/>
      <c r="N104" s="85" t="n"/>
      <c r="O104" s="85" t="n"/>
      <c r="P104" s="84">
        <f>IF(C104="","",IF(OR(E104="",E104="未検証"),"① STEP1待ち",IF(E104="不通過","✕ STEP1不通過",IF(OR(G104="",H104=""),"② STEP2-3 未記入",IF(COUNTIF(J104:O104,"×")&gt;0,"✕ ボツ候補",IF(COUNTA(J104:O104)&lt;6,"③ STEP4 審査待ち",IF(COUNTIF(J104:O104,"△")&gt;0,"△ 修正して再審査","◎ 候補リスト")))))))</f>
        <v/>
      </c>
      <c r="Q104" s="85" t="n"/>
      <c r="R104" s="85" t="n"/>
      <c r="S104" s="85" t="n"/>
      <c r="T104" s="84">
        <f>IF(COUNT(Q104:S104)&lt;3,"",Q104+(11-R104)+S104)</f>
        <v/>
      </c>
      <c r="U104" s="85" t="n"/>
      <c r="V104" s="86" t="n"/>
      <c r="W104" s="87">
        <f>IF(AND(P104="◎ 候補リスト",U104&lt;&gt;"ボツ",U104&lt;&gt;"制作済み",T104&lt;&gt;"",OR('②候補ランキング'!$C$5="すべて",B104='②候補ランキング'!$C$5)),IF('②候補ランキング'!$C$4="ワクワク",Q104,IF('②候補ランキング'!$C$4="手軽さ",11-R104,IF('②候補ランキング'!$C$4="確信度",S104,T104)))*1000+T104+(1000-A104)/10000,"")</f>
        <v/>
      </c>
    </row>
    <row r="105" ht="18" customHeight="1" s="35">
      <c r="A105" s="84">
        <f>IF(C105="","",ROW()-5)</f>
        <v/>
      </c>
      <c r="B105" s="85" t="n"/>
      <c r="C105" s="86" t="n"/>
      <c r="D105" s="86" t="n"/>
      <c r="E105" s="85" t="n"/>
      <c r="F105" s="86" t="n"/>
      <c r="G105" s="86" t="n"/>
      <c r="H105" s="86" t="n"/>
      <c r="I105" s="86" t="n"/>
      <c r="J105" s="85" t="n"/>
      <c r="K105" s="85" t="n"/>
      <c r="L105" s="85" t="n"/>
      <c r="M105" s="85" t="n"/>
      <c r="N105" s="85" t="n"/>
      <c r="O105" s="85" t="n"/>
      <c r="P105" s="84">
        <f>IF(C105="","",IF(OR(E105="",E105="未検証"),"① STEP1待ち",IF(E105="不通過","✕ STEP1不通過",IF(OR(G105="",H105=""),"② STEP2-3 未記入",IF(COUNTIF(J105:O105,"×")&gt;0,"✕ ボツ候補",IF(COUNTA(J105:O105)&lt;6,"③ STEP4 審査待ち",IF(COUNTIF(J105:O105,"△")&gt;0,"△ 修正して再審査","◎ 候補リスト")))))))</f>
        <v/>
      </c>
      <c r="Q105" s="85" t="n"/>
      <c r="R105" s="85" t="n"/>
      <c r="S105" s="85" t="n"/>
      <c r="T105" s="84">
        <f>IF(COUNT(Q105:S105)&lt;3,"",Q105+(11-R105)+S105)</f>
        <v/>
      </c>
      <c r="U105" s="85" t="n"/>
      <c r="V105" s="86" t="n"/>
      <c r="W105" s="87">
        <f>IF(AND(P105="◎ 候補リスト",U105&lt;&gt;"ボツ",U105&lt;&gt;"制作済み",T105&lt;&gt;"",OR('②候補ランキング'!$C$5="すべて",B105='②候補ランキング'!$C$5)),IF('②候補ランキング'!$C$4="ワクワク",Q105,IF('②候補ランキング'!$C$4="手軽さ",11-R105,IF('②候補ランキング'!$C$4="確信度",S105,T105)))*1000+T105+(1000-A105)/10000,"")</f>
        <v/>
      </c>
    </row>
    <row r="106" ht="18" customHeight="1" s="35">
      <c r="A106" s="84">
        <f>IF(C106="","",ROW()-5)</f>
        <v/>
      </c>
      <c r="B106" s="85" t="n"/>
      <c r="C106" s="86" t="n"/>
      <c r="D106" s="86" t="n"/>
      <c r="E106" s="85" t="n"/>
      <c r="F106" s="86" t="n"/>
      <c r="G106" s="86" t="n"/>
      <c r="H106" s="86" t="n"/>
      <c r="I106" s="86" t="n"/>
      <c r="J106" s="85" t="n"/>
      <c r="K106" s="85" t="n"/>
      <c r="L106" s="85" t="n"/>
      <c r="M106" s="85" t="n"/>
      <c r="N106" s="85" t="n"/>
      <c r="O106" s="85" t="n"/>
      <c r="P106" s="84">
        <f>IF(C106="","",IF(OR(E106="",E106="未検証"),"① STEP1待ち",IF(E106="不通過","✕ STEP1不通過",IF(OR(G106="",H106=""),"② STEP2-3 未記入",IF(COUNTIF(J106:O106,"×")&gt;0,"✕ ボツ候補",IF(COUNTA(J106:O106)&lt;6,"③ STEP4 審査待ち",IF(COUNTIF(J106:O106,"△")&gt;0,"△ 修正して再審査","◎ 候補リスト")))))))</f>
        <v/>
      </c>
      <c r="Q106" s="85" t="n"/>
      <c r="R106" s="85" t="n"/>
      <c r="S106" s="85" t="n"/>
      <c r="T106" s="84">
        <f>IF(COUNT(Q106:S106)&lt;3,"",Q106+(11-R106)+S106)</f>
        <v/>
      </c>
      <c r="U106" s="85" t="n"/>
      <c r="V106" s="86" t="n"/>
      <c r="W106" s="87">
        <f>IF(AND(P106="◎ 候補リスト",U106&lt;&gt;"ボツ",U106&lt;&gt;"制作済み",T106&lt;&gt;"",OR('②候補ランキング'!$C$5="すべて",B106='②候補ランキング'!$C$5)),IF('②候補ランキング'!$C$4="ワクワク",Q106,IF('②候補ランキング'!$C$4="手軽さ",11-R106,IF('②候補ランキング'!$C$4="確信度",S106,T106)))*1000+T106+(1000-A106)/10000,"")</f>
        <v/>
      </c>
    </row>
    <row r="107" ht="18" customHeight="1" s="35">
      <c r="A107" s="84">
        <f>IF(C107="","",ROW()-5)</f>
        <v/>
      </c>
      <c r="B107" s="85" t="n"/>
      <c r="C107" s="86" t="n"/>
      <c r="D107" s="86" t="n"/>
      <c r="E107" s="85" t="n"/>
      <c r="F107" s="86" t="n"/>
      <c r="G107" s="86" t="n"/>
      <c r="H107" s="86" t="n"/>
      <c r="I107" s="86" t="n"/>
      <c r="J107" s="85" t="n"/>
      <c r="K107" s="85" t="n"/>
      <c r="L107" s="85" t="n"/>
      <c r="M107" s="85" t="n"/>
      <c r="N107" s="85" t="n"/>
      <c r="O107" s="85" t="n"/>
      <c r="P107" s="84">
        <f>IF(C107="","",IF(OR(E107="",E107="未検証"),"① STEP1待ち",IF(E107="不通過","✕ STEP1不通過",IF(OR(G107="",H107=""),"② STEP2-3 未記入",IF(COUNTIF(J107:O107,"×")&gt;0,"✕ ボツ候補",IF(COUNTA(J107:O107)&lt;6,"③ STEP4 審査待ち",IF(COUNTIF(J107:O107,"△")&gt;0,"△ 修正して再審査","◎ 候補リスト")))))))</f>
        <v/>
      </c>
      <c r="Q107" s="85" t="n"/>
      <c r="R107" s="85" t="n"/>
      <c r="S107" s="85" t="n"/>
      <c r="T107" s="84">
        <f>IF(COUNT(Q107:S107)&lt;3,"",Q107+(11-R107)+S107)</f>
        <v/>
      </c>
      <c r="U107" s="85" t="n"/>
      <c r="V107" s="86" t="n"/>
      <c r="W107" s="87">
        <f>IF(AND(P107="◎ 候補リスト",U107&lt;&gt;"ボツ",U107&lt;&gt;"制作済み",T107&lt;&gt;"",OR('②候補ランキング'!$C$5="すべて",B107='②候補ランキング'!$C$5)),IF('②候補ランキング'!$C$4="ワクワク",Q107,IF('②候補ランキング'!$C$4="手軽さ",11-R107,IF('②候補ランキング'!$C$4="確信度",S107,T107)))*1000+T107+(1000-A107)/10000,"")</f>
        <v/>
      </c>
    </row>
    <row r="108" ht="18" customHeight="1" s="35">
      <c r="A108" s="84">
        <f>IF(C108="","",ROW()-5)</f>
        <v/>
      </c>
      <c r="B108" s="85" t="n"/>
      <c r="C108" s="86" t="n"/>
      <c r="D108" s="86" t="n"/>
      <c r="E108" s="85" t="n"/>
      <c r="F108" s="86" t="n"/>
      <c r="G108" s="86" t="n"/>
      <c r="H108" s="86" t="n"/>
      <c r="I108" s="86" t="n"/>
      <c r="J108" s="85" t="n"/>
      <c r="K108" s="85" t="n"/>
      <c r="L108" s="85" t="n"/>
      <c r="M108" s="85" t="n"/>
      <c r="N108" s="85" t="n"/>
      <c r="O108" s="85" t="n"/>
      <c r="P108" s="84">
        <f>IF(C108="","",IF(OR(E108="",E108="未検証"),"① STEP1待ち",IF(E108="不通過","✕ STEP1不通過",IF(OR(G108="",H108=""),"② STEP2-3 未記入",IF(COUNTIF(J108:O108,"×")&gt;0,"✕ ボツ候補",IF(COUNTA(J108:O108)&lt;6,"③ STEP4 審査待ち",IF(COUNTIF(J108:O108,"△")&gt;0,"△ 修正して再審査","◎ 候補リスト")))))))</f>
        <v/>
      </c>
      <c r="Q108" s="85" t="n"/>
      <c r="R108" s="85" t="n"/>
      <c r="S108" s="85" t="n"/>
      <c r="T108" s="84">
        <f>IF(COUNT(Q108:S108)&lt;3,"",Q108+(11-R108)+S108)</f>
        <v/>
      </c>
      <c r="U108" s="85" t="n"/>
      <c r="V108" s="86" t="n"/>
      <c r="W108" s="87">
        <f>IF(AND(P108="◎ 候補リスト",U108&lt;&gt;"ボツ",U108&lt;&gt;"制作済み",T108&lt;&gt;"",OR('②候補ランキング'!$C$5="すべて",B108='②候補ランキング'!$C$5)),IF('②候補ランキング'!$C$4="ワクワク",Q108,IF('②候補ランキング'!$C$4="手軽さ",11-R108,IF('②候補ランキング'!$C$4="確信度",S108,T108)))*1000+T108+(1000-A108)/10000,"")</f>
        <v/>
      </c>
    </row>
    <row r="109" ht="18" customHeight="1" s="35">
      <c r="A109" s="84">
        <f>IF(C109="","",ROW()-5)</f>
        <v/>
      </c>
      <c r="B109" s="85" t="n"/>
      <c r="C109" s="86" t="n"/>
      <c r="D109" s="86" t="n"/>
      <c r="E109" s="85" t="n"/>
      <c r="F109" s="86" t="n"/>
      <c r="G109" s="86" t="n"/>
      <c r="H109" s="86" t="n"/>
      <c r="I109" s="86" t="n"/>
      <c r="J109" s="85" t="n"/>
      <c r="K109" s="85" t="n"/>
      <c r="L109" s="85" t="n"/>
      <c r="M109" s="85" t="n"/>
      <c r="N109" s="85" t="n"/>
      <c r="O109" s="85" t="n"/>
      <c r="P109" s="84">
        <f>IF(C109="","",IF(OR(E109="",E109="未検証"),"① STEP1待ち",IF(E109="不通過","✕ STEP1不通過",IF(OR(G109="",H109=""),"② STEP2-3 未記入",IF(COUNTIF(J109:O109,"×")&gt;0,"✕ ボツ候補",IF(COUNTA(J109:O109)&lt;6,"③ STEP4 審査待ち",IF(COUNTIF(J109:O109,"△")&gt;0,"△ 修正して再審査","◎ 候補リスト")))))))</f>
        <v/>
      </c>
      <c r="Q109" s="85" t="n"/>
      <c r="R109" s="85" t="n"/>
      <c r="S109" s="85" t="n"/>
      <c r="T109" s="84">
        <f>IF(COUNT(Q109:S109)&lt;3,"",Q109+(11-R109)+S109)</f>
        <v/>
      </c>
      <c r="U109" s="85" t="n"/>
      <c r="V109" s="86" t="n"/>
      <c r="W109" s="87">
        <f>IF(AND(P109="◎ 候補リスト",U109&lt;&gt;"ボツ",U109&lt;&gt;"制作済み",T109&lt;&gt;"",OR('②候補ランキング'!$C$5="すべて",B109='②候補ランキング'!$C$5)),IF('②候補ランキング'!$C$4="ワクワク",Q109,IF('②候補ランキング'!$C$4="手軽さ",11-R109,IF('②候補ランキング'!$C$4="確信度",S109,T109)))*1000+T109+(1000-A109)/10000,"")</f>
        <v/>
      </c>
    </row>
    <row r="110" ht="18" customHeight="1" s="35">
      <c r="A110" s="84">
        <f>IF(C110="","",ROW()-5)</f>
        <v/>
      </c>
      <c r="B110" s="85" t="n"/>
      <c r="C110" s="86" t="n"/>
      <c r="D110" s="86" t="n"/>
      <c r="E110" s="85" t="n"/>
      <c r="F110" s="86" t="n"/>
      <c r="G110" s="86" t="n"/>
      <c r="H110" s="86" t="n"/>
      <c r="I110" s="86" t="n"/>
      <c r="J110" s="85" t="n"/>
      <c r="K110" s="85" t="n"/>
      <c r="L110" s="85" t="n"/>
      <c r="M110" s="85" t="n"/>
      <c r="N110" s="85" t="n"/>
      <c r="O110" s="85" t="n"/>
      <c r="P110" s="84">
        <f>IF(C110="","",IF(OR(E110="",E110="未検証"),"① STEP1待ち",IF(E110="不通過","✕ STEP1不通過",IF(OR(G110="",H110=""),"② STEP2-3 未記入",IF(COUNTIF(J110:O110,"×")&gt;0,"✕ ボツ候補",IF(COUNTA(J110:O110)&lt;6,"③ STEP4 審査待ち",IF(COUNTIF(J110:O110,"△")&gt;0,"△ 修正して再審査","◎ 候補リスト")))))))</f>
        <v/>
      </c>
      <c r="Q110" s="85" t="n"/>
      <c r="R110" s="85" t="n"/>
      <c r="S110" s="85" t="n"/>
      <c r="T110" s="84">
        <f>IF(COUNT(Q110:S110)&lt;3,"",Q110+(11-R110)+S110)</f>
        <v/>
      </c>
      <c r="U110" s="85" t="n"/>
      <c r="V110" s="86" t="n"/>
      <c r="W110" s="87">
        <f>IF(AND(P110="◎ 候補リスト",U110&lt;&gt;"ボツ",U110&lt;&gt;"制作済み",T110&lt;&gt;"",OR('②候補ランキング'!$C$5="すべて",B110='②候補ランキング'!$C$5)),IF('②候補ランキング'!$C$4="ワクワク",Q110,IF('②候補ランキング'!$C$4="手軽さ",11-R110,IF('②候補ランキング'!$C$4="確信度",S110,T110)))*1000+T110+(1000-A110)/10000,"")</f>
        <v/>
      </c>
    </row>
    <row r="111" ht="18" customHeight="1" s="35">
      <c r="A111" s="84">
        <f>IF(C111="","",ROW()-5)</f>
        <v/>
      </c>
      <c r="B111" s="85" t="n"/>
      <c r="C111" s="86" t="n"/>
      <c r="D111" s="86" t="n"/>
      <c r="E111" s="85" t="n"/>
      <c r="F111" s="86" t="n"/>
      <c r="G111" s="86" t="n"/>
      <c r="H111" s="86" t="n"/>
      <c r="I111" s="86" t="n"/>
      <c r="J111" s="85" t="n"/>
      <c r="K111" s="85" t="n"/>
      <c r="L111" s="85" t="n"/>
      <c r="M111" s="85" t="n"/>
      <c r="N111" s="85" t="n"/>
      <c r="O111" s="85" t="n"/>
      <c r="P111" s="84">
        <f>IF(C111="","",IF(OR(E111="",E111="未検証"),"① STEP1待ち",IF(E111="不通過","✕ STEP1不通過",IF(OR(G111="",H111=""),"② STEP2-3 未記入",IF(COUNTIF(J111:O111,"×")&gt;0,"✕ ボツ候補",IF(COUNTA(J111:O111)&lt;6,"③ STEP4 審査待ち",IF(COUNTIF(J111:O111,"△")&gt;0,"△ 修正して再審査","◎ 候補リスト")))))))</f>
        <v/>
      </c>
      <c r="Q111" s="85" t="n"/>
      <c r="R111" s="85" t="n"/>
      <c r="S111" s="85" t="n"/>
      <c r="T111" s="84">
        <f>IF(COUNT(Q111:S111)&lt;3,"",Q111+(11-R111)+S111)</f>
        <v/>
      </c>
      <c r="U111" s="85" t="n"/>
      <c r="V111" s="86" t="n"/>
      <c r="W111" s="87">
        <f>IF(AND(P111="◎ 候補リスト",U111&lt;&gt;"ボツ",U111&lt;&gt;"制作済み",T111&lt;&gt;"",OR('②候補ランキング'!$C$5="すべて",B111='②候補ランキング'!$C$5)),IF('②候補ランキング'!$C$4="ワクワク",Q111,IF('②候補ランキング'!$C$4="手軽さ",11-R111,IF('②候補ランキング'!$C$4="確信度",S111,T111)))*1000+T111+(1000-A111)/10000,"")</f>
        <v/>
      </c>
    </row>
    <row r="112" ht="18" customHeight="1" s="35">
      <c r="A112" s="84">
        <f>IF(C112="","",ROW()-5)</f>
        <v/>
      </c>
      <c r="B112" s="85" t="n"/>
      <c r="C112" s="86" t="n"/>
      <c r="D112" s="86" t="n"/>
      <c r="E112" s="85" t="n"/>
      <c r="F112" s="86" t="n"/>
      <c r="G112" s="86" t="n"/>
      <c r="H112" s="86" t="n"/>
      <c r="I112" s="86" t="n"/>
      <c r="J112" s="85" t="n"/>
      <c r="K112" s="85" t="n"/>
      <c r="L112" s="85" t="n"/>
      <c r="M112" s="85" t="n"/>
      <c r="N112" s="85" t="n"/>
      <c r="O112" s="85" t="n"/>
      <c r="P112" s="84">
        <f>IF(C112="","",IF(OR(E112="",E112="未検証"),"① STEP1待ち",IF(E112="不通過","✕ STEP1不通過",IF(OR(G112="",H112=""),"② STEP2-3 未記入",IF(COUNTIF(J112:O112,"×")&gt;0,"✕ ボツ候補",IF(COUNTA(J112:O112)&lt;6,"③ STEP4 審査待ち",IF(COUNTIF(J112:O112,"△")&gt;0,"△ 修正して再審査","◎ 候補リスト")))))))</f>
        <v/>
      </c>
      <c r="Q112" s="85" t="n"/>
      <c r="R112" s="85" t="n"/>
      <c r="S112" s="85" t="n"/>
      <c r="T112" s="84">
        <f>IF(COUNT(Q112:S112)&lt;3,"",Q112+(11-R112)+S112)</f>
        <v/>
      </c>
      <c r="U112" s="85" t="n"/>
      <c r="V112" s="86" t="n"/>
      <c r="W112" s="87">
        <f>IF(AND(P112="◎ 候補リスト",U112&lt;&gt;"ボツ",U112&lt;&gt;"制作済み",T112&lt;&gt;"",OR('②候補ランキング'!$C$5="すべて",B112='②候補ランキング'!$C$5)),IF('②候補ランキング'!$C$4="ワクワク",Q112,IF('②候補ランキング'!$C$4="手軽さ",11-R112,IF('②候補ランキング'!$C$4="確信度",S112,T112)))*1000+T112+(1000-A112)/10000,"")</f>
        <v/>
      </c>
    </row>
    <row r="113" ht="18" customHeight="1" s="35">
      <c r="A113" s="84">
        <f>IF(C113="","",ROW()-5)</f>
        <v/>
      </c>
      <c r="B113" s="85" t="n"/>
      <c r="C113" s="86" t="n"/>
      <c r="D113" s="86" t="n"/>
      <c r="E113" s="85" t="n"/>
      <c r="F113" s="86" t="n"/>
      <c r="G113" s="86" t="n"/>
      <c r="H113" s="86" t="n"/>
      <c r="I113" s="86" t="n"/>
      <c r="J113" s="85" t="n"/>
      <c r="K113" s="85" t="n"/>
      <c r="L113" s="85" t="n"/>
      <c r="M113" s="85" t="n"/>
      <c r="N113" s="85" t="n"/>
      <c r="O113" s="85" t="n"/>
      <c r="P113" s="84">
        <f>IF(C113="","",IF(OR(E113="",E113="未検証"),"① STEP1待ち",IF(E113="不通過","✕ STEP1不通過",IF(OR(G113="",H113=""),"② STEP2-3 未記入",IF(COUNTIF(J113:O113,"×")&gt;0,"✕ ボツ候補",IF(COUNTA(J113:O113)&lt;6,"③ STEP4 審査待ち",IF(COUNTIF(J113:O113,"△")&gt;0,"△ 修正して再審査","◎ 候補リスト")))))))</f>
        <v/>
      </c>
      <c r="Q113" s="85" t="n"/>
      <c r="R113" s="85" t="n"/>
      <c r="S113" s="85" t="n"/>
      <c r="T113" s="84">
        <f>IF(COUNT(Q113:S113)&lt;3,"",Q113+(11-R113)+S113)</f>
        <v/>
      </c>
      <c r="U113" s="85" t="n"/>
      <c r="V113" s="86" t="n"/>
      <c r="W113" s="87">
        <f>IF(AND(P113="◎ 候補リスト",U113&lt;&gt;"ボツ",U113&lt;&gt;"制作済み",T113&lt;&gt;"",OR('②候補ランキング'!$C$5="すべて",B113='②候補ランキング'!$C$5)),IF('②候補ランキング'!$C$4="ワクワク",Q113,IF('②候補ランキング'!$C$4="手軽さ",11-R113,IF('②候補ランキング'!$C$4="確信度",S113,T113)))*1000+T113+(1000-A113)/10000,"")</f>
        <v/>
      </c>
    </row>
    <row r="114" ht="18" customHeight="1" s="35">
      <c r="A114" s="84">
        <f>IF(C114="","",ROW()-5)</f>
        <v/>
      </c>
      <c r="B114" s="85" t="n"/>
      <c r="C114" s="86" t="n"/>
      <c r="D114" s="86" t="n"/>
      <c r="E114" s="85" t="n"/>
      <c r="F114" s="86" t="n"/>
      <c r="G114" s="86" t="n"/>
      <c r="H114" s="86" t="n"/>
      <c r="I114" s="86" t="n"/>
      <c r="J114" s="85" t="n"/>
      <c r="K114" s="85" t="n"/>
      <c r="L114" s="85" t="n"/>
      <c r="M114" s="85" t="n"/>
      <c r="N114" s="85" t="n"/>
      <c r="O114" s="85" t="n"/>
      <c r="P114" s="84">
        <f>IF(C114="","",IF(OR(E114="",E114="未検証"),"① STEP1待ち",IF(E114="不通過","✕ STEP1不通過",IF(OR(G114="",H114=""),"② STEP2-3 未記入",IF(COUNTIF(J114:O114,"×")&gt;0,"✕ ボツ候補",IF(COUNTA(J114:O114)&lt;6,"③ STEP4 審査待ち",IF(COUNTIF(J114:O114,"△")&gt;0,"△ 修正して再審査","◎ 候補リスト")))))))</f>
        <v/>
      </c>
      <c r="Q114" s="85" t="n"/>
      <c r="R114" s="85" t="n"/>
      <c r="S114" s="85" t="n"/>
      <c r="T114" s="84">
        <f>IF(COUNT(Q114:S114)&lt;3,"",Q114+(11-R114)+S114)</f>
        <v/>
      </c>
      <c r="U114" s="85" t="n"/>
      <c r="V114" s="86" t="n"/>
      <c r="W114" s="87">
        <f>IF(AND(P114="◎ 候補リスト",U114&lt;&gt;"ボツ",U114&lt;&gt;"制作済み",T114&lt;&gt;"",OR('②候補ランキング'!$C$5="すべて",B114='②候補ランキング'!$C$5)),IF('②候補ランキング'!$C$4="ワクワク",Q114,IF('②候補ランキング'!$C$4="手軽さ",11-R114,IF('②候補ランキング'!$C$4="確信度",S114,T114)))*1000+T114+(1000-A114)/10000,"")</f>
        <v/>
      </c>
    </row>
    <row r="115" ht="18" customHeight="1" s="35">
      <c r="A115" s="84">
        <f>IF(C115="","",ROW()-5)</f>
        <v/>
      </c>
      <c r="B115" s="85" t="n"/>
      <c r="C115" s="86" t="n"/>
      <c r="D115" s="86" t="n"/>
      <c r="E115" s="85" t="n"/>
      <c r="F115" s="86" t="n"/>
      <c r="G115" s="86" t="n"/>
      <c r="H115" s="86" t="n"/>
      <c r="I115" s="86" t="n"/>
      <c r="J115" s="85" t="n"/>
      <c r="K115" s="85" t="n"/>
      <c r="L115" s="85" t="n"/>
      <c r="M115" s="85" t="n"/>
      <c r="N115" s="85" t="n"/>
      <c r="O115" s="85" t="n"/>
      <c r="P115" s="84">
        <f>IF(C115="","",IF(OR(E115="",E115="未検証"),"① STEP1待ち",IF(E115="不通過","✕ STEP1不通過",IF(OR(G115="",H115=""),"② STEP2-3 未記入",IF(COUNTIF(J115:O115,"×")&gt;0,"✕ ボツ候補",IF(COUNTA(J115:O115)&lt;6,"③ STEP4 審査待ち",IF(COUNTIF(J115:O115,"△")&gt;0,"△ 修正して再審査","◎ 候補リスト")))))))</f>
        <v/>
      </c>
      <c r="Q115" s="85" t="n"/>
      <c r="R115" s="85" t="n"/>
      <c r="S115" s="85" t="n"/>
      <c r="T115" s="84">
        <f>IF(COUNT(Q115:S115)&lt;3,"",Q115+(11-R115)+S115)</f>
        <v/>
      </c>
      <c r="U115" s="85" t="n"/>
      <c r="V115" s="86" t="n"/>
      <c r="W115" s="87">
        <f>IF(AND(P115="◎ 候補リスト",U115&lt;&gt;"ボツ",U115&lt;&gt;"制作済み",T115&lt;&gt;"",OR('②候補ランキング'!$C$5="すべて",B115='②候補ランキング'!$C$5)),IF('②候補ランキング'!$C$4="ワクワク",Q115,IF('②候補ランキング'!$C$4="手軽さ",11-R115,IF('②候補ランキング'!$C$4="確信度",S115,T115)))*1000+T115+(1000-A115)/10000,"")</f>
        <v/>
      </c>
    </row>
    <row r="116" ht="18" customHeight="1" s="35">
      <c r="A116" s="84">
        <f>IF(C116="","",ROW()-5)</f>
        <v/>
      </c>
      <c r="B116" s="85" t="n"/>
      <c r="C116" s="86" t="n"/>
      <c r="D116" s="86" t="n"/>
      <c r="E116" s="85" t="n"/>
      <c r="F116" s="86" t="n"/>
      <c r="G116" s="86" t="n"/>
      <c r="H116" s="86" t="n"/>
      <c r="I116" s="86" t="n"/>
      <c r="J116" s="85" t="n"/>
      <c r="K116" s="85" t="n"/>
      <c r="L116" s="85" t="n"/>
      <c r="M116" s="85" t="n"/>
      <c r="N116" s="85" t="n"/>
      <c r="O116" s="85" t="n"/>
      <c r="P116" s="84">
        <f>IF(C116="","",IF(OR(E116="",E116="未検証"),"① STEP1待ち",IF(E116="不通過","✕ STEP1不通過",IF(OR(G116="",H116=""),"② STEP2-3 未記入",IF(COUNTIF(J116:O116,"×")&gt;0,"✕ ボツ候補",IF(COUNTA(J116:O116)&lt;6,"③ STEP4 審査待ち",IF(COUNTIF(J116:O116,"△")&gt;0,"△ 修正して再審査","◎ 候補リスト")))))))</f>
        <v/>
      </c>
      <c r="Q116" s="85" t="n"/>
      <c r="R116" s="85" t="n"/>
      <c r="S116" s="85" t="n"/>
      <c r="T116" s="84">
        <f>IF(COUNT(Q116:S116)&lt;3,"",Q116+(11-R116)+S116)</f>
        <v/>
      </c>
      <c r="U116" s="85" t="n"/>
      <c r="V116" s="86" t="n"/>
      <c r="W116" s="87">
        <f>IF(AND(P116="◎ 候補リスト",U116&lt;&gt;"ボツ",U116&lt;&gt;"制作済み",T116&lt;&gt;"",OR('②候補ランキング'!$C$5="すべて",B116='②候補ランキング'!$C$5)),IF('②候補ランキング'!$C$4="ワクワク",Q116,IF('②候補ランキング'!$C$4="手軽さ",11-R116,IF('②候補ランキング'!$C$4="確信度",S116,T116)))*1000+T116+(1000-A116)/10000,"")</f>
        <v/>
      </c>
    </row>
    <row r="117" ht="18" customHeight="1" s="35">
      <c r="A117" s="84">
        <f>IF(C117="","",ROW()-5)</f>
        <v/>
      </c>
      <c r="B117" s="85" t="n"/>
      <c r="C117" s="86" t="n"/>
      <c r="D117" s="86" t="n"/>
      <c r="E117" s="85" t="n"/>
      <c r="F117" s="86" t="n"/>
      <c r="G117" s="86" t="n"/>
      <c r="H117" s="86" t="n"/>
      <c r="I117" s="86" t="n"/>
      <c r="J117" s="85" t="n"/>
      <c r="K117" s="85" t="n"/>
      <c r="L117" s="85" t="n"/>
      <c r="M117" s="85" t="n"/>
      <c r="N117" s="85" t="n"/>
      <c r="O117" s="85" t="n"/>
      <c r="P117" s="84">
        <f>IF(C117="","",IF(OR(E117="",E117="未検証"),"① STEP1待ち",IF(E117="不通過","✕ STEP1不通過",IF(OR(G117="",H117=""),"② STEP2-3 未記入",IF(COUNTIF(J117:O117,"×")&gt;0,"✕ ボツ候補",IF(COUNTA(J117:O117)&lt;6,"③ STEP4 審査待ち",IF(COUNTIF(J117:O117,"△")&gt;0,"△ 修正して再審査","◎ 候補リスト")))))))</f>
        <v/>
      </c>
      <c r="Q117" s="85" t="n"/>
      <c r="R117" s="85" t="n"/>
      <c r="S117" s="85" t="n"/>
      <c r="T117" s="84">
        <f>IF(COUNT(Q117:S117)&lt;3,"",Q117+(11-R117)+S117)</f>
        <v/>
      </c>
      <c r="U117" s="85" t="n"/>
      <c r="V117" s="86" t="n"/>
      <c r="W117" s="87">
        <f>IF(AND(P117="◎ 候補リスト",U117&lt;&gt;"ボツ",U117&lt;&gt;"制作済み",T117&lt;&gt;"",OR('②候補ランキング'!$C$5="すべて",B117='②候補ランキング'!$C$5)),IF('②候補ランキング'!$C$4="ワクワク",Q117,IF('②候補ランキング'!$C$4="手軽さ",11-R117,IF('②候補ランキング'!$C$4="確信度",S117,T117)))*1000+T117+(1000-A117)/10000,"")</f>
        <v/>
      </c>
    </row>
    <row r="118" ht="18" customHeight="1" s="35">
      <c r="A118" s="84">
        <f>IF(C118="","",ROW()-5)</f>
        <v/>
      </c>
      <c r="B118" s="85" t="n"/>
      <c r="C118" s="86" t="n"/>
      <c r="D118" s="86" t="n"/>
      <c r="E118" s="85" t="n"/>
      <c r="F118" s="86" t="n"/>
      <c r="G118" s="86" t="n"/>
      <c r="H118" s="86" t="n"/>
      <c r="I118" s="86" t="n"/>
      <c r="J118" s="85" t="n"/>
      <c r="K118" s="85" t="n"/>
      <c r="L118" s="85" t="n"/>
      <c r="M118" s="85" t="n"/>
      <c r="N118" s="85" t="n"/>
      <c r="O118" s="85" t="n"/>
      <c r="P118" s="84">
        <f>IF(C118="","",IF(OR(E118="",E118="未検証"),"① STEP1待ち",IF(E118="不通過","✕ STEP1不通過",IF(OR(G118="",H118=""),"② STEP2-3 未記入",IF(COUNTIF(J118:O118,"×")&gt;0,"✕ ボツ候補",IF(COUNTA(J118:O118)&lt;6,"③ STEP4 審査待ち",IF(COUNTIF(J118:O118,"△")&gt;0,"△ 修正して再審査","◎ 候補リスト")))))))</f>
        <v/>
      </c>
      <c r="Q118" s="85" t="n"/>
      <c r="R118" s="85" t="n"/>
      <c r="S118" s="85" t="n"/>
      <c r="T118" s="84">
        <f>IF(COUNT(Q118:S118)&lt;3,"",Q118+(11-R118)+S118)</f>
        <v/>
      </c>
      <c r="U118" s="85" t="n"/>
      <c r="V118" s="86" t="n"/>
      <c r="W118" s="87">
        <f>IF(AND(P118="◎ 候補リスト",U118&lt;&gt;"ボツ",U118&lt;&gt;"制作済み",T118&lt;&gt;"",OR('②候補ランキング'!$C$5="すべて",B118='②候補ランキング'!$C$5)),IF('②候補ランキング'!$C$4="ワクワク",Q118,IF('②候補ランキング'!$C$4="手軽さ",11-R118,IF('②候補ランキング'!$C$4="確信度",S118,T118)))*1000+T118+(1000-A118)/10000,"")</f>
        <v/>
      </c>
    </row>
    <row r="119" ht="18" customHeight="1" s="35">
      <c r="A119" s="84">
        <f>IF(C119="","",ROW()-5)</f>
        <v/>
      </c>
      <c r="B119" s="85" t="n"/>
      <c r="C119" s="86" t="n"/>
      <c r="D119" s="86" t="n"/>
      <c r="E119" s="85" t="n"/>
      <c r="F119" s="86" t="n"/>
      <c r="G119" s="86" t="n"/>
      <c r="H119" s="86" t="n"/>
      <c r="I119" s="86" t="n"/>
      <c r="J119" s="85" t="n"/>
      <c r="K119" s="85" t="n"/>
      <c r="L119" s="85" t="n"/>
      <c r="M119" s="85" t="n"/>
      <c r="N119" s="85" t="n"/>
      <c r="O119" s="85" t="n"/>
      <c r="P119" s="84">
        <f>IF(C119="","",IF(OR(E119="",E119="未検証"),"① STEP1待ち",IF(E119="不通過","✕ STEP1不通過",IF(OR(G119="",H119=""),"② STEP2-3 未記入",IF(COUNTIF(J119:O119,"×")&gt;0,"✕ ボツ候補",IF(COUNTA(J119:O119)&lt;6,"③ STEP4 審査待ち",IF(COUNTIF(J119:O119,"△")&gt;0,"△ 修正して再審査","◎ 候補リスト")))))))</f>
        <v/>
      </c>
      <c r="Q119" s="85" t="n"/>
      <c r="R119" s="85" t="n"/>
      <c r="S119" s="85" t="n"/>
      <c r="T119" s="84">
        <f>IF(COUNT(Q119:S119)&lt;3,"",Q119+(11-R119)+S119)</f>
        <v/>
      </c>
      <c r="U119" s="85" t="n"/>
      <c r="V119" s="86" t="n"/>
      <c r="W119" s="87">
        <f>IF(AND(P119="◎ 候補リスト",U119&lt;&gt;"ボツ",U119&lt;&gt;"制作済み",T119&lt;&gt;"",OR('②候補ランキング'!$C$5="すべて",B119='②候補ランキング'!$C$5)),IF('②候補ランキング'!$C$4="ワクワク",Q119,IF('②候補ランキング'!$C$4="手軽さ",11-R119,IF('②候補ランキング'!$C$4="確信度",S119,T119)))*1000+T119+(1000-A119)/10000,"")</f>
        <v/>
      </c>
    </row>
    <row r="120" ht="18" customHeight="1" s="35">
      <c r="A120" s="84">
        <f>IF(C120="","",ROW()-5)</f>
        <v/>
      </c>
      <c r="B120" s="85" t="n"/>
      <c r="C120" s="86" t="n"/>
      <c r="D120" s="86" t="n"/>
      <c r="E120" s="85" t="n"/>
      <c r="F120" s="86" t="n"/>
      <c r="G120" s="86" t="n"/>
      <c r="H120" s="86" t="n"/>
      <c r="I120" s="86" t="n"/>
      <c r="J120" s="85" t="n"/>
      <c r="K120" s="85" t="n"/>
      <c r="L120" s="85" t="n"/>
      <c r="M120" s="85" t="n"/>
      <c r="N120" s="85" t="n"/>
      <c r="O120" s="85" t="n"/>
      <c r="P120" s="84">
        <f>IF(C120="","",IF(OR(E120="",E120="未検証"),"① STEP1待ち",IF(E120="不通過","✕ STEP1不通過",IF(OR(G120="",H120=""),"② STEP2-3 未記入",IF(COUNTIF(J120:O120,"×")&gt;0,"✕ ボツ候補",IF(COUNTA(J120:O120)&lt;6,"③ STEP4 審査待ち",IF(COUNTIF(J120:O120,"△")&gt;0,"△ 修正して再審査","◎ 候補リスト")))))))</f>
        <v/>
      </c>
      <c r="Q120" s="85" t="n"/>
      <c r="R120" s="85" t="n"/>
      <c r="S120" s="85" t="n"/>
      <c r="T120" s="84">
        <f>IF(COUNT(Q120:S120)&lt;3,"",Q120+(11-R120)+S120)</f>
        <v/>
      </c>
      <c r="U120" s="85" t="n"/>
      <c r="V120" s="86" t="n"/>
      <c r="W120" s="87">
        <f>IF(AND(P120="◎ 候補リスト",U120&lt;&gt;"ボツ",U120&lt;&gt;"制作済み",T120&lt;&gt;"",OR('②候補ランキング'!$C$5="すべて",B120='②候補ランキング'!$C$5)),IF('②候補ランキング'!$C$4="ワクワク",Q120,IF('②候補ランキング'!$C$4="手軽さ",11-R120,IF('②候補ランキング'!$C$4="確信度",S120,T120)))*1000+T120+(1000-A120)/10000,"")</f>
        <v/>
      </c>
    </row>
    <row r="121" ht="18" customHeight="1" s="35">
      <c r="A121" s="84">
        <f>IF(C121="","",ROW()-5)</f>
        <v/>
      </c>
      <c r="B121" s="85" t="n"/>
      <c r="C121" s="86" t="n"/>
      <c r="D121" s="86" t="n"/>
      <c r="E121" s="85" t="n"/>
      <c r="F121" s="86" t="n"/>
      <c r="G121" s="86" t="n"/>
      <c r="H121" s="86" t="n"/>
      <c r="I121" s="86" t="n"/>
      <c r="J121" s="85" t="n"/>
      <c r="K121" s="85" t="n"/>
      <c r="L121" s="85" t="n"/>
      <c r="M121" s="85" t="n"/>
      <c r="N121" s="85" t="n"/>
      <c r="O121" s="85" t="n"/>
      <c r="P121" s="84">
        <f>IF(C121="","",IF(OR(E121="",E121="未検証"),"① STEP1待ち",IF(E121="不通過","✕ STEP1不通過",IF(OR(G121="",H121=""),"② STEP2-3 未記入",IF(COUNTIF(J121:O121,"×")&gt;0,"✕ ボツ候補",IF(COUNTA(J121:O121)&lt;6,"③ STEP4 審査待ち",IF(COUNTIF(J121:O121,"△")&gt;0,"△ 修正して再審査","◎ 候補リスト")))))))</f>
        <v/>
      </c>
      <c r="Q121" s="85" t="n"/>
      <c r="R121" s="85" t="n"/>
      <c r="S121" s="85" t="n"/>
      <c r="T121" s="84">
        <f>IF(COUNT(Q121:S121)&lt;3,"",Q121+(11-R121)+S121)</f>
        <v/>
      </c>
      <c r="U121" s="85" t="n"/>
      <c r="V121" s="86" t="n"/>
      <c r="W121" s="87">
        <f>IF(AND(P121="◎ 候補リスト",U121&lt;&gt;"ボツ",U121&lt;&gt;"制作済み",T121&lt;&gt;"",OR('②候補ランキング'!$C$5="すべて",B121='②候補ランキング'!$C$5)),IF('②候補ランキング'!$C$4="ワクワク",Q121,IF('②候補ランキング'!$C$4="手軽さ",11-R121,IF('②候補ランキング'!$C$4="確信度",S121,T121)))*1000+T121+(1000-A121)/10000,"")</f>
        <v/>
      </c>
    </row>
    <row r="122" ht="18" customHeight="1" s="35">
      <c r="A122" s="84">
        <f>IF(C122="","",ROW()-5)</f>
        <v/>
      </c>
      <c r="B122" s="85" t="n"/>
      <c r="C122" s="86" t="n"/>
      <c r="D122" s="86" t="n"/>
      <c r="E122" s="85" t="n"/>
      <c r="F122" s="86" t="n"/>
      <c r="G122" s="86" t="n"/>
      <c r="H122" s="86" t="n"/>
      <c r="I122" s="86" t="n"/>
      <c r="J122" s="85" t="n"/>
      <c r="K122" s="85" t="n"/>
      <c r="L122" s="85" t="n"/>
      <c r="M122" s="85" t="n"/>
      <c r="N122" s="85" t="n"/>
      <c r="O122" s="85" t="n"/>
      <c r="P122" s="84">
        <f>IF(C122="","",IF(OR(E122="",E122="未検証"),"① STEP1待ち",IF(E122="不通過","✕ STEP1不通過",IF(OR(G122="",H122=""),"② STEP2-3 未記入",IF(COUNTIF(J122:O122,"×")&gt;0,"✕ ボツ候補",IF(COUNTA(J122:O122)&lt;6,"③ STEP4 審査待ち",IF(COUNTIF(J122:O122,"△")&gt;0,"△ 修正して再審査","◎ 候補リスト")))))))</f>
        <v/>
      </c>
      <c r="Q122" s="85" t="n"/>
      <c r="R122" s="85" t="n"/>
      <c r="S122" s="85" t="n"/>
      <c r="T122" s="84">
        <f>IF(COUNT(Q122:S122)&lt;3,"",Q122+(11-R122)+S122)</f>
        <v/>
      </c>
      <c r="U122" s="85" t="n"/>
      <c r="V122" s="86" t="n"/>
      <c r="W122" s="87">
        <f>IF(AND(P122="◎ 候補リスト",U122&lt;&gt;"ボツ",U122&lt;&gt;"制作済み",T122&lt;&gt;"",OR('②候補ランキング'!$C$5="すべて",B122='②候補ランキング'!$C$5)),IF('②候補ランキング'!$C$4="ワクワク",Q122,IF('②候補ランキング'!$C$4="手軽さ",11-R122,IF('②候補ランキング'!$C$4="確信度",S122,T122)))*1000+T122+(1000-A122)/10000,"")</f>
        <v/>
      </c>
    </row>
    <row r="123" ht="18" customHeight="1" s="35">
      <c r="A123" s="84">
        <f>IF(C123="","",ROW()-5)</f>
        <v/>
      </c>
      <c r="B123" s="85" t="n"/>
      <c r="C123" s="86" t="n"/>
      <c r="D123" s="86" t="n"/>
      <c r="E123" s="85" t="n"/>
      <c r="F123" s="86" t="n"/>
      <c r="G123" s="86" t="n"/>
      <c r="H123" s="86" t="n"/>
      <c r="I123" s="86" t="n"/>
      <c r="J123" s="85" t="n"/>
      <c r="K123" s="85" t="n"/>
      <c r="L123" s="85" t="n"/>
      <c r="M123" s="85" t="n"/>
      <c r="N123" s="85" t="n"/>
      <c r="O123" s="85" t="n"/>
      <c r="P123" s="84">
        <f>IF(C123="","",IF(OR(E123="",E123="未検証"),"① STEP1待ち",IF(E123="不通過","✕ STEP1不通過",IF(OR(G123="",H123=""),"② STEP2-3 未記入",IF(COUNTIF(J123:O123,"×")&gt;0,"✕ ボツ候補",IF(COUNTA(J123:O123)&lt;6,"③ STEP4 審査待ち",IF(COUNTIF(J123:O123,"△")&gt;0,"△ 修正して再審査","◎ 候補リスト")))))))</f>
        <v/>
      </c>
      <c r="Q123" s="85" t="n"/>
      <c r="R123" s="85" t="n"/>
      <c r="S123" s="85" t="n"/>
      <c r="T123" s="84">
        <f>IF(COUNT(Q123:S123)&lt;3,"",Q123+(11-R123)+S123)</f>
        <v/>
      </c>
      <c r="U123" s="85" t="n"/>
      <c r="V123" s="86" t="n"/>
      <c r="W123" s="87">
        <f>IF(AND(P123="◎ 候補リスト",U123&lt;&gt;"ボツ",U123&lt;&gt;"制作済み",T123&lt;&gt;"",OR('②候補ランキング'!$C$5="すべて",B123='②候補ランキング'!$C$5)),IF('②候補ランキング'!$C$4="ワクワク",Q123,IF('②候補ランキング'!$C$4="手軽さ",11-R123,IF('②候補ランキング'!$C$4="確信度",S123,T123)))*1000+T123+(1000-A123)/10000,"")</f>
        <v/>
      </c>
    </row>
    <row r="124" ht="18" customHeight="1" s="35">
      <c r="A124" s="84">
        <f>IF(C124="","",ROW()-5)</f>
        <v/>
      </c>
      <c r="B124" s="85" t="n"/>
      <c r="C124" s="86" t="n"/>
      <c r="D124" s="86" t="n"/>
      <c r="E124" s="85" t="n"/>
      <c r="F124" s="86" t="n"/>
      <c r="G124" s="86" t="n"/>
      <c r="H124" s="86" t="n"/>
      <c r="I124" s="86" t="n"/>
      <c r="J124" s="85" t="n"/>
      <c r="K124" s="85" t="n"/>
      <c r="L124" s="85" t="n"/>
      <c r="M124" s="85" t="n"/>
      <c r="N124" s="85" t="n"/>
      <c r="O124" s="85" t="n"/>
      <c r="P124" s="84">
        <f>IF(C124="","",IF(OR(E124="",E124="未検証"),"① STEP1待ち",IF(E124="不通過","✕ STEP1不通過",IF(OR(G124="",H124=""),"② STEP2-3 未記入",IF(COUNTIF(J124:O124,"×")&gt;0,"✕ ボツ候補",IF(COUNTA(J124:O124)&lt;6,"③ STEP4 審査待ち",IF(COUNTIF(J124:O124,"△")&gt;0,"△ 修正して再審査","◎ 候補リスト")))))))</f>
        <v/>
      </c>
      <c r="Q124" s="85" t="n"/>
      <c r="R124" s="85" t="n"/>
      <c r="S124" s="85" t="n"/>
      <c r="T124" s="84">
        <f>IF(COUNT(Q124:S124)&lt;3,"",Q124+(11-R124)+S124)</f>
        <v/>
      </c>
      <c r="U124" s="85" t="n"/>
      <c r="V124" s="86" t="n"/>
      <c r="W124" s="87">
        <f>IF(AND(P124="◎ 候補リスト",U124&lt;&gt;"ボツ",U124&lt;&gt;"制作済み",T124&lt;&gt;"",OR('②候補ランキング'!$C$5="すべて",B124='②候補ランキング'!$C$5)),IF('②候補ランキング'!$C$4="ワクワク",Q124,IF('②候補ランキング'!$C$4="手軽さ",11-R124,IF('②候補ランキング'!$C$4="確信度",S124,T124)))*1000+T124+(1000-A124)/10000,"")</f>
        <v/>
      </c>
    </row>
    <row r="125" ht="18" customHeight="1" s="35">
      <c r="A125" s="84">
        <f>IF(C125="","",ROW()-5)</f>
        <v/>
      </c>
      <c r="B125" s="85" t="n"/>
      <c r="C125" s="86" t="n"/>
      <c r="D125" s="86" t="n"/>
      <c r="E125" s="85" t="n"/>
      <c r="F125" s="86" t="n"/>
      <c r="G125" s="86" t="n"/>
      <c r="H125" s="86" t="n"/>
      <c r="I125" s="86" t="n"/>
      <c r="J125" s="85" t="n"/>
      <c r="K125" s="85" t="n"/>
      <c r="L125" s="85" t="n"/>
      <c r="M125" s="85" t="n"/>
      <c r="N125" s="85" t="n"/>
      <c r="O125" s="85" t="n"/>
      <c r="P125" s="84">
        <f>IF(C125="","",IF(OR(E125="",E125="未検証"),"① STEP1待ち",IF(E125="不通過","✕ STEP1不通過",IF(OR(G125="",H125=""),"② STEP2-3 未記入",IF(COUNTIF(J125:O125,"×")&gt;0,"✕ ボツ候補",IF(COUNTA(J125:O125)&lt;6,"③ STEP4 審査待ち",IF(COUNTIF(J125:O125,"△")&gt;0,"△ 修正して再審査","◎ 候補リスト")))))))</f>
        <v/>
      </c>
      <c r="Q125" s="85" t="n"/>
      <c r="R125" s="85" t="n"/>
      <c r="S125" s="85" t="n"/>
      <c r="T125" s="84">
        <f>IF(COUNT(Q125:S125)&lt;3,"",Q125+(11-R125)+S125)</f>
        <v/>
      </c>
      <c r="U125" s="85" t="n"/>
      <c r="V125" s="86" t="n"/>
      <c r="W125" s="87">
        <f>IF(AND(P125="◎ 候補リスト",U125&lt;&gt;"ボツ",U125&lt;&gt;"制作済み",T125&lt;&gt;"",OR('②候補ランキング'!$C$5="すべて",B125='②候補ランキング'!$C$5)),IF('②候補ランキング'!$C$4="ワクワク",Q125,IF('②候補ランキング'!$C$4="手軽さ",11-R125,IF('②候補ランキング'!$C$4="確信度",S125,T125)))*1000+T125+(1000-A125)/10000,"")</f>
        <v/>
      </c>
    </row>
    <row r="126" ht="18" customHeight="1" s="35">
      <c r="A126" s="84">
        <f>IF(C126="","",ROW()-5)</f>
        <v/>
      </c>
      <c r="B126" s="85" t="n"/>
      <c r="C126" s="86" t="n"/>
      <c r="D126" s="86" t="n"/>
      <c r="E126" s="85" t="n"/>
      <c r="F126" s="86" t="n"/>
      <c r="G126" s="86" t="n"/>
      <c r="H126" s="86" t="n"/>
      <c r="I126" s="86" t="n"/>
      <c r="J126" s="85" t="n"/>
      <c r="K126" s="85" t="n"/>
      <c r="L126" s="85" t="n"/>
      <c r="M126" s="85" t="n"/>
      <c r="N126" s="85" t="n"/>
      <c r="O126" s="85" t="n"/>
      <c r="P126" s="84">
        <f>IF(C126="","",IF(OR(E126="",E126="未検証"),"① STEP1待ち",IF(E126="不通過","✕ STEP1不通過",IF(OR(G126="",H126=""),"② STEP2-3 未記入",IF(COUNTIF(J126:O126,"×")&gt;0,"✕ ボツ候補",IF(COUNTA(J126:O126)&lt;6,"③ STEP4 審査待ち",IF(COUNTIF(J126:O126,"△")&gt;0,"△ 修正して再審査","◎ 候補リスト")))))))</f>
        <v/>
      </c>
      <c r="Q126" s="85" t="n"/>
      <c r="R126" s="85" t="n"/>
      <c r="S126" s="85" t="n"/>
      <c r="T126" s="84">
        <f>IF(COUNT(Q126:S126)&lt;3,"",Q126+(11-R126)+S126)</f>
        <v/>
      </c>
      <c r="U126" s="85" t="n"/>
      <c r="V126" s="86" t="n"/>
      <c r="W126" s="87">
        <f>IF(AND(P126="◎ 候補リスト",U126&lt;&gt;"ボツ",U126&lt;&gt;"制作済み",T126&lt;&gt;"",OR('②候補ランキング'!$C$5="すべて",B126='②候補ランキング'!$C$5)),IF('②候補ランキング'!$C$4="ワクワク",Q126,IF('②候補ランキング'!$C$4="手軽さ",11-R126,IF('②候補ランキング'!$C$4="確信度",S126,T126)))*1000+T126+(1000-A126)/10000,"")</f>
        <v/>
      </c>
    </row>
    <row r="127" ht="18" customHeight="1" s="35">
      <c r="A127" s="84">
        <f>IF(C127="","",ROW()-5)</f>
        <v/>
      </c>
      <c r="B127" s="85" t="n"/>
      <c r="C127" s="86" t="n"/>
      <c r="D127" s="86" t="n"/>
      <c r="E127" s="85" t="n"/>
      <c r="F127" s="86" t="n"/>
      <c r="G127" s="86" t="n"/>
      <c r="H127" s="86" t="n"/>
      <c r="I127" s="86" t="n"/>
      <c r="J127" s="85" t="n"/>
      <c r="K127" s="85" t="n"/>
      <c r="L127" s="85" t="n"/>
      <c r="M127" s="85" t="n"/>
      <c r="N127" s="85" t="n"/>
      <c r="O127" s="85" t="n"/>
      <c r="P127" s="84">
        <f>IF(C127="","",IF(OR(E127="",E127="未検証"),"① STEP1待ち",IF(E127="不通過","✕ STEP1不通過",IF(OR(G127="",H127=""),"② STEP2-3 未記入",IF(COUNTIF(J127:O127,"×")&gt;0,"✕ ボツ候補",IF(COUNTA(J127:O127)&lt;6,"③ STEP4 審査待ち",IF(COUNTIF(J127:O127,"△")&gt;0,"△ 修正して再審査","◎ 候補リスト")))))))</f>
        <v/>
      </c>
      <c r="Q127" s="85" t="n"/>
      <c r="R127" s="85" t="n"/>
      <c r="S127" s="85" t="n"/>
      <c r="T127" s="84">
        <f>IF(COUNT(Q127:S127)&lt;3,"",Q127+(11-R127)+S127)</f>
        <v/>
      </c>
      <c r="U127" s="85" t="n"/>
      <c r="V127" s="86" t="n"/>
      <c r="W127" s="87">
        <f>IF(AND(P127="◎ 候補リスト",U127&lt;&gt;"ボツ",U127&lt;&gt;"制作済み",T127&lt;&gt;"",OR('②候補ランキング'!$C$5="すべて",B127='②候補ランキング'!$C$5)),IF('②候補ランキング'!$C$4="ワクワク",Q127,IF('②候補ランキング'!$C$4="手軽さ",11-R127,IF('②候補ランキング'!$C$4="確信度",S127,T127)))*1000+T127+(1000-A127)/10000,"")</f>
        <v/>
      </c>
    </row>
    <row r="128" ht="18" customHeight="1" s="35">
      <c r="A128" s="84">
        <f>IF(C128="","",ROW()-5)</f>
        <v/>
      </c>
      <c r="B128" s="85" t="n"/>
      <c r="C128" s="86" t="n"/>
      <c r="D128" s="86" t="n"/>
      <c r="E128" s="85" t="n"/>
      <c r="F128" s="86" t="n"/>
      <c r="G128" s="86" t="n"/>
      <c r="H128" s="86" t="n"/>
      <c r="I128" s="86" t="n"/>
      <c r="J128" s="85" t="n"/>
      <c r="K128" s="85" t="n"/>
      <c r="L128" s="85" t="n"/>
      <c r="M128" s="85" t="n"/>
      <c r="N128" s="85" t="n"/>
      <c r="O128" s="85" t="n"/>
      <c r="P128" s="84">
        <f>IF(C128="","",IF(OR(E128="",E128="未検証"),"① STEP1待ち",IF(E128="不通過","✕ STEP1不通過",IF(OR(G128="",H128=""),"② STEP2-3 未記入",IF(COUNTIF(J128:O128,"×")&gt;0,"✕ ボツ候補",IF(COUNTA(J128:O128)&lt;6,"③ STEP4 審査待ち",IF(COUNTIF(J128:O128,"△")&gt;0,"△ 修正して再審査","◎ 候補リスト")))))))</f>
        <v/>
      </c>
      <c r="Q128" s="85" t="n"/>
      <c r="R128" s="85" t="n"/>
      <c r="S128" s="85" t="n"/>
      <c r="T128" s="84">
        <f>IF(COUNT(Q128:S128)&lt;3,"",Q128+(11-R128)+S128)</f>
        <v/>
      </c>
      <c r="U128" s="85" t="n"/>
      <c r="V128" s="86" t="n"/>
      <c r="W128" s="87">
        <f>IF(AND(P128="◎ 候補リスト",U128&lt;&gt;"ボツ",U128&lt;&gt;"制作済み",T128&lt;&gt;"",OR('②候補ランキング'!$C$5="すべて",B128='②候補ランキング'!$C$5)),IF('②候補ランキング'!$C$4="ワクワク",Q128,IF('②候補ランキング'!$C$4="手軽さ",11-R128,IF('②候補ランキング'!$C$4="確信度",S128,T128)))*1000+T128+(1000-A128)/10000,"")</f>
        <v/>
      </c>
    </row>
    <row r="129" ht="18" customHeight="1" s="35">
      <c r="A129" s="84">
        <f>IF(C129="","",ROW()-5)</f>
        <v/>
      </c>
      <c r="B129" s="85" t="n"/>
      <c r="C129" s="86" t="n"/>
      <c r="D129" s="86" t="n"/>
      <c r="E129" s="85" t="n"/>
      <c r="F129" s="86" t="n"/>
      <c r="G129" s="86" t="n"/>
      <c r="H129" s="86" t="n"/>
      <c r="I129" s="86" t="n"/>
      <c r="J129" s="85" t="n"/>
      <c r="K129" s="85" t="n"/>
      <c r="L129" s="85" t="n"/>
      <c r="M129" s="85" t="n"/>
      <c r="N129" s="85" t="n"/>
      <c r="O129" s="85" t="n"/>
      <c r="P129" s="84">
        <f>IF(C129="","",IF(OR(E129="",E129="未検証"),"① STEP1待ち",IF(E129="不通過","✕ STEP1不通過",IF(OR(G129="",H129=""),"② STEP2-3 未記入",IF(COUNTIF(J129:O129,"×")&gt;0,"✕ ボツ候補",IF(COUNTA(J129:O129)&lt;6,"③ STEP4 審査待ち",IF(COUNTIF(J129:O129,"△")&gt;0,"△ 修正して再審査","◎ 候補リスト")))))))</f>
        <v/>
      </c>
      <c r="Q129" s="85" t="n"/>
      <c r="R129" s="85" t="n"/>
      <c r="S129" s="85" t="n"/>
      <c r="T129" s="84">
        <f>IF(COUNT(Q129:S129)&lt;3,"",Q129+(11-R129)+S129)</f>
        <v/>
      </c>
      <c r="U129" s="85" t="n"/>
      <c r="V129" s="86" t="n"/>
      <c r="W129" s="87">
        <f>IF(AND(P129="◎ 候補リスト",U129&lt;&gt;"ボツ",U129&lt;&gt;"制作済み",T129&lt;&gt;"",OR('②候補ランキング'!$C$5="すべて",B129='②候補ランキング'!$C$5)),IF('②候補ランキング'!$C$4="ワクワク",Q129,IF('②候補ランキング'!$C$4="手軽さ",11-R129,IF('②候補ランキング'!$C$4="確信度",S129,T129)))*1000+T129+(1000-A129)/10000,"")</f>
        <v/>
      </c>
    </row>
    <row r="130" ht="18" customHeight="1" s="35">
      <c r="A130" s="84">
        <f>IF(C130="","",ROW()-5)</f>
        <v/>
      </c>
      <c r="B130" s="85" t="n"/>
      <c r="C130" s="86" t="n"/>
      <c r="D130" s="86" t="n"/>
      <c r="E130" s="85" t="n"/>
      <c r="F130" s="86" t="n"/>
      <c r="G130" s="86" t="n"/>
      <c r="H130" s="86" t="n"/>
      <c r="I130" s="86" t="n"/>
      <c r="J130" s="85" t="n"/>
      <c r="K130" s="85" t="n"/>
      <c r="L130" s="85" t="n"/>
      <c r="M130" s="85" t="n"/>
      <c r="N130" s="85" t="n"/>
      <c r="O130" s="85" t="n"/>
      <c r="P130" s="84">
        <f>IF(C130="","",IF(OR(E130="",E130="未検証"),"① STEP1待ち",IF(E130="不通過","✕ STEP1不通過",IF(OR(G130="",H130=""),"② STEP2-3 未記入",IF(COUNTIF(J130:O130,"×")&gt;0,"✕ ボツ候補",IF(COUNTA(J130:O130)&lt;6,"③ STEP4 審査待ち",IF(COUNTIF(J130:O130,"△")&gt;0,"△ 修正して再審査","◎ 候補リスト")))))))</f>
        <v/>
      </c>
      <c r="Q130" s="85" t="n"/>
      <c r="R130" s="85" t="n"/>
      <c r="S130" s="85" t="n"/>
      <c r="T130" s="84">
        <f>IF(COUNT(Q130:S130)&lt;3,"",Q130+(11-R130)+S130)</f>
        <v/>
      </c>
      <c r="U130" s="85" t="n"/>
      <c r="V130" s="86" t="n"/>
      <c r="W130" s="87">
        <f>IF(AND(P130="◎ 候補リスト",U130&lt;&gt;"ボツ",U130&lt;&gt;"制作済み",T130&lt;&gt;"",OR('②候補ランキング'!$C$5="すべて",B130='②候補ランキング'!$C$5)),IF('②候補ランキング'!$C$4="ワクワク",Q130,IF('②候補ランキング'!$C$4="手軽さ",11-R130,IF('②候補ランキング'!$C$4="確信度",S130,T130)))*1000+T130+(1000-A130)/10000,"")</f>
        <v/>
      </c>
    </row>
    <row r="131" ht="18" customHeight="1" s="35">
      <c r="A131" s="84">
        <f>IF(C131="","",ROW()-5)</f>
        <v/>
      </c>
      <c r="B131" s="85" t="n"/>
      <c r="C131" s="86" t="n"/>
      <c r="D131" s="86" t="n"/>
      <c r="E131" s="85" t="n"/>
      <c r="F131" s="86" t="n"/>
      <c r="G131" s="86" t="n"/>
      <c r="H131" s="86" t="n"/>
      <c r="I131" s="86" t="n"/>
      <c r="J131" s="85" t="n"/>
      <c r="K131" s="85" t="n"/>
      <c r="L131" s="85" t="n"/>
      <c r="M131" s="85" t="n"/>
      <c r="N131" s="85" t="n"/>
      <c r="O131" s="85" t="n"/>
      <c r="P131" s="84">
        <f>IF(C131="","",IF(OR(E131="",E131="未検証"),"① STEP1待ち",IF(E131="不通過","✕ STEP1不通過",IF(OR(G131="",H131=""),"② STEP2-3 未記入",IF(COUNTIF(J131:O131,"×")&gt;0,"✕ ボツ候補",IF(COUNTA(J131:O131)&lt;6,"③ STEP4 審査待ち",IF(COUNTIF(J131:O131,"△")&gt;0,"△ 修正して再審査","◎ 候補リスト")))))))</f>
        <v/>
      </c>
      <c r="Q131" s="85" t="n"/>
      <c r="R131" s="85" t="n"/>
      <c r="S131" s="85" t="n"/>
      <c r="T131" s="84">
        <f>IF(COUNT(Q131:S131)&lt;3,"",Q131+(11-R131)+S131)</f>
        <v/>
      </c>
      <c r="U131" s="85" t="n"/>
      <c r="V131" s="86" t="n"/>
      <c r="W131" s="87">
        <f>IF(AND(P131="◎ 候補リスト",U131&lt;&gt;"ボツ",U131&lt;&gt;"制作済み",T131&lt;&gt;"",OR('②候補ランキング'!$C$5="すべて",B131='②候補ランキング'!$C$5)),IF('②候補ランキング'!$C$4="ワクワク",Q131,IF('②候補ランキング'!$C$4="手軽さ",11-R131,IF('②候補ランキング'!$C$4="確信度",S131,T131)))*1000+T131+(1000-A131)/10000,"")</f>
        <v/>
      </c>
    </row>
    <row r="132" ht="18" customHeight="1" s="35">
      <c r="A132" s="84">
        <f>IF(C132="","",ROW()-5)</f>
        <v/>
      </c>
      <c r="B132" s="85" t="n"/>
      <c r="C132" s="86" t="n"/>
      <c r="D132" s="86" t="n"/>
      <c r="E132" s="85" t="n"/>
      <c r="F132" s="86" t="n"/>
      <c r="G132" s="86" t="n"/>
      <c r="H132" s="86" t="n"/>
      <c r="I132" s="86" t="n"/>
      <c r="J132" s="85" t="n"/>
      <c r="K132" s="85" t="n"/>
      <c r="L132" s="85" t="n"/>
      <c r="M132" s="85" t="n"/>
      <c r="N132" s="85" t="n"/>
      <c r="O132" s="85" t="n"/>
      <c r="P132" s="84">
        <f>IF(C132="","",IF(OR(E132="",E132="未検証"),"① STEP1待ち",IF(E132="不通過","✕ STEP1不通過",IF(OR(G132="",H132=""),"② STEP2-3 未記入",IF(COUNTIF(J132:O132,"×")&gt;0,"✕ ボツ候補",IF(COUNTA(J132:O132)&lt;6,"③ STEP4 審査待ち",IF(COUNTIF(J132:O132,"△")&gt;0,"△ 修正して再審査","◎ 候補リスト")))))))</f>
        <v/>
      </c>
      <c r="Q132" s="85" t="n"/>
      <c r="R132" s="85" t="n"/>
      <c r="S132" s="85" t="n"/>
      <c r="T132" s="84">
        <f>IF(COUNT(Q132:S132)&lt;3,"",Q132+(11-R132)+S132)</f>
        <v/>
      </c>
      <c r="U132" s="85" t="n"/>
      <c r="V132" s="86" t="n"/>
      <c r="W132" s="87">
        <f>IF(AND(P132="◎ 候補リスト",U132&lt;&gt;"ボツ",U132&lt;&gt;"制作済み",T132&lt;&gt;"",OR('②候補ランキング'!$C$5="すべて",B132='②候補ランキング'!$C$5)),IF('②候補ランキング'!$C$4="ワクワク",Q132,IF('②候補ランキング'!$C$4="手軽さ",11-R132,IF('②候補ランキング'!$C$4="確信度",S132,T132)))*1000+T132+(1000-A132)/10000,"")</f>
        <v/>
      </c>
    </row>
    <row r="133" ht="18" customHeight="1" s="35">
      <c r="A133" s="84">
        <f>IF(C133="","",ROW()-5)</f>
        <v/>
      </c>
      <c r="B133" s="85" t="n"/>
      <c r="C133" s="86" t="n"/>
      <c r="D133" s="86" t="n"/>
      <c r="E133" s="85" t="n"/>
      <c r="F133" s="86" t="n"/>
      <c r="G133" s="86" t="n"/>
      <c r="H133" s="86" t="n"/>
      <c r="I133" s="86" t="n"/>
      <c r="J133" s="85" t="n"/>
      <c r="K133" s="85" t="n"/>
      <c r="L133" s="85" t="n"/>
      <c r="M133" s="85" t="n"/>
      <c r="N133" s="85" t="n"/>
      <c r="O133" s="85" t="n"/>
      <c r="P133" s="84">
        <f>IF(C133="","",IF(OR(E133="",E133="未検証"),"① STEP1待ち",IF(E133="不通過","✕ STEP1不通過",IF(OR(G133="",H133=""),"② STEP2-3 未記入",IF(COUNTIF(J133:O133,"×")&gt;0,"✕ ボツ候補",IF(COUNTA(J133:O133)&lt;6,"③ STEP4 審査待ち",IF(COUNTIF(J133:O133,"△")&gt;0,"△ 修正して再審査","◎ 候補リスト")))))))</f>
        <v/>
      </c>
      <c r="Q133" s="85" t="n"/>
      <c r="R133" s="85" t="n"/>
      <c r="S133" s="85" t="n"/>
      <c r="T133" s="84">
        <f>IF(COUNT(Q133:S133)&lt;3,"",Q133+(11-R133)+S133)</f>
        <v/>
      </c>
      <c r="U133" s="85" t="n"/>
      <c r="V133" s="86" t="n"/>
      <c r="W133" s="87">
        <f>IF(AND(P133="◎ 候補リスト",U133&lt;&gt;"ボツ",U133&lt;&gt;"制作済み",T133&lt;&gt;"",OR('②候補ランキング'!$C$5="すべて",B133='②候補ランキング'!$C$5)),IF('②候補ランキング'!$C$4="ワクワク",Q133,IF('②候補ランキング'!$C$4="手軽さ",11-R133,IF('②候補ランキング'!$C$4="確信度",S133,T133)))*1000+T133+(1000-A133)/10000,"")</f>
        <v/>
      </c>
    </row>
    <row r="134" ht="18" customHeight="1" s="35">
      <c r="A134" s="84">
        <f>IF(C134="","",ROW()-5)</f>
        <v/>
      </c>
      <c r="B134" s="85" t="n"/>
      <c r="C134" s="86" t="n"/>
      <c r="D134" s="86" t="n"/>
      <c r="E134" s="85" t="n"/>
      <c r="F134" s="86" t="n"/>
      <c r="G134" s="86" t="n"/>
      <c r="H134" s="86" t="n"/>
      <c r="I134" s="86" t="n"/>
      <c r="J134" s="85" t="n"/>
      <c r="K134" s="85" t="n"/>
      <c r="L134" s="85" t="n"/>
      <c r="M134" s="85" t="n"/>
      <c r="N134" s="85" t="n"/>
      <c r="O134" s="85" t="n"/>
      <c r="P134" s="84">
        <f>IF(C134="","",IF(OR(E134="",E134="未検証"),"① STEP1待ち",IF(E134="不通過","✕ STEP1不通過",IF(OR(G134="",H134=""),"② STEP2-3 未記入",IF(COUNTIF(J134:O134,"×")&gt;0,"✕ ボツ候補",IF(COUNTA(J134:O134)&lt;6,"③ STEP4 審査待ち",IF(COUNTIF(J134:O134,"△")&gt;0,"△ 修正して再審査","◎ 候補リスト")))))))</f>
        <v/>
      </c>
      <c r="Q134" s="85" t="n"/>
      <c r="R134" s="85" t="n"/>
      <c r="S134" s="85" t="n"/>
      <c r="T134" s="84">
        <f>IF(COUNT(Q134:S134)&lt;3,"",Q134+(11-R134)+S134)</f>
        <v/>
      </c>
      <c r="U134" s="85" t="n"/>
      <c r="V134" s="86" t="n"/>
      <c r="W134" s="87">
        <f>IF(AND(P134="◎ 候補リスト",U134&lt;&gt;"ボツ",U134&lt;&gt;"制作済み",T134&lt;&gt;"",OR('②候補ランキング'!$C$5="すべて",B134='②候補ランキング'!$C$5)),IF('②候補ランキング'!$C$4="ワクワク",Q134,IF('②候補ランキング'!$C$4="手軽さ",11-R134,IF('②候補ランキング'!$C$4="確信度",S134,T134)))*1000+T134+(1000-A134)/10000,"")</f>
        <v/>
      </c>
    </row>
    <row r="135" ht="18" customHeight="1" s="35">
      <c r="A135" s="84">
        <f>IF(C135="","",ROW()-5)</f>
        <v/>
      </c>
      <c r="B135" s="85" t="n"/>
      <c r="C135" s="86" t="n"/>
      <c r="D135" s="86" t="n"/>
      <c r="E135" s="85" t="n"/>
      <c r="F135" s="86" t="n"/>
      <c r="G135" s="86" t="n"/>
      <c r="H135" s="86" t="n"/>
      <c r="I135" s="86" t="n"/>
      <c r="J135" s="85" t="n"/>
      <c r="K135" s="85" t="n"/>
      <c r="L135" s="85" t="n"/>
      <c r="M135" s="85" t="n"/>
      <c r="N135" s="85" t="n"/>
      <c r="O135" s="85" t="n"/>
      <c r="P135" s="84">
        <f>IF(C135="","",IF(OR(E135="",E135="未検証"),"① STEP1待ち",IF(E135="不通過","✕ STEP1不通過",IF(OR(G135="",H135=""),"② STEP2-3 未記入",IF(COUNTIF(J135:O135,"×")&gt;0,"✕ ボツ候補",IF(COUNTA(J135:O135)&lt;6,"③ STEP4 審査待ち",IF(COUNTIF(J135:O135,"△")&gt;0,"△ 修正して再審査","◎ 候補リスト")))))))</f>
        <v/>
      </c>
      <c r="Q135" s="85" t="n"/>
      <c r="R135" s="85" t="n"/>
      <c r="S135" s="85" t="n"/>
      <c r="T135" s="84">
        <f>IF(COUNT(Q135:S135)&lt;3,"",Q135+(11-R135)+S135)</f>
        <v/>
      </c>
      <c r="U135" s="85" t="n"/>
      <c r="V135" s="86" t="n"/>
      <c r="W135" s="87">
        <f>IF(AND(P135="◎ 候補リスト",U135&lt;&gt;"ボツ",U135&lt;&gt;"制作済み",T135&lt;&gt;"",OR('②候補ランキング'!$C$5="すべて",B135='②候補ランキング'!$C$5)),IF('②候補ランキング'!$C$4="ワクワク",Q135,IF('②候補ランキング'!$C$4="手軽さ",11-R135,IF('②候補ランキング'!$C$4="確信度",S135,T135)))*1000+T135+(1000-A135)/10000,"")</f>
        <v/>
      </c>
    </row>
    <row r="136" ht="18" customHeight="1" s="35">
      <c r="A136" s="84">
        <f>IF(C136="","",ROW()-5)</f>
        <v/>
      </c>
      <c r="B136" s="85" t="n"/>
      <c r="C136" s="86" t="n"/>
      <c r="D136" s="86" t="n"/>
      <c r="E136" s="85" t="n"/>
      <c r="F136" s="86" t="n"/>
      <c r="G136" s="86" t="n"/>
      <c r="H136" s="86" t="n"/>
      <c r="I136" s="86" t="n"/>
      <c r="J136" s="85" t="n"/>
      <c r="K136" s="85" t="n"/>
      <c r="L136" s="85" t="n"/>
      <c r="M136" s="85" t="n"/>
      <c r="N136" s="85" t="n"/>
      <c r="O136" s="85" t="n"/>
      <c r="P136" s="84">
        <f>IF(C136="","",IF(OR(E136="",E136="未検証"),"① STEP1待ち",IF(E136="不通過","✕ STEP1不通過",IF(OR(G136="",H136=""),"② STEP2-3 未記入",IF(COUNTIF(J136:O136,"×")&gt;0,"✕ ボツ候補",IF(COUNTA(J136:O136)&lt;6,"③ STEP4 審査待ち",IF(COUNTIF(J136:O136,"△")&gt;0,"△ 修正して再審査","◎ 候補リスト")))))))</f>
        <v/>
      </c>
      <c r="Q136" s="85" t="n"/>
      <c r="R136" s="85" t="n"/>
      <c r="S136" s="85" t="n"/>
      <c r="T136" s="84">
        <f>IF(COUNT(Q136:S136)&lt;3,"",Q136+(11-R136)+S136)</f>
        <v/>
      </c>
      <c r="U136" s="85" t="n"/>
      <c r="V136" s="86" t="n"/>
      <c r="W136" s="87">
        <f>IF(AND(P136="◎ 候補リスト",U136&lt;&gt;"ボツ",U136&lt;&gt;"制作済み",T136&lt;&gt;"",OR('②候補ランキング'!$C$5="すべて",B136='②候補ランキング'!$C$5)),IF('②候補ランキング'!$C$4="ワクワク",Q136,IF('②候補ランキング'!$C$4="手軽さ",11-R136,IF('②候補ランキング'!$C$4="確信度",S136,T136)))*1000+T136+(1000-A136)/10000,"")</f>
        <v/>
      </c>
    </row>
    <row r="137" ht="18" customHeight="1" s="35">
      <c r="A137" s="84">
        <f>IF(C137="","",ROW()-5)</f>
        <v/>
      </c>
      <c r="B137" s="85" t="n"/>
      <c r="C137" s="86" t="n"/>
      <c r="D137" s="86" t="n"/>
      <c r="E137" s="85" t="n"/>
      <c r="F137" s="86" t="n"/>
      <c r="G137" s="86" t="n"/>
      <c r="H137" s="86" t="n"/>
      <c r="I137" s="86" t="n"/>
      <c r="J137" s="85" t="n"/>
      <c r="K137" s="85" t="n"/>
      <c r="L137" s="85" t="n"/>
      <c r="M137" s="85" t="n"/>
      <c r="N137" s="85" t="n"/>
      <c r="O137" s="85" t="n"/>
      <c r="P137" s="84">
        <f>IF(C137="","",IF(OR(E137="",E137="未検証"),"① STEP1待ち",IF(E137="不通過","✕ STEP1不通過",IF(OR(G137="",H137=""),"② STEP2-3 未記入",IF(COUNTIF(J137:O137,"×")&gt;0,"✕ ボツ候補",IF(COUNTA(J137:O137)&lt;6,"③ STEP4 審査待ち",IF(COUNTIF(J137:O137,"△")&gt;0,"△ 修正して再審査","◎ 候補リスト")))))))</f>
        <v/>
      </c>
      <c r="Q137" s="85" t="n"/>
      <c r="R137" s="85" t="n"/>
      <c r="S137" s="85" t="n"/>
      <c r="T137" s="84">
        <f>IF(COUNT(Q137:S137)&lt;3,"",Q137+(11-R137)+S137)</f>
        <v/>
      </c>
      <c r="U137" s="85" t="n"/>
      <c r="V137" s="86" t="n"/>
      <c r="W137" s="87">
        <f>IF(AND(P137="◎ 候補リスト",U137&lt;&gt;"ボツ",U137&lt;&gt;"制作済み",T137&lt;&gt;"",OR('②候補ランキング'!$C$5="すべて",B137='②候補ランキング'!$C$5)),IF('②候補ランキング'!$C$4="ワクワク",Q137,IF('②候補ランキング'!$C$4="手軽さ",11-R137,IF('②候補ランキング'!$C$4="確信度",S137,T137)))*1000+T137+(1000-A137)/10000,"")</f>
        <v/>
      </c>
    </row>
    <row r="138" ht="18" customHeight="1" s="35">
      <c r="A138" s="84">
        <f>IF(C138="","",ROW()-5)</f>
        <v/>
      </c>
      <c r="B138" s="85" t="n"/>
      <c r="C138" s="86" t="n"/>
      <c r="D138" s="86" t="n"/>
      <c r="E138" s="85" t="n"/>
      <c r="F138" s="86" t="n"/>
      <c r="G138" s="86" t="n"/>
      <c r="H138" s="86" t="n"/>
      <c r="I138" s="86" t="n"/>
      <c r="J138" s="85" t="n"/>
      <c r="K138" s="85" t="n"/>
      <c r="L138" s="85" t="n"/>
      <c r="M138" s="85" t="n"/>
      <c r="N138" s="85" t="n"/>
      <c r="O138" s="85" t="n"/>
      <c r="P138" s="84">
        <f>IF(C138="","",IF(OR(E138="",E138="未検証"),"① STEP1待ち",IF(E138="不通過","✕ STEP1不通過",IF(OR(G138="",H138=""),"② STEP2-3 未記入",IF(COUNTIF(J138:O138,"×")&gt;0,"✕ ボツ候補",IF(COUNTA(J138:O138)&lt;6,"③ STEP4 審査待ち",IF(COUNTIF(J138:O138,"△")&gt;0,"△ 修正して再審査","◎ 候補リスト")))))))</f>
        <v/>
      </c>
      <c r="Q138" s="85" t="n"/>
      <c r="R138" s="85" t="n"/>
      <c r="S138" s="85" t="n"/>
      <c r="T138" s="84">
        <f>IF(COUNT(Q138:S138)&lt;3,"",Q138+(11-R138)+S138)</f>
        <v/>
      </c>
      <c r="U138" s="85" t="n"/>
      <c r="V138" s="86" t="n"/>
      <c r="W138" s="87">
        <f>IF(AND(P138="◎ 候補リスト",U138&lt;&gt;"ボツ",U138&lt;&gt;"制作済み",T138&lt;&gt;"",OR('②候補ランキング'!$C$5="すべて",B138='②候補ランキング'!$C$5)),IF('②候補ランキング'!$C$4="ワクワク",Q138,IF('②候補ランキング'!$C$4="手軽さ",11-R138,IF('②候補ランキング'!$C$4="確信度",S138,T138)))*1000+T138+(1000-A138)/10000,"")</f>
        <v/>
      </c>
    </row>
    <row r="139" ht="18" customHeight="1" s="35">
      <c r="A139" s="84">
        <f>IF(C139="","",ROW()-5)</f>
        <v/>
      </c>
      <c r="B139" s="85" t="n"/>
      <c r="C139" s="86" t="n"/>
      <c r="D139" s="86" t="n"/>
      <c r="E139" s="85" t="n"/>
      <c r="F139" s="86" t="n"/>
      <c r="G139" s="86" t="n"/>
      <c r="H139" s="86" t="n"/>
      <c r="I139" s="86" t="n"/>
      <c r="J139" s="85" t="n"/>
      <c r="K139" s="85" t="n"/>
      <c r="L139" s="85" t="n"/>
      <c r="M139" s="85" t="n"/>
      <c r="N139" s="85" t="n"/>
      <c r="O139" s="85" t="n"/>
      <c r="P139" s="84">
        <f>IF(C139="","",IF(OR(E139="",E139="未検証"),"① STEP1待ち",IF(E139="不通過","✕ STEP1不通過",IF(OR(G139="",H139=""),"② STEP2-3 未記入",IF(COUNTIF(J139:O139,"×")&gt;0,"✕ ボツ候補",IF(COUNTA(J139:O139)&lt;6,"③ STEP4 審査待ち",IF(COUNTIF(J139:O139,"△")&gt;0,"△ 修正して再審査","◎ 候補リスト")))))))</f>
        <v/>
      </c>
      <c r="Q139" s="85" t="n"/>
      <c r="R139" s="85" t="n"/>
      <c r="S139" s="85" t="n"/>
      <c r="T139" s="84">
        <f>IF(COUNT(Q139:S139)&lt;3,"",Q139+(11-R139)+S139)</f>
        <v/>
      </c>
      <c r="U139" s="85" t="n"/>
      <c r="V139" s="86" t="n"/>
      <c r="W139" s="87">
        <f>IF(AND(P139="◎ 候補リスト",U139&lt;&gt;"ボツ",U139&lt;&gt;"制作済み",T139&lt;&gt;"",OR('②候補ランキング'!$C$5="すべて",B139='②候補ランキング'!$C$5)),IF('②候補ランキング'!$C$4="ワクワク",Q139,IF('②候補ランキング'!$C$4="手軽さ",11-R139,IF('②候補ランキング'!$C$4="確信度",S139,T139)))*1000+T139+(1000-A139)/10000,"")</f>
        <v/>
      </c>
    </row>
    <row r="140" ht="18" customHeight="1" s="35">
      <c r="A140" s="84">
        <f>IF(C140="","",ROW()-5)</f>
        <v/>
      </c>
      <c r="B140" s="85" t="n"/>
      <c r="C140" s="86" t="n"/>
      <c r="D140" s="86" t="n"/>
      <c r="E140" s="85" t="n"/>
      <c r="F140" s="86" t="n"/>
      <c r="G140" s="86" t="n"/>
      <c r="H140" s="86" t="n"/>
      <c r="I140" s="86" t="n"/>
      <c r="J140" s="85" t="n"/>
      <c r="K140" s="85" t="n"/>
      <c r="L140" s="85" t="n"/>
      <c r="M140" s="85" t="n"/>
      <c r="N140" s="85" t="n"/>
      <c r="O140" s="85" t="n"/>
      <c r="P140" s="84">
        <f>IF(C140="","",IF(OR(E140="",E140="未検証"),"① STEP1待ち",IF(E140="不通過","✕ STEP1不通過",IF(OR(G140="",H140=""),"② STEP2-3 未記入",IF(COUNTIF(J140:O140,"×")&gt;0,"✕ ボツ候補",IF(COUNTA(J140:O140)&lt;6,"③ STEP4 審査待ち",IF(COUNTIF(J140:O140,"△")&gt;0,"△ 修正して再審査","◎ 候補リスト")))))))</f>
        <v/>
      </c>
      <c r="Q140" s="85" t="n"/>
      <c r="R140" s="85" t="n"/>
      <c r="S140" s="85" t="n"/>
      <c r="T140" s="84">
        <f>IF(COUNT(Q140:S140)&lt;3,"",Q140+(11-R140)+S140)</f>
        <v/>
      </c>
      <c r="U140" s="85" t="n"/>
      <c r="V140" s="86" t="n"/>
      <c r="W140" s="87">
        <f>IF(AND(P140="◎ 候補リスト",U140&lt;&gt;"ボツ",U140&lt;&gt;"制作済み",T140&lt;&gt;"",OR('②候補ランキング'!$C$5="すべて",B140='②候補ランキング'!$C$5)),IF('②候補ランキング'!$C$4="ワクワク",Q140,IF('②候補ランキング'!$C$4="手軽さ",11-R140,IF('②候補ランキング'!$C$4="確信度",S140,T140)))*1000+T140+(1000-A140)/10000,"")</f>
        <v/>
      </c>
    </row>
    <row r="141" ht="18" customHeight="1" s="35">
      <c r="A141" s="84">
        <f>IF(C141="","",ROW()-5)</f>
        <v/>
      </c>
      <c r="B141" s="85" t="n"/>
      <c r="C141" s="86" t="n"/>
      <c r="D141" s="86" t="n"/>
      <c r="E141" s="85" t="n"/>
      <c r="F141" s="86" t="n"/>
      <c r="G141" s="86" t="n"/>
      <c r="H141" s="86" t="n"/>
      <c r="I141" s="86" t="n"/>
      <c r="J141" s="85" t="n"/>
      <c r="K141" s="85" t="n"/>
      <c r="L141" s="85" t="n"/>
      <c r="M141" s="85" t="n"/>
      <c r="N141" s="85" t="n"/>
      <c r="O141" s="85" t="n"/>
      <c r="P141" s="84">
        <f>IF(C141="","",IF(OR(E141="",E141="未検証"),"① STEP1待ち",IF(E141="不通過","✕ STEP1不通過",IF(OR(G141="",H141=""),"② STEP2-3 未記入",IF(COUNTIF(J141:O141,"×")&gt;0,"✕ ボツ候補",IF(COUNTA(J141:O141)&lt;6,"③ STEP4 審査待ち",IF(COUNTIF(J141:O141,"△")&gt;0,"△ 修正して再審査","◎ 候補リスト")))))))</f>
        <v/>
      </c>
      <c r="Q141" s="85" t="n"/>
      <c r="R141" s="85" t="n"/>
      <c r="S141" s="85" t="n"/>
      <c r="T141" s="84">
        <f>IF(COUNT(Q141:S141)&lt;3,"",Q141+(11-R141)+S141)</f>
        <v/>
      </c>
      <c r="U141" s="85" t="n"/>
      <c r="V141" s="86" t="n"/>
      <c r="W141" s="87">
        <f>IF(AND(P141="◎ 候補リスト",U141&lt;&gt;"ボツ",U141&lt;&gt;"制作済み",T141&lt;&gt;"",OR('②候補ランキング'!$C$5="すべて",B141='②候補ランキング'!$C$5)),IF('②候補ランキング'!$C$4="ワクワク",Q141,IF('②候補ランキング'!$C$4="手軽さ",11-R141,IF('②候補ランキング'!$C$4="確信度",S141,T141)))*1000+T141+(1000-A141)/10000,"")</f>
        <v/>
      </c>
    </row>
    <row r="142" ht="18" customHeight="1" s="35">
      <c r="A142" s="84">
        <f>IF(C142="","",ROW()-5)</f>
        <v/>
      </c>
      <c r="B142" s="85" t="n"/>
      <c r="C142" s="86" t="n"/>
      <c r="D142" s="86" t="n"/>
      <c r="E142" s="85" t="n"/>
      <c r="F142" s="86" t="n"/>
      <c r="G142" s="86" t="n"/>
      <c r="H142" s="86" t="n"/>
      <c r="I142" s="86" t="n"/>
      <c r="J142" s="85" t="n"/>
      <c r="K142" s="85" t="n"/>
      <c r="L142" s="85" t="n"/>
      <c r="M142" s="85" t="n"/>
      <c r="N142" s="85" t="n"/>
      <c r="O142" s="85" t="n"/>
      <c r="P142" s="84">
        <f>IF(C142="","",IF(OR(E142="",E142="未検証"),"① STEP1待ち",IF(E142="不通過","✕ STEP1不通過",IF(OR(G142="",H142=""),"② STEP2-3 未記入",IF(COUNTIF(J142:O142,"×")&gt;0,"✕ ボツ候補",IF(COUNTA(J142:O142)&lt;6,"③ STEP4 審査待ち",IF(COUNTIF(J142:O142,"△")&gt;0,"△ 修正して再審査","◎ 候補リスト")))))))</f>
        <v/>
      </c>
      <c r="Q142" s="85" t="n"/>
      <c r="R142" s="85" t="n"/>
      <c r="S142" s="85" t="n"/>
      <c r="T142" s="84">
        <f>IF(COUNT(Q142:S142)&lt;3,"",Q142+(11-R142)+S142)</f>
        <v/>
      </c>
      <c r="U142" s="85" t="n"/>
      <c r="V142" s="86" t="n"/>
      <c r="W142" s="87">
        <f>IF(AND(P142="◎ 候補リスト",U142&lt;&gt;"ボツ",U142&lt;&gt;"制作済み",T142&lt;&gt;"",OR('②候補ランキング'!$C$5="すべて",B142='②候補ランキング'!$C$5)),IF('②候補ランキング'!$C$4="ワクワク",Q142,IF('②候補ランキング'!$C$4="手軽さ",11-R142,IF('②候補ランキング'!$C$4="確信度",S142,T142)))*1000+T142+(1000-A142)/10000,"")</f>
        <v/>
      </c>
    </row>
    <row r="143" ht="18" customHeight="1" s="35">
      <c r="A143" s="84">
        <f>IF(C143="","",ROW()-5)</f>
        <v/>
      </c>
      <c r="B143" s="85" t="n"/>
      <c r="C143" s="86" t="n"/>
      <c r="D143" s="86" t="n"/>
      <c r="E143" s="85" t="n"/>
      <c r="F143" s="86" t="n"/>
      <c r="G143" s="86" t="n"/>
      <c r="H143" s="86" t="n"/>
      <c r="I143" s="86" t="n"/>
      <c r="J143" s="85" t="n"/>
      <c r="K143" s="85" t="n"/>
      <c r="L143" s="85" t="n"/>
      <c r="M143" s="85" t="n"/>
      <c r="N143" s="85" t="n"/>
      <c r="O143" s="85" t="n"/>
      <c r="P143" s="84">
        <f>IF(C143="","",IF(OR(E143="",E143="未検証"),"① STEP1待ち",IF(E143="不通過","✕ STEP1不通過",IF(OR(G143="",H143=""),"② STEP2-3 未記入",IF(COUNTIF(J143:O143,"×")&gt;0,"✕ ボツ候補",IF(COUNTA(J143:O143)&lt;6,"③ STEP4 審査待ち",IF(COUNTIF(J143:O143,"△")&gt;0,"△ 修正して再審査","◎ 候補リスト")))))))</f>
        <v/>
      </c>
      <c r="Q143" s="85" t="n"/>
      <c r="R143" s="85" t="n"/>
      <c r="S143" s="85" t="n"/>
      <c r="T143" s="84">
        <f>IF(COUNT(Q143:S143)&lt;3,"",Q143+(11-R143)+S143)</f>
        <v/>
      </c>
      <c r="U143" s="85" t="n"/>
      <c r="V143" s="86" t="n"/>
      <c r="W143" s="87">
        <f>IF(AND(P143="◎ 候補リスト",U143&lt;&gt;"ボツ",U143&lt;&gt;"制作済み",T143&lt;&gt;"",OR('②候補ランキング'!$C$5="すべて",B143='②候補ランキング'!$C$5)),IF('②候補ランキング'!$C$4="ワクワク",Q143,IF('②候補ランキング'!$C$4="手軽さ",11-R143,IF('②候補ランキング'!$C$4="確信度",S143,T143)))*1000+T143+(1000-A143)/10000,"")</f>
        <v/>
      </c>
    </row>
    <row r="144" ht="18" customHeight="1" s="35">
      <c r="A144" s="84">
        <f>IF(C144="","",ROW()-5)</f>
        <v/>
      </c>
      <c r="B144" s="85" t="n"/>
      <c r="C144" s="86" t="n"/>
      <c r="D144" s="86" t="n"/>
      <c r="E144" s="85" t="n"/>
      <c r="F144" s="86" t="n"/>
      <c r="G144" s="86" t="n"/>
      <c r="H144" s="86" t="n"/>
      <c r="I144" s="86" t="n"/>
      <c r="J144" s="85" t="n"/>
      <c r="K144" s="85" t="n"/>
      <c r="L144" s="85" t="n"/>
      <c r="M144" s="85" t="n"/>
      <c r="N144" s="85" t="n"/>
      <c r="O144" s="85" t="n"/>
      <c r="P144" s="84">
        <f>IF(C144="","",IF(OR(E144="",E144="未検証"),"① STEP1待ち",IF(E144="不通過","✕ STEP1不通過",IF(OR(G144="",H144=""),"② STEP2-3 未記入",IF(COUNTIF(J144:O144,"×")&gt;0,"✕ ボツ候補",IF(COUNTA(J144:O144)&lt;6,"③ STEP4 審査待ち",IF(COUNTIF(J144:O144,"△")&gt;0,"△ 修正して再審査","◎ 候補リスト")))))))</f>
        <v/>
      </c>
      <c r="Q144" s="85" t="n"/>
      <c r="R144" s="85" t="n"/>
      <c r="S144" s="85" t="n"/>
      <c r="T144" s="84">
        <f>IF(COUNT(Q144:S144)&lt;3,"",Q144+(11-R144)+S144)</f>
        <v/>
      </c>
      <c r="U144" s="85" t="n"/>
      <c r="V144" s="86" t="n"/>
      <c r="W144" s="87">
        <f>IF(AND(P144="◎ 候補リスト",U144&lt;&gt;"ボツ",U144&lt;&gt;"制作済み",T144&lt;&gt;"",OR('②候補ランキング'!$C$5="すべて",B144='②候補ランキング'!$C$5)),IF('②候補ランキング'!$C$4="ワクワク",Q144,IF('②候補ランキング'!$C$4="手軽さ",11-R144,IF('②候補ランキング'!$C$4="確信度",S144,T144)))*1000+T144+(1000-A144)/10000,"")</f>
        <v/>
      </c>
    </row>
    <row r="145" ht="18" customHeight="1" s="35">
      <c r="A145" s="84">
        <f>IF(C145="","",ROW()-5)</f>
        <v/>
      </c>
      <c r="B145" s="85" t="n"/>
      <c r="C145" s="86" t="n"/>
      <c r="D145" s="86" t="n"/>
      <c r="E145" s="85" t="n"/>
      <c r="F145" s="86" t="n"/>
      <c r="G145" s="86" t="n"/>
      <c r="H145" s="86" t="n"/>
      <c r="I145" s="86" t="n"/>
      <c r="J145" s="85" t="n"/>
      <c r="K145" s="85" t="n"/>
      <c r="L145" s="85" t="n"/>
      <c r="M145" s="85" t="n"/>
      <c r="N145" s="85" t="n"/>
      <c r="O145" s="85" t="n"/>
      <c r="P145" s="84">
        <f>IF(C145="","",IF(OR(E145="",E145="未検証"),"① STEP1待ち",IF(E145="不通過","✕ STEP1不通過",IF(OR(G145="",H145=""),"② STEP2-3 未記入",IF(COUNTIF(J145:O145,"×")&gt;0,"✕ ボツ候補",IF(COUNTA(J145:O145)&lt;6,"③ STEP4 審査待ち",IF(COUNTIF(J145:O145,"△")&gt;0,"△ 修正して再審査","◎ 候補リスト")))))))</f>
        <v/>
      </c>
      <c r="Q145" s="85" t="n"/>
      <c r="R145" s="85" t="n"/>
      <c r="S145" s="85" t="n"/>
      <c r="T145" s="84">
        <f>IF(COUNT(Q145:S145)&lt;3,"",Q145+(11-R145)+S145)</f>
        <v/>
      </c>
      <c r="U145" s="85" t="n"/>
      <c r="V145" s="86" t="n"/>
      <c r="W145" s="87">
        <f>IF(AND(P145="◎ 候補リスト",U145&lt;&gt;"ボツ",U145&lt;&gt;"制作済み",T145&lt;&gt;"",OR('②候補ランキング'!$C$5="すべて",B145='②候補ランキング'!$C$5)),IF('②候補ランキング'!$C$4="ワクワク",Q145,IF('②候補ランキング'!$C$4="手軽さ",11-R145,IF('②候補ランキング'!$C$4="確信度",S145,T145)))*1000+T145+(1000-A145)/10000,"")</f>
        <v/>
      </c>
    </row>
    <row r="146" ht="18" customHeight="1" s="35">
      <c r="A146" s="84">
        <f>IF(C146="","",ROW()-5)</f>
        <v/>
      </c>
      <c r="B146" s="85" t="n"/>
      <c r="C146" s="86" t="n"/>
      <c r="D146" s="86" t="n"/>
      <c r="E146" s="85" t="n"/>
      <c r="F146" s="86" t="n"/>
      <c r="G146" s="86" t="n"/>
      <c r="H146" s="86" t="n"/>
      <c r="I146" s="86" t="n"/>
      <c r="J146" s="85" t="n"/>
      <c r="K146" s="85" t="n"/>
      <c r="L146" s="85" t="n"/>
      <c r="M146" s="85" t="n"/>
      <c r="N146" s="85" t="n"/>
      <c r="O146" s="85" t="n"/>
      <c r="P146" s="84">
        <f>IF(C146="","",IF(OR(E146="",E146="未検証"),"① STEP1待ち",IF(E146="不通過","✕ STEP1不通過",IF(OR(G146="",H146=""),"② STEP2-3 未記入",IF(COUNTIF(J146:O146,"×")&gt;0,"✕ ボツ候補",IF(COUNTA(J146:O146)&lt;6,"③ STEP4 審査待ち",IF(COUNTIF(J146:O146,"△")&gt;0,"△ 修正して再審査","◎ 候補リスト")))))))</f>
        <v/>
      </c>
      <c r="Q146" s="85" t="n"/>
      <c r="R146" s="85" t="n"/>
      <c r="S146" s="85" t="n"/>
      <c r="T146" s="84">
        <f>IF(COUNT(Q146:S146)&lt;3,"",Q146+(11-R146)+S146)</f>
        <v/>
      </c>
      <c r="U146" s="85" t="n"/>
      <c r="V146" s="86" t="n"/>
      <c r="W146" s="87">
        <f>IF(AND(P146="◎ 候補リスト",U146&lt;&gt;"ボツ",U146&lt;&gt;"制作済み",T146&lt;&gt;"",OR('②候補ランキング'!$C$5="すべて",B146='②候補ランキング'!$C$5)),IF('②候補ランキング'!$C$4="ワクワク",Q146,IF('②候補ランキング'!$C$4="手軽さ",11-R146,IF('②候補ランキング'!$C$4="確信度",S146,T146)))*1000+T146+(1000-A146)/10000,"")</f>
        <v/>
      </c>
    </row>
    <row r="147" ht="18" customHeight="1" s="35">
      <c r="A147" s="84">
        <f>IF(C147="","",ROW()-5)</f>
        <v/>
      </c>
      <c r="B147" s="85" t="n"/>
      <c r="C147" s="86" t="n"/>
      <c r="D147" s="86" t="n"/>
      <c r="E147" s="85" t="n"/>
      <c r="F147" s="86" t="n"/>
      <c r="G147" s="86" t="n"/>
      <c r="H147" s="86" t="n"/>
      <c r="I147" s="86" t="n"/>
      <c r="J147" s="85" t="n"/>
      <c r="K147" s="85" t="n"/>
      <c r="L147" s="85" t="n"/>
      <c r="M147" s="85" t="n"/>
      <c r="N147" s="85" t="n"/>
      <c r="O147" s="85" t="n"/>
      <c r="P147" s="84">
        <f>IF(C147="","",IF(OR(E147="",E147="未検証"),"① STEP1待ち",IF(E147="不通過","✕ STEP1不通過",IF(OR(G147="",H147=""),"② STEP2-3 未記入",IF(COUNTIF(J147:O147,"×")&gt;0,"✕ ボツ候補",IF(COUNTA(J147:O147)&lt;6,"③ STEP4 審査待ち",IF(COUNTIF(J147:O147,"△")&gt;0,"△ 修正して再審査","◎ 候補リスト")))))))</f>
        <v/>
      </c>
      <c r="Q147" s="85" t="n"/>
      <c r="R147" s="85" t="n"/>
      <c r="S147" s="85" t="n"/>
      <c r="T147" s="84">
        <f>IF(COUNT(Q147:S147)&lt;3,"",Q147+(11-R147)+S147)</f>
        <v/>
      </c>
      <c r="U147" s="85" t="n"/>
      <c r="V147" s="86" t="n"/>
      <c r="W147" s="87">
        <f>IF(AND(P147="◎ 候補リスト",U147&lt;&gt;"ボツ",U147&lt;&gt;"制作済み",T147&lt;&gt;"",OR('②候補ランキング'!$C$5="すべて",B147='②候補ランキング'!$C$5)),IF('②候補ランキング'!$C$4="ワクワク",Q147,IF('②候補ランキング'!$C$4="手軽さ",11-R147,IF('②候補ランキング'!$C$4="確信度",S147,T147)))*1000+T147+(1000-A147)/10000,"")</f>
        <v/>
      </c>
    </row>
    <row r="148" ht="18" customHeight="1" s="35">
      <c r="A148" s="84">
        <f>IF(C148="","",ROW()-5)</f>
        <v/>
      </c>
      <c r="B148" s="85" t="n"/>
      <c r="C148" s="86" t="n"/>
      <c r="D148" s="86" t="n"/>
      <c r="E148" s="85" t="n"/>
      <c r="F148" s="86" t="n"/>
      <c r="G148" s="86" t="n"/>
      <c r="H148" s="86" t="n"/>
      <c r="I148" s="86" t="n"/>
      <c r="J148" s="85" t="n"/>
      <c r="K148" s="85" t="n"/>
      <c r="L148" s="85" t="n"/>
      <c r="M148" s="85" t="n"/>
      <c r="N148" s="85" t="n"/>
      <c r="O148" s="85" t="n"/>
      <c r="P148" s="84">
        <f>IF(C148="","",IF(OR(E148="",E148="未検証"),"① STEP1待ち",IF(E148="不通過","✕ STEP1不通過",IF(OR(G148="",H148=""),"② STEP2-3 未記入",IF(COUNTIF(J148:O148,"×")&gt;0,"✕ ボツ候補",IF(COUNTA(J148:O148)&lt;6,"③ STEP4 審査待ち",IF(COUNTIF(J148:O148,"△")&gt;0,"△ 修正して再審査","◎ 候補リスト")))))))</f>
        <v/>
      </c>
      <c r="Q148" s="85" t="n"/>
      <c r="R148" s="85" t="n"/>
      <c r="S148" s="85" t="n"/>
      <c r="T148" s="84">
        <f>IF(COUNT(Q148:S148)&lt;3,"",Q148+(11-R148)+S148)</f>
        <v/>
      </c>
      <c r="U148" s="85" t="n"/>
      <c r="V148" s="86" t="n"/>
      <c r="W148" s="87">
        <f>IF(AND(P148="◎ 候補リスト",U148&lt;&gt;"ボツ",U148&lt;&gt;"制作済み",T148&lt;&gt;"",OR('②候補ランキング'!$C$5="すべて",B148='②候補ランキング'!$C$5)),IF('②候補ランキング'!$C$4="ワクワク",Q148,IF('②候補ランキング'!$C$4="手軽さ",11-R148,IF('②候補ランキング'!$C$4="確信度",S148,T148)))*1000+T148+(1000-A148)/10000,"")</f>
        <v/>
      </c>
    </row>
    <row r="149" ht="18" customHeight="1" s="35">
      <c r="A149" s="84">
        <f>IF(C149="","",ROW()-5)</f>
        <v/>
      </c>
      <c r="B149" s="85" t="n"/>
      <c r="C149" s="86" t="n"/>
      <c r="D149" s="86" t="n"/>
      <c r="E149" s="85" t="n"/>
      <c r="F149" s="86" t="n"/>
      <c r="G149" s="86" t="n"/>
      <c r="H149" s="86" t="n"/>
      <c r="I149" s="86" t="n"/>
      <c r="J149" s="85" t="n"/>
      <c r="K149" s="85" t="n"/>
      <c r="L149" s="85" t="n"/>
      <c r="M149" s="85" t="n"/>
      <c r="N149" s="85" t="n"/>
      <c r="O149" s="85" t="n"/>
      <c r="P149" s="84">
        <f>IF(C149="","",IF(OR(E149="",E149="未検証"),"① STEP1待ち",IF(E149="不通過","✕ STEP1不通過",IF(OR(G149="",H149=""),"② STEP2-3 未記入",IF(COUNTIF(J149:O149,"×")&gt;0,"✕ ボツ候補",IF(COUNTA(J149:O149)&lt;6,"③ STEP4 審査待ち",IF(COUNTIF(J149:O149,"△")&gt;0,"△ 修正して再審査","◎ 候補リスト")))))))</f>
        <v/>
      </c>
      <c r="Q149" s="85" t="n"/>
      <c r="R149" s="85" t="n"/>
      <c r="S149" s="85" t="n"/>
      <c r="T149" s="84">
        <f>IF(COUNT(Q149:S149)&lt;3,"",Q149+(11-R149)+S149)</f>
        <v/>
      </c>
      <c r="U149" s="85" t="n"/>
      <c r="V149" s="86" t="n"/>
      <c r="W149" s="87">
        <f>IF(AND(P149="◎ 候補リスト",U149&lt;&gt;"ボツ",U149&lt;&gt;"制作済み",T149&lt;&gt;"",OR('②候補ランキング'!$C$5="すべて",B149='②候補ランキング'!$C$5)),IF('②候補ランキング'!$C$4="ワクワク",Q149,IF('②候補ランキング'!$C$4="手軽さ",11-R149,IF('②候補ランキング'!$C$4="確信度",S149,T149)))*1000+T149+(1000-A149)/10000,"")</f>
        <v/>
      </c>
    </row>
    <row r="150" ht="18" customHeight="1" s="35">
      <c r="A150" s="84">
        <f>IF(C150="","",ROW()-5)</f>
        <v/>
      </c>
      <c r="B150" s="85" t="n"/>
      <c r="C150" s="86" t="n"/>
      <c r="D150" s="86" t="n"/>
      <c r="E150" s="85" t="n"/>
      <c r="F150" s="86" t="n"/>
      <c r="G150" s="86" t="n"/>
      <c r="H150" s="86" t="n"/>
      <c r="I150" s="86" t="n"/>
      <c r="J150" s="85" t="n"/>
      <c r="K150" s="85" t="n"/>
      <c r="L150" s="85" t="n"/>
      <c r="M150" s="85" t="n"/>
      <c r="N150" s="85" t="n"/>
      <c r="O150" s="85" t="n"/>
      <c r="P150" s="84">
        <f>IF(C150="","",IF(OR(E150="",E150="未検証"),"① STEP1待ち",IF(E150="不通過","✕ STEP1不通過",IF(OR(G150="",H150=""),"② STEP2-3 未記入",IF(COUNTIF(J150:O150,"×")&gt;0,"✕ ボツ候補",IF(COUNTA(J150:O150)&lt;6,"③ STEP4 審査待ち",IF(COUNTIF(J150:O150,"△")&gt;0,"△ 修正して再審査","◎ 候補リスト")))))))</f>
        <v/>
      </c>
      <c r="Q150" s="85" t="n"/>
      <c r="R150" s="85" t="n"/>
      <c r="S150" s="85" t="n"/>
      <c r="T150" s="84">
        <f>IF(COUNT(Q150:S150)&lt;3,"",Q150+(11-R150)+S150)</f>
        <v/>
      </c>
      <c r="U150" s="85" t="n"/>
      <c r="V150" s="86" t="n"/>
      <c r="W150" s="87">
        <f>IF(AND(P150="◎ 候補リスト",U150&lt;&gt;"ボツ",U150&lt;&gt;"制作済み",T150&lt;&gt;"",OR('②候補ランキング'!$C$5="すべて",B150='②候補ランキング'!$C$5)),IF('②候補ランキング'!$C$4="ワクワク",Q150,IF('②候補ランキング'!$C$4="手軽さ",11-R150,IF('②候補ランキング'!$C$4="確信度",S150,T150)))*1000+T150+(1000-A150)/10000,"")</f>
        <v/>
      </c>
    </row>
    <row r="151" ht="18" customHeight="1" s="35">
      <c r="A151" s="84">
        <f>IF(C151="","",ROW()-5)</f>
        <v/>
      </c>
      <c r="B151" s="85" t="n"/>
      <c r="C151" s="86" t="n"/>
      <c r="D151" s="86" t="n"/>
      <c r="E151" s="85" t="n"/>
      <c r="F151" s="86" t="n"/>
      <c r="G151" s="86" t="n"/>
      <c r="H151" s="86" t="n"/>
      <c r="I151" s="86" t="n"/>
      <c r="J151" s="85" t="n"/>
      <c r="K151" s="85" t="n"/>
      <c r="L151" s="85" t="n"/>
      <c r="M151" s="85" t="n"/>
      <c r="N151" s="85" t="n"/>
      <c r="O151" s="85" t="n"/>
      <c r="P151" s="84">
        <f>IF(C151="","",IF(OR(E151="",E151="未検証"),"① STEP1待ち",IF(E151="不通過","✕ STEP1不通過",IF(OR(G151="",H151=""),"② STEP2-3 未記入",IF(COUNTIF(J151:O151,"×")&gt;0,"✕ ボツ候補",IF(COUNTA(J151:O151)&lt;6,"③ STEP4 審査待ち",IF(COUNTIF(J151:O151,"△")&gt;0,"△ 修正して再審査","◎ 候補リスト")))))))</f>
        <v/>
      </c>
      <c r="Q151" s="85" t="n"/>
      <c r="R151" s="85" t="n"/>
      <c r="S151" s="85" t="n"/>
      <c r="T151" s="84">
        <f>IF(COUNT(Q151:S151)&lt;3,"",Q151+(11-R151)+S151)</f>
        <v/>
      </c>
      <c r="U151" s="85" t="n"/>
      <c r="V151" s="86" t="n"/>
      <c r="W151" s="87">
        <f>IF(AND(P151="◎ 候補リスト",U151&lt;&gt;"ボツ",U151&lt;&gt;"制作済み",T151&lt;&gt;"",OR('②候補ランキング'!$C$5="すべて",B151='②候補ランキング'!$C$5)),IF('②候補ランキング'!$C$4="ワクワク",Q151,IF('②候補ランキング'!$C$4="手軽さ",11-R151,IF('②候補ランキング'!$C$4="確信度",S151,T151)))*1000+T151+(1000-A151)/10000,"")</f>
        <v/>
      </c>
    </row>
    <row r="152" ht="18" customHeight="1" s="35">
      <c r="A152" s="84">
        <f>IF(C152="","",ROW()-5)</f>
        <v/>
      </c>
      <c r="B152" s="85" t="n"/>
      <c r="C152" s="86" t="n"/>
      <c r="D152" s="86" t="n"/>
      <c r="E152" s="85" t="n"/>
      <c r="F152" s="86" t="n"/>
      <c r="G152" s="86" t="n"/>
      <c r="H152" s="86" t="n"/>
      <c r="I152" s="86" t="n"/>
      <c r="J152" s="85" t="n"/>
      <c r="K152" s="85" t="n"/>
      <c r="L152" s="85" t="n"/>
      <c r="M152" s="85" t="n"/>
      <c r="N152" s="85" t="n"/>
      <c r="O152" s="85" t="n"/>
      <c r="P152" s="84">
        <f>IF(C152="","",IF(OR(E152="",E152="未検証"),"① STEP1待ち",IF(E152="不通過","✕ STEP1不通過",IF(OR(G152="",H152=""),"② STEP2-3 未記入",IF(COUNTIF(J152:O152,"×")&gt;0,"✕ ボツ候補",IF(COUNTA(J152:O152)&lt;6,"③ STEP4 審査待ち",IF(COUNTIF(J152:O152,"△")&gt;0,"△ 修正して再審査","◎ 候補リスト")))))))</f>
        <v/>
      </c>
      <c r="Q152" s="85" t="n"/>
      <c r="R152" s="85" t="n"/>
      <c r="S152" s="85" t="n"/>
      <c r="T152" s="84">
        <f>IF(COUNT(Q152:S152)&lt;3,"",Q152+(11-R152)+S152)</f>
        <v/>
      </c>
      <c r="U152" s="85" t="n"/>
      <c r="V152" s="86" t="n"/>
      <c r="W152" s="87">
        <f>IF(AND(P152="◎ 候補リスト",U152&lt;&gt;"ボツ",U152&lt;&gt;"制作済み",T152&lt;&gt;"",OR('②候補ランキング'!$C$5="すべて",B152='②候補ランキング'!$C$5)),IF('②候補ランキング'!$C$4="ワクワク",Q152,IF('②候補ランキング'!$C$4="手軽さ",11-R152,IF('②候補ランキング'!$C$4="確信度",S152,T152)))*1000+T152+(1000-A152)/10000,"")</f>
        <v/>
      </c>
    </row>
    <row r="153" ht="18" customHeight="1" s="35">
      <c r="A153" s="84">
        <f>IF(C153="","",ROW()-5)</f>
        <v/>
      </c>
      <c r="B153" s="85" t="n"/>
      <c r="C153" s="86" t="n"/>
      <c r="D153" s="86" t="n"/>
      <c r="E153" s="85" t="n"/>
      <c r="F153" s="86" t="n"/>
      <c r="G153" s="86" t="n"/>
      <c r="H153" s="86" t="n"/>
      <c r="I153" s="86" t="n"/>
      <c r="J153" s="85" t="n"/>
      <c r="K153" s="85" t="n"/>
      <c r="L153" s="85" t="n"/>
      <c r="M153" s="85" t="n"/>
      <c r="N153" s="85" t="n"/>
      <c r="O153" s="85" t="n"/>
      <c r="P153" s="84">
        <f>IF(C153="","",IF(OR(E153="",E153="未検証"),"① STEP1待ち",IF(E153="不通過","✕ STEP1不通過",IF(OR(G153="",H153=""),"② STEP2-3 未記入",IF(COUNTIF(J153:O153,"×")&gt;0,"✕ ボツ候補",IF(COUNTA(J153:O153)&lt;6,"③ STEP4 審査待ち",IF(COUNTIF(J153:O153,"△")&gt;0,"△ 修正して再審査","◎ 候補リスト")))))))</f>
        <v/>
      </c>
      <c r="Q153" s="85" t="n"/>
      <c r="R153" s="85" t="n"/>
      <c r="S153" s="85" t="n"/>
      <c r="T153" s="84">
        <f>IF(COUNT(Q153:S153)&lt;3,"",Q153+(11-R153)+S153)</f>
        <v/>
      </c>
      <c r="U153" s="85" t="n"/>
      <c r="V153" s="86" t="n"/>
      <c r="W153" s="87">
        <f>IF(AND(P153="◎ 候補リスト",U153&lt;&gt;"ボツ",U153&lt;&gt;"制作済み",T153&lt;&gt;"",OR('②候補ランキング'!$C$5="すべて",B153='②候補ランキング'!$C$5)),IF('②候補ランキング'!$C$4="ワクワク",Q153,IF('②候補ランキング'!$C$4="手軽さ",11-R153,IF('②候補ランキング'!$C$4="確信度",S153,T153)))*1000+T153+(1000-A153)/10000,"")</f>
        <v/>
      </c>
    </row>
    <row r="154" ht="18" customHeight="1" s="35">
      <c r="A154" s="84">
        <f>IF(C154="","",ROW()-5)</f>
        <v/>
      </c>
      <c r="B154" s="85" t="n"/>
      <c r="C154" s="86" t="n"/>
      <c r="D154" s="86" t="n"/>
      <c r="E154" s="85" t="n"/>
      <c r="F154" s="86" t="n"/>
      <c r="G154" s="86" t="n"/>
      <c r="H154" s="86" t="n"/>
      <c r="I154" s="86" t="n"/>
      <c r="J154" s="85" t="n"/>
      <c r="K154" s="85" t="n"/>
      <c r="L154" s="85" t="n"/>
      <c r="M154" s="85" t="n"/>
      <c r="N154" s="85" t="n"/>
      <c r="O154" s="85" t="n"/>
      <c r="P154" s="84">
        <f>IF(C154="","",IF(OR(E154="",E154="未検証"),"① STEP1待ち",IF(E154="不通過","✕ STEP1不通過",IF(OR(G154="",H154=""),"② STEP2-3 未記入",IF(COUNTIF(J154:O154,"×")&gt;0,"✕ ボツ候補",IF(COUNTA(J154:O154)&lt;6,"③ STEP4 審査待ち",IF(COUNTIF(J154:O154,"△")&gt;0,"△ 修正して再審査","◎ 候補リスト")))))))</f>
        <v/>
      </c>
      <c r="Q154" s="85" t="n"/>
      <c r="R154" s="85" t="n"/>
      <c r="S154" s="85" t="n"/>
      <c r="T154" s="84">
        <f>IF(COUNT(Q154:S154)&lt;3,"",Q154+(11-R154)+S154)</f>
        <v/>
      </c>
      <c r="U154" s="85" t="n"/>
      <c r="V154" s="86" t="n"/>
      <c r="W154" s="87">
        <f>IF(AND(P154="◎ 候補リスト",U154&lt;&gt;"ボツ",U154&lt;&gt;"制作済み",T154&lt;&gt;"",OR('②候補ランキング'!$C$5="すべて",B154='②候補ランキング'!$C$5)),IF('②候補ランキング'!$C$4="ワクワク",Q154,IF('②候補ランキング'!$C$4="手軽さ",11-R154,IF('②候補ランキング'!$C$4="確信度",S154,T154)))*1000+T154+(1000-A154)/10000,"")</f>
        <v/>
      </c>
    </row>
    <row r="155" ht="18" customHeight="1" s="35">
      <c r="A155" s="84">
        <f>IF(C155="","",ROW()-5)</f>
        <v/>
      </c>
      <c r="B155" s="85" t="n"/>
      <c r="C155" s="86" t="n"/>
      <c r="D155" s="86" t="n"/>
      <c r="E155" s="85" t="n"/>
      <c r="F155" s="86" t="n"/>
      <c r="G155" s="86" t="n"/>
      <c r="H155" s="86" t="n"/>
      <c r="I155" s="86" t="n"/>
      <c r="J155" s="85" t="n"/>
      <c r="K155" s="85" t="n"/>
      <c r="L155" s="85" t="n"/>
      <c r="M155" s="85" t="n"/>
      <c r="N155" s="85" t="n"/>
      <c r="O155" s="85" t="n"/>
      <c r="P155" s="84">
        <f>IF(C155="","",IF(OR(E155="",E155="未検証"),"① STEP1待ち",IF(E155="不通過","✕ STEP1不通過",IF(OR(G155="",H155=""),"② STEP2-3 未記入",IF(COUNTIF(J155:O155,"×")&gt;0,"✕ ボツ候補",IF(COUNTA(J155:O155)&lt;6,"③ STEP4 審査待ち",IF(COUNTIF(J155:O155,"△")&gt;0,"△ 修正して再審査","◎ 候補リスト")))))))</f>
        <v/>
      </c>
      <c r="Q155" s="85" t="n"/>
      <c r="R155" s="85" t="n"/>
      <c r="S155" s="85" t="n"/>
      <c r="T155" s="84">
        <f>IF(COUNT(Q155:S155)&lt;3,"",Q155+(11-R155)+S155)</f>
        <v/>
      </c>
      <c r="U155" s="85" t="n"/>
      <c r="V155" s="86" t="n"/>
      <c r="W155" s="87">
        <f>IF(AND(P155="◎ 候補リスト",U155&lt;&gt;"ボツ",U155&lt;&gt;"制作済み",T155&lt;&gt;"",OR('②候補ランキング'!$C$5="すべて",B155='②候補ランキング'!$C$5)),IF('②候補ランキング'!$C$4="ワクワク",Q155,IF('②候補ランキング'!$C$4="手軽さ",11-R155,IF('②候補ランキング'!$C$4="確信度",S155,T155)))*1000+T155+(1000-A155)/10000,"")</f>
        <v/>
      </c>
    </row>
    <row r="156" ht="18" customHeight="1" s="35">
      <c r="A156" s="84">
        <f>IF(C156="","",ROW()-5)</f>
        <v/>
      </c>
      <c r="B156" s="85" t="n"/>
      <c r="C156" s="86" t="n"/>
      <c r="D156" s="86" t="n"/>
      <c r="E156" s="85" t="n"/>
      <c r="F156" s="86" t="n"/>
      <c r="G156" s="86" t="n"/>
      <c r="H156" s="86" t="n"/>
      <c r="I156" s="86" t="n"/>
      <c r="J156" s="85" t="n"/>
      <c r="K156" s="85" t="n"/>
      <c r="L156" s="85" t="n"/>
      <c r="M156" s="85" t="n"/>
      <c r="N156" s="85" t="n"/>
      <c r="O156" s="85" t="n"/>
      <c r="P156" s="84">
        <f>IF(C156="","",IF(OR(E156="",E156="未検証"),"① STEP1待ち",IF(E156="不通過","✕ STEP1不通過",IF(OR(G156="",H156=""),"② STEP2-3 未記入",IF(COUNTIF(J156:O156,"×")&gt;0,"✕ ボツ候補",IF(COUNTA(J156:O156)&lt;6,"③ STEP4 審査待ち",IF(COUNTIF(J156:O156,"△")&gt;0,"△ 修正して再審査","◎ 候補リスト")))))))</f>
        <v/>
      </c>
      <c r="Q156" s="85" t="n"/>
      <c r="R156" s="85" t="n"/>
      <c r="S156" s="85" t="n"/>
      <c r="T156" s="84">
        <f>IF(COUNT(Q156:S156)&lt;3,"",Q156+(11-R156)+S156)</f>
        <v/>
      </c>
      <c r="U156" s="85" t="n"/>
      <c r="V156" s="86" t="n"/>
      <c r="W156" s="87">
        <f>IF(AND(P156="◎ 候補リスト",U156&lt;&gt;"ボツ",U156&lt;&gt;"制作済み",T156&lt;&gt;"",OR('②候補ランキング'!$C$5="すべて",B156='②候補ランキング'!$C$5)),IF('②候補ランキング'!$C$4="ワクワク",Q156,IF('②候補ランキング'!$C$4="手軽さ",11-R156,IF('②候補ランキング'!$C$4="確信度",S156,T156)))*1000+T156+(1000-A156)/10000,"")</f>
        <v/>
      </c>
    </row>
    <row r="157" ht="18" customHeight="1" s="35">
      <c r="A157" s="84">
        <f>IF(C157="","",ROW()-5)</f>
        <v/>
      </c>
      <c r="B157" s="85" t="n"/>
      <c r="C157" s="86" t="n"/>
      <c r="D157" s="86" t="n"/>
      <c r="E157" s="85" t="n"/>
      <c r="F157" s="86" t="n"/>
      <c r="G157" s="86" t="n"/>
      <c r="H157" s="86" t="n"/>
      <c r="I157" s="86" t="n"/>
      <c r="J157" s="85" t="n"/>
      <c r="K157" s="85" t="n"/>
      <c r="L157" s="85" t="n"/>
      <c r="M157" s="85" t="n"/>
      <c r="N157" s="85" t="n"/>
      <c r="O157" s="85" t="n"/>
      <c r="P157" s="84">
        <f>IF(C157="","",IF(OR(E157="",E157="未検証"),"① STEP1待ち",IF(E157="不通過","✕ STEP1不通過",IF(OR(G157="",H157=""),"② STEP2-3 未記入",IF(COUNTIF(J157:O157,"×")&gt;0,"✕ ボツ候補",IF(COUNTA(J157:O157)&lt;6,"③ STEP4 審査待ち",IF(COUNTIF(J157:O157,"△")&gt;0,"△ 修正して再審査","◎ 候補リスト")))))))</f>
        <v/>
      </c>
      <c r="Q157" s="85" t="n"/>
      <c r="R157" s="85" t="n"/>
      <c r="S157" s="85" t="n"/>
      <c r="T157" s="84">
        <f>IF(COUNT(Q157:S157)&lt;3,"",Q157+(11-R157)+S157)</f>
        <v/>
      </c>
      <c r="U157" s="85" t="n"/>
      <c r="V157" s="86" t="n"/>
      <c r="W157" s="87">
        <f>IF(AND(P157="◎ 候補リスト",U157&lt;&gt;"ボツ",U157&lt;&gt;"制作済み",T157&lt;&gt;"",OR('②候補ランキング'!$C$5="すべて",B157='②候補ランキング'!$C$5)),IF('②候補ランキング'!$C$4="ワクワク",Q157,IF('②候補ランキング'!$C$4="手軽さ",11-R157,IF('②候補ランキング'!$C$4="確信度",S157,T157)))*1000+T157+(1000-A157)/10000,"")</f>
        <v/>
      </c>
    </row>
    <row r="158" ht="18" customHeight="1" s="35">
      <c r="A158" s="84">
        <f>IF(C158="","",ROW()-5)</f>
        <v/>
      </c>
      <c r="B158" s="85" t="n"/>
      <c r="C158" s="86" t="n"/>
      <c r="D158" s="86" t="n"/>
      <c r="E158" s="85" t="n"/>
      <c r="F158" s="86" t="n"/>
      <c r="G158" s="86" t="n"/>
      <c r="H158" s="86" t="n"/>
      <c r="I158" s="86" t="n"/>
      <c r="J158" s="85" t="n"/>
      <c r="K158" s="85" t="n"/>
      <c r="L158" s="85" t="n"/>
      <c r="M158" s="85" t="n"/>
      <c r="N158" s="85" t="n"/>
      <c r="O158" s="85" t="n"/>
      <c r="P158" s="84">
        <f>IF(C158="","",IF(OR(E158="",E158="未検証"),"① STEP1待ち",IF(E158="不通過","✕ STEP1不通過",IF(OR(G158="",H158=""),"② STEP2-3 未記入",IF(COUNTIF(J158:O158,"×")&gt;0,"✕ ボツ候補",IF(COUNTA(J158:O158)&lt;6,"③ STEP4 審査待ち",IF(COUNTIF(J158:O158,"△")&gt;0,"△ 修正して再審査","◎ 候補リスト")))))))</f>
        <v/>
      </c>
      <c r="Q158" s="85" t="n"/>
      <c r="R158" s="85" t="n"/>
      <c r="S158" s="85" t="n"/>
      <c r="T158" s="84">
        <f>IF(COUNT(Q158:S158)&lt;3,"",Q158+(11-R158)+S158)</f>
        <v/>
      </c>
      <c r="U158" s="85" t="n"/>
      <c r="V158" s="86" t="n"/>
      <c r="W158" s="87">
        <f>IF(AND(P158="◎ 候補リスト",U158&lt;&gt;"ボツ",U158&lt;&gt;"制作済み",T158&lt;&gt;"",OR('②候補ランキング'!$C$5="すべて",B158='②候補ランキング'!$C$5)),IF('②候補ランキング'!$C$4="ワクワク",Q158,IF('②候補ランキング'!$C$4="手軽さ",11-R158,IF('②候補ランキング'!$C$4="確信度",S158,T158)))*1000+T158+(1000-A158)/10000,"")</f>
        <v/>
      </c>
    </row>
    <row r="159" ht="18" customHeight="1" s="35">
      <c r="A159" s="84">
        <f>IF(C159="","",ROW()-5)</f>
        <v/>
      </c>
      <c r="B159" s="85" t="n"/>
      <c r="C159" s="86" t="n"/>
      <c r="D159" s="86" t="n"/>
      <c r="E159" s="85" t="n"/>
      <c r="F159" s="86" t="n"/>
      <c r="G159" s="86" t="n"/>
      <c r="H159" s="86" t="n"/>
      <c r="I159" s="86" t="n"/>
      <c r="J159" s="85" t="n"/>
      <c r="K159" s="85" t="n"/>
      <c r="L159" s="85" t="n"/>
      <c r="M159" s="85" t="n"/>
      <c r="N159" s="85" t="n"/>
      <c r="O159" s="85" t="n"/>
      <c r="P159" s="84">
        <f>IF(C159="","",IF(OR(E159="",E159="未検証"),"① STEP1待ち",IF(E159="不通過","✕ STEP1不通過",IF(OR(G159="",H159=""),"② STEP2-3 未記入",IF(COUNTIF(J159:O159,"×")&gt;0,"✕ ボツ候補",IF(COUNTA(J159:O159)&lt;6,"③ STEP4 審査待ち",IF(COUNTIF(J159:O159,"△")&gt;0,"△ 修正して再審査","◎ 候補リスト")))))))</f>
        <v/>
      </c>
      <c r="Q159" s="85" t="n"/>
      <c r="R159" s="85" t="n"/>
      <c r="S159" s="85" t="n"/>
      <c r="T159" s="84">
        <f>IF(COUNT(Q159:S159)&lt;3,"",Q159+(11-R159)+S159)</f>
        <v/>
      </c>
      <c r="U159" s="85" t="n"/>
      <c r="V159" s="86" t="n"/>
      <c r="W159" s="87">
        <f>IF(AND(P159="◎ 候補リスト",U159&lt;&gt;"ボツ",U159&lt;&gt;"制作済み",T159&lt;&gt;"",OR('②候補ランキング'!$C$5="すべて",B159='②候補ランキング'!$C$5)),IF('②候補ランキング'!$C$4="ワクワク",Q159,IF('②候補ランキング'!$C$4="手軽さ",11-R159,IF('②候補ランキング'!$C$4="確信度",S159,T159)))*1000+T159+(1000-A159)/10000,"")</f>
        <v/>
      </c>
    </row>
    <row r="160" ht="18" customHeight="1" s="35">
      <c r="A160" s="84">
        <f>IF(C160="","",ROW()-5)</f>
        <v/>
      </c>
      <c r="B160" s="85" t="n"/>
      <c r="C160" s="86" t="n"/>
      <c r="D160" s="86" t="n"/>
      <c r="E160" s="85" t="n"/>
      <c r="F160" s="86" t="n"/>
      <c r="G160" s="86" t="n"/>
      <c r="H160" s="86" t="n"/>
      <c r="I160" s="86" t="n"/>
      <c r="J160" s="85" t="n"/>
      <c r="K160" s="85" t="n"/>
      <c r="L160" s="85" t="n"/>
      <c r="M160" s="85" t="n"/>
      <c r="N160" s="85" t="n"/>
      <c r="O160" s="85" t="n"/>
      <c r="P160" s="84">
        <f>IF(C160="","",IF(OR(E160="",E160="未検証"),"① STEP1待ち",IF(E160="不通過","✕ STEP1不通過",IF(OR(G160="",H160=""),"② STEP2-3 未記入",IF(COUNTIF(J160:O160,"×")&gt;0,"✕ ボツ候補",IF(COUNTA(J160:O160)&lt;6,"③ STEP4 審査待ち",IF(COUNTIF(J160:O160,"△")&gt;0,"△ 修正して再審査","◎ 候補リスト")))))))</f>
        <v/>
      </c>
      <c r="Q160" s="85" t="n"/>
      <c r="R160" s="85" t="n"/>
      <c r="S160" s="85" t="n"/>
      <c r="T160" s="84">
        <f>IF(COUNT(Q160:S160)&lt;3,"",Q160+(11-R160)+S160)</f>
        <v/>
      </c>
      <c r="U160" s="85" t="n"/>
      <c r="V160" s="86" t="n"/>
      <c r="W160" s="87">
        <f>IF(AND(P160="◎ 候補リスト",U160&lt;&gt;"ボツ",U160&lt;&gt;"制作済み",T160&lt;&gt;"",OR('②候補ランキング'!$C$5="すべて",B160='②候補ランキング'!$C$5)),IF('②候補ランキング'!$C$4="ワクワク",Q160,IF('②候補ランキング'!$C$4="手軽さ",11-R160,IF('②候補ランキング'!$C$4="確信度",S160,T160)))*1000+T160+(1000-A160)/10000,"")</f>
        <v/>
      </c>
    </row>
    <row r="161" ht="18" customHeight="1" s="35">
      <c r="A161" s="84">
        <f>IF(C161="","",ROW()-5)</f>
        <v/>
      </c>
      <c r="B161" s="85" t="n"/>
      <c r="C161" s="86" t="n"/>
      <c r="D161" s="86" t="n"/>
      <c r="E161" s="85" t="n"/>
      <c r="F161" s="86" t="n"/>
      <c r="G161" s="86" t="n"/>
      <c r="H161" s="86" t="n"/>
      <c r="I161" s="86" t="n"/>
      <c r="J161" s="85" t="n"/>
      <c r="K161" s="85" t="n"/>
      <c r="L161" s="85" t="n"/>
      <c r="M161" s="85" t="n"/>
      <c r="N161" s="85" t="n"/>
      <c r="O161" s="85" t="n"/>
      <c r="P161" s="84">
        <f>IF(C161="","",IF(OR(E161="",E161="未検証"),"① STEP1待ち",IF(E161="不通過","✕ STEP1不通過",IF(OR(G161="",H161=""),"② STEP2-3 未記入",IF(COUNTIF(J161:O161,"×")&gt;0,"✕ ボツ候補",IF(COUNTA(J161:O161)&lt;6,"③ STEP4 審査待ち",IF(COUNTIF(J161:O161,"△")&gt;0,"△ 修正して再審査","◎ 候補リスト")))))))</f>
        <v/>
      </c>
      <c r="Q161" s="85" t="n"/>
      <c r="R161" s="85" t="n"/>
      <c r="S161" s="85" t="n"/>
      <c r="T161" s="84">
        <f>IF(COUNT(Q161:S161)&lt;3,"",Q161+(11-R161)+S161)</f>
        <v/>
      </c>
      <c r="U161" s="85" t="n"/>
      <c r="V161" s="86" t="n"/>
      <c r="W161" s="87">
        <f>IF(AND(P161="◎ 候補リスト",U161&lt;&gt;"ボツ",U161&lt;&gt;"制作済み",T161&lt;&gt;"",OR('②候補ランキング'!$C$5="すべて",B161='②候補ランキング'!$C$5)),IF('②候補ランキング'!$C$4="ワクワク",Q161,IF('②候補ランキング'!$C$4="手軽さ",11-R161,IF('②候補ランキング'!$C$4="確信度",S161,T161)))*1000+T161+(1000-A161)/10000,"")</f>
        <v/>
      </c>
    </row>
    <row r="162" ht="18" customHeight="1" s="35">
      <c r="A162" s="84">
        <f>IF(C162="","",ROW()-5)</f>
        <v/>
      </c>
      <c r="B162" s="85" t="n"/>
      <c r="C162" s="86" t="n"/>
      <c r="D162" s="86" t="n"/>
      <c r="E162" s="85" t="n"/>
      <c r="F162" s="86" t="n"/>
      <c r="G162" s="86" t="n"/>
      <c r="H162" s="86" t="n"/>
      <c r="I162" s="86" t="n"/>
      <c r="J162" s="85" t="n"/>
      <c r="K162" s="85" t="n"/>
      <c r="L162" s="85" t="n"/>
      <c r="M162" s="85" t="n"/>
      <c r="N162" s="85" t="n"/>
      <c r="O162" s="85" t="n"/>
      <c r="P162" s="84">
        <f>IF(C162="","",IF(OR(E162="",E162="未検証"),"① STEP1待ち",IF(E162="不通過","✕ STEP1不通過",IF(OR(G162="",H162=""),"② STEP2-3 未記入",IF(COUNTIF(J162:O162,"×")&gt;0,"✕ ボツ候補",IF(COUNTA(J162:O162)&lt;6,"③ STEP4 審査待ち",IF(COUNTIF(J162:O162,"△")&gt;0,"△ 修正して再審査","◎ 候補リスト")))))))</f>
        <v/>
      </c>
      <c r="Q162" s="85" t="n"/>
      <c r="R162" s="85" t="n"/>
      <c r="S162" s="85" t="n"/>
      <c r="T162" s="84">
        <f>IF(COUNT(Q162:S162)&lt;3,"",Q162+(11-R162)+S162)</f>
        <v/>
      </c>
      <c r="U162" s="85" t="n"/>
      <c r="V162" s="86" t="n"/>
      <c r="W162" s="87">
        <f>IF(AND(P162="◎ 候補リスト",U162&lt;&gt;"ボツ",U162&lt;&gt;"制作済み",T162&lt;&gt;"",OR('②候補ランキング'!$C$5="すべて",B162='②候補ランキング'!$C$5)),IF('②候補ランキング'!$C$4="ワクワク",Q162,IF('②候補ランキング'!$C$4="手軽さ",11-R162,IF('②候補ランキング'!$C$4="確信度",S162,T162)))*1000+T162+(1000-A162)/10000,"")</f>
        <v/>
      </c>
    </row>
    <row r="163" ht="18" customHeight="1" s="35">
      <c r="A163" s="84">
        <f>IF(C163="","",ROW()-5)</f>
        <v/>
      </c>
      <c r="B163" s="85" t="n"/>
      <c r="C163" s="86" t="n"/>
      <c r="D163" s="86" t="n"/>
      <c r="E163" s="85" t="n"/>
      <c r="F163" s="86" t="n"/>
      <c r="G163" s="86" t="n"/>
      <c r="H163" s="86" t="n"/>
      <c r="I163" s="86" t="n"/>
      <c r="J163" s="85" t="n"/>
      <c r="K163" s="85" t="n"/>
      <c r="L163" s="85" t="n"/>
      <c r="M163" s="85" t="n"/>
      <c r="N163" s="85" t="n"/>
      <c r="O163" s="85" t="n"/>
      <c r="P163" s="84">
        <f>IF(C163="","",IF(OR(E163="",E163="未検証"),"① STEP1待ち",IF(E163="不通過","✕ STEP1不通過",IF(OR(G163="",H163=""),"② STEP2-3 未記入",IF(COUNTIF(J163:O163,"×")&gt;0,"✕ ボツ候補",IF(COUNTA(J163:O163)&lt;6,"③ STEP4 審査待ち",IF(COUNTIF(J163:O163,"△")&gt;0,"△ 修正して再審査","◎ 候補リスト")))))))</f>
        <v/>
      </c>
      <c r="Q163" s="85" t="n"/>
      <c r="R163" s="85" t="n"/>
      <c r="S163" s="85" t="n"/>
      <c r="T163" s="84">
        <f>IF(COUNT(Q163:S163)&lt;3,"",Q163+(11-R163)+S163)</f>
        <v/>
      </c>
      <c r="U163" s="85" t="n"/>
      <c r="V163" s="86" t="n"/>
      <c r="W163" s="87">
        <f>IF(AND(P163="◎ 候補リスト",U163&lt;&gt;"ボツ",U163&lt;&gt;"制作済み",T163&lt;&gt;"",OR('②候補ランキング'!$C$5="すべて",B163='②候補ランキング'!$C$5)),IF('②候補ランキング'!$C$4="ワクワク",Q163,IF('②候補ランキング'!$C$4="手軽さ",11-R163,IF('②候補ランキング'!$C$4="確信度",S163,T163)))*1000+T163+(1000-A163)/10000,"")</f>
        <v/>
      </c>
    </row>
    <row r="164" ht="18" customHeight="1" s="35">
      <c r="A164" s="84">
        <f>IF(C164="","",ROW()-5)</f>
        <v/>
      </c>
      <c r="B164" s="85" t="n"/>
      <c r="C164" s="86" t="n"/>
      <c r="D164" s="86" t="n"/>
      <c r="E164" s="85" t="n"/>
      <c r="F164" s="86" t="n"/>
      <c r="G164" s="86" t="n"/>
      <c r="H164" s="86" t="n"/>
      <c r="I164" s="86" t="n"/>
      <c r="J164" s="85" t="n"/>
      <c r="K164" s="85" t="n"/>
      <c r="L164" s="85" t="n"/>
      <c r="M164" s="85" t="n"/>
      <c r="N164" s="85" t="n"/>
      <c r="O164" s="85" t="n"/>
      <c r="P164" s="84">
        <f>IF(C164="","",IF(OR(E164="",E164="未検証"),"① STEP1待ち",IF(E164="不通過","✕ STEP1不通過",IF(OR(G164="",H164=""),"② STEP2-3 未記入",IF(COUNTIF(J164:O164,"×")&gt;0,"✕ ボツ候補",IF(COUNTA(J164:O164)&lt;6,"③ STEP4 審査待ち",IF(COUNTIF(J164:O164,"△")&gt;0,"△ 修正して再審査","◎ 候補リスト")))))))</f>
        <v/>
      </c>
      <c r="Q164" s="85" t="n"/>
      <c r="R164" s="85" t="n"/>
      <c r="S164" s="85" t="n"/>
      <c r="T164" s="84">
        <f>IF(COUNT(Q164:S164)&lt;3,"",Q164+(11-R164)+S164)</f>
        <v/>
      </c>
      <c r="U164" s="85" t="n"/>
      <c r="V164" s="86" t="n"/>
      <c r="W164" s="87">
        <f>IF(AND(P164="◎ 候補リスト",U164&lt;&gt;"ボツ",U164&lt;&gt;"制作済み",T164&lt;&gt;"",OR('②候補ランキング'!$C$5="すべて",B164='②候補ランキング'!$C$5)),IF('②候補ランキング'!$C$4="ワクワク",Q164,IF('②候補ランキング'!$C$4="手軽さ",11-R164,IF('②候補ランキング'!$C$4="確信度",S164,T164)))*1000+T164+(1000-A164)/10000,"")</f>
        <v/>
      </c>
    </row>
    <row r="165" ht="18" customHeight="1" s="35">
      <c r="A165" s="84">
        <f>IF(C165="","",ROW()-5)</f>
        <v/>
      </c>
      <c r="B165" s="85" t="n"/>
      <c r="C165" s="86" t="n"/>
      <c r="D165" s="86" t="n"/>
      <c r="E165" s="85" t="n"/>
      <c r="F165" s="86" t="n"/>
      <c r="G165" s="86" t="n"/>
      <c r="H165" s="86" t="n"/>
      <c r="I165" s="86" t="n"/>
      <c r="J165" s="85" t="n"/>
      <c r="K165" s="85" t="n"/>
      <c r="L165" s="85" t="n"/>
      <c r="M165" s="85" t="n"/>
      <c r="N165" s="85" t="n"/>
      <c r="O165" s="85" t="n"/>
      <c r="P165" s="84">
        <f>IF(C165="","",IF(OR(E165="",E165="未検証"),"① STEP1待ち",IF(E165="不通過","✕ STEP1不通過",IF(OR(G165="",H165=""),"② STEP2-3 未記入",IF(COUNTIF(J165:O165,"×")&gt;0,"✕ ボツ候補",IF(COUNTA(J165:O165)&lt;6,"③ STEP4 審査待ち",IF(COUNTIF(J165:O165,"△")&gt;0,"△ 修正して再審査","◎ 候補リスト")))))))</f>
        <v/>
      </c>
      <c r="Q165" s="85" t="n"/>
      <c r="R165" s="85" t="n"/>
      <c r="S165" s="85" t="n"/>
      <c r="T165" s="84">
        <f>IF(COUNT(Q165:S165)&lt;3,"",Q165+(11-R165)+S165)</f>
        <v/>
      </c>
      <c r="U165" s="85" t="n"/>
      <c r="V165" s="86" t="n"/>
      <c r="W165" s="87">
        <f>IF(AND(P165="◎ 候補リスト",U165&lt;&gt;"ボツ",U165&lt;&gt;"制作済み",T165&lt;&gt;"",OR('②候補ランキング'!$C$5="すべて",B165='②候補ランキング'!$C$5)),IF('②候補ランキング'!$C$4="ワクワク",Q165,IF('②候補ランキング'!$C$4="手軽さ",11-R165,IF('②候補ランキング'!$C$4="確信度",S165,T165)))*1000+T165+(1000-A165)/10000,"")</f>
        <v/>
      </c>
    </row>
    <row r="166" ht="18" customHeight="1" s="35">
      <c r="A166" s="84">
        <f>IF(C166="","",ROW()-5)</f>
        <v/>
      </c>
      <c r="B166" s="85" t="n"/>
      <c r="C166" s="86" t="n"/>
      <c r="D166" s="86" t="n"/>
      <c r="E166" s="85" t="n"/>
      <c r="F166" s="86" t="n"/>
      <c r="G166" s="86" t="n"/>
      <c r="H166" s="86" t="n"/>
      <c r="I166" s="86" t="n"/>
      <c r="J166" s="85" t="n"/>
      <c r="K166" s="85" t="n"/>
      <c r="L166" s="85" t="n"/>
      <c r="M166" s="85" t="n"/>
      <c r="N166" s="85" t="n"/>
      <c r="O166" s="85" t="n"/>
      <c r="P166" s="84">
        <f>IF(C166="","",IF(OR(E166="",E166="未検証"),"① STEP1待ち",IF(E166="不通過","✕ STEP1不通過",IF(OR(G166="",H166=""),"② STEP2-3 未記入",IF(COUNTIF(J166:O166,"×")&gt;0,"✕ ボツ候補",IF(COUNTA(J166:O166)&lt;6,"③ STEP4 審査待ち",IF(COUNTIF(J166:O166,"△")&gt;0,"△ 修正して再審査","◎ 候補リスト")))))))</f>
        <v/>
      </c>
      <c r="Q166" s="85" t="n"/>
      <c r="R166" s="85" t="n"/>
      <c r="S166" s="85" t="n"/>
      <c r="T166" s="84">
        <f>IF(COUNT(Q166:S166)&lt;3,"",Q166+(11-R166)+S166)</f>
        <v/>
      </c>
      <c r="U166" s="85" t="n"/>
      <c r="V166" s="86" t="n"/>
      <c r="W166" s="87">
        <f>IF(AND(P166="◎ 候補リスト",U166&lt;&gt;"ボツ",U166&lt;&gt;"制作済み",T166&lt;&gt;"",OR('②候補ランキング'!$C$5="すべて",B166='②候補ランキング'!$C$5)),IF('②候補ランキング'!$C$4="ワクワク",Q166,IF('②候補ランキング'!$C$4="手軽さ",11-R166,IF('②候補ランキング'!$C$4="確信度",S166,T166)))*1000+T166+(1000-A166)/10000,"")</f>
        <v/>
      </c>
    </row>
    <row r="167" ht="18" customHeight="1" s="35">
      <c r="A167" s="84">
        <f>IF(C167="","",ROW()-5)</f>
        <v/>
      </c>
      <c r="B167" s="85" t="n"/>
      <c r="C167" s="86" t="n"/>
      <c r="D167" s="86" t="n"/>
      <c r="E167" s="85" t="n"/>
      <c r="F167" s="86" t="n"/>
      <c r="G167" s="86" t="n"/>
      <c r="H167" s="86" t="n"/>
      <c r="I167" s="86" t="n"/>
      <c r="J167" s="85" t="n"/>
      <c r="K167" s="85" t="n"/>
      <c r="L167" s="85" t="n"/>
      <c r="M167" s="85" t="n"/>
      <c r="N167" s="85" t="n"/>
      <c r="O167" s="85" t="n"/>
      <c r="P167" s="84">
        <f>IF(C167="","",IF(OR(E167="",E167="未検証"),"① STEP1待ち",IF(E167="不通過","✕ STEP1不通過",IF(OR(G167="",H167=""),"② STEP2-3 未記入",IF(COUNTIF(J167:O167,"×")&gt;0,"✕ ボツ候補",IF(COUNTA(J167:O167)&lt;6,"③ STEP4 審査待ち",IF(COUNTIF(J167:O167,"△")&gt;0,"△ 修正して再審査","◎ 候補リスト")))))))</f>
        <v/>
      </c>
      <c r="Q167" s="85" t="n"/>
      <c r="R167" s="85" t="n"/>
      <c r="S167" s="85" t="n"/>
      <c r="T167" s="84">
        <f>IF(COUNT(Q167:S167)&lt;3,"",Q167+(11-R167)+S167)</f>
        <v/>
      </c>
      <c r="U167" s="85" t="n"/>
      <c r="V167" s="86" t="n"/>
      <c r="W167" s="87">
        <f>IF(AND(P167="◎ 候補リスト",U167&lt;&gt;"ボツ",U167&lt;&gt;"制作済み",T167&lt;&gt;"",OR('②候補ランキング'!$C$5="すべて",B167='②候補ランキング'!$C$5)),IF('②候補ランキング'!$C$4="ワクワク",Q167,IF('②候補ランキング'!$C$4="手軽さ",11-R167,IF('②候補ランキング'!$C$4="確信度",S167,T167)))*1000+T167+(1000-A167)/10000,"")</f>
        <v/>
      </c>
    </row>
    <row r="168" ht="18" customHeight="1" s="35">
      <c r="A168" s="84">
        <f>IF(C168="","",ROW()-5)</f>
        <v/>
      </c>
      <c r="B168" s="85" t="n"/>
      <c r="C168" s="86" t="n"/>
      <c r="D168" s="86" t="n"/>
      <c r="E168" s="85" t="n"/>
      <c r="F168" s="86" t="n"/>
      <c r="G168" s="86" t="n"/>
      <c r="H168" s="86" t="n"/>
      <c r="I168" s="86" t="n"/>
      <c r="J168" s="85" t="n"/>
      <c r="K168" s="85" t="n"/>
      <c r="L168" s="85" t="n"/>
      <c r="M168" s="85" t="n"/>
      <c r="N168" s="85" t="n"/>
      <c r="O168" s="85" t="n"/>
      <c r="P168" s="84">
        <f>IF(C168="","",IF(OR(E168="",E168="未検証"),"① STEP1待ち",IF(E168="不通過","✕ STEP1不通過",IF(OR(G168="",H168=""),"② STEP2-3 未記入",IF(COUNTIF(J168:O168,"×")&gt;0,"✕ ボツ候補",IF(COUNTA(J168:O168)&lt;6,"③ STEP4 審査待ち",IF(COUNTIF(J168:O168,"△")&gt;0,"△ 修正して再審査","◎ 候補リスト")))))))</f>
        <v/>
      </c>
      <c r="Q168" s="85" t="n"/>
      <c r="R168" s="85" t="n"/>
      <c r="S168" s="85" t="n"/>
      <c r="T168" s="84">
        <f>IF(COUNT(Q168:S168)&lt;3,"",Q168+(11-R168)+S168)</f>
        <v/>
      </c>
      <c r="U168" s="85" t="n"/>
      <c r="V168" s="86" t="n"/>
      <c r="W168" s="87">
        <f>IF(AND(P168="◎ 候補リスト",U168&lt;&gt;"ボツ",U168&lt;&gt;"制作済み",T168&lt;&gt;"",OR('②候補ランキング'!$C$5="すべて",B168='②候補ランキング'!$C$5)),IF('②候補ランキング'!$C$4="ワクワク",Q168,IF('②候補ランキング'!$C$4="手軽さ",11-R168,IF('②候補ランキング'!$C$4="確信度",S168,T168)))*1000+T168+(1000-A168)/10000,"")</f>
        <v/>
      </c>
    </row>
    <row r="169" ht="18" customHeight="1" s="35">
      <c r="A169" s="84">
        <f>IF(C169="","",ROW()-5)</f>
        <v/>
      </c>
      <c r="B169" s="85" t="n"/>
      <c r="C169" s="86" t="n"/>
      <c r="D169" s="86" t="n"/>
      <c r="E169" s="85" t="n"/>
      <c r="F169" s="86" t="n"/>
      <c r="G169" s="86" t="n"/>
      <c r="H169" s="86" t="n"/>
      <c r="I169" s="86" t="n"/>
      <c r="J169" s="85" t="n"/>
      <c r="K169" s="85" t="n"/>
      <c r="L169" s="85" t="n"/>
      <c r="M169" s="85" t="n"/>
      <c r="N169" s="85" t="n"/>
      <c r="O169" s="85" t="n"/>
      <c r="P169" s="84">
        <f>IF(C169="","",IF(OR(E169="",E169="未検証"),"① STEP1待ち",IF(E169="不通過","✕ STEP1不通過",IF(OR(G169="",H169=""),"② STEP2-3 未記入",IF(COUNTIF(J169:O169,"×")&gt;0,"✕ ボツ候補",IF(COUNTA(J169:O169)&lt;6,"③ STEP4 審査待ち",IF(COUNTIF(J169:O169,"△")&gt;0,"△ 修正して再審査","◎ 候補リスト")))))))</f>
        <v/>
      </c>
      <c r="Q169" s="85" t="n"/>
      <c r="R169" s="85" t="n"/>
      <c r="S169" s="85" t="n"/>
      <c r="T169" s="84">
        <f>IF(COUNT(Q169:S169)&lt;3,"",Q169+(11-R169)+S169)</f>
        <v/>
      </c>
      <c r="U169" s="85" t="n"/>
      <c r="V169" s="86" t="n"/>
      <c r="W169" s="87">
        <f>IF(AND(P169="◎ 候補リスト",U169&lt;&gt;"ボツ",U169&lt;&gt;"制作済み",T169&lt;&gt;"",OR('②候補ランキング'!$C$5="すべて",B169='②候補ランキング'!$C$5)),IF('②候補ランキング'!$C$4="ワクワク",Q169,IF('②候補ランキング'!$C$4="手軽さ",11-R169,IF('②候補ランキング'!$C$4="確信度",S169,T169)))*1000+T169+(1000-A169)/10000,"")</f>
        <v/>
      </c>
    </row>
    <row r="170" ht="18" customHeight="1" s="35">
      <c r="A170" s="84">
        <f>IF(C170="","",ROW()-5)</f>
        <v/>
      </c>
      <c r="B170" s="85" t="n"/>
      <c r="C170" s="86" t="n"/>
      <c r="D170" s="86" t="n"/>
      <c r="E170" s="85" t="n"/>
      <c r="F170" s="86" t="n"/>
      <c r="G170" s="86" t="n"/>
      <c r="H170" s="86" t="n"/>
      <c r="I170" s="86" t="n"/>
      <c r="J170" s="85" t="n"/>
      <c r="K170" s="85" t="n"/>
      <c r="L170" s="85" t="n"/>
      <c r="M170" s="85" t="n"/>
      <c r="N170" s="85" t="n"/>
      <c r="O170" s="85" t="n"/>
      <c r="P170" s="84">
        <f>IF(C170="","",IF(OR(E170="",E170="未検証"),"① STEP1待ち",IF(E170="不通過","✕ STEP1不通過",IF(OR(G170="",H170=""),"② STEP2-3 未記入",IF(COUNTIF(J170:O170,"×")&gt;0,"✕ ボツ候補",IF(COUNTA(J170:O170)&lt;6,"③ STEP4 審査待ち",IF(COUNTIF(J170:O170,"△")&gt;0,"△ 修正して再審査","◎ 候補リスト")))))))</f>
        <v/>
      </c>
      <c r="Q170" s="85" t="n"/>
      <c r="R170" s="85" t="n"/>
      <c r="S170" s="85" t="n"/>
      <c r="T170" s="84">
        <f>IF(COUNT(Q170:S170)&lt;3,"",Q170+(11-R170)+S170)</f>
        <v/>
      </c>
      <c r="U170" s="85" t="n"/>
      <c r="V170" s="86" t="n"/>
      <c r="W170" s="87">
        <f>IF(AND(P170="◎ 候補リスト",U170&lt;&gt;"ボツ",U170&lt;&gt;"制作済み",T170&lt;&gt;"",OR('②候補ランキング'!$C$5="すべて",B170='②候補ランキング'!$C$5)),IF('②候補ランキング'!$C$4="ワクワク",Q170,IF('②候補ランキング'!$C$4="手軽さ",11-R170,IF('②候補ランキング'!$C$4="確信度",S170,T170)))*1000+T170+(1000-A170)/10000,"")</f>
        <v/>
      </c>
    </row>
    <row r="171" ht="18" customHeight="1" s="35">
      <c r="A171" s="84">
        <f>IF(C171="","",ROW()-5)</f>
        <v/>
      </c>
      <c r="B171" s="85" t="n"/>
      <c r="C171" s="86" t="n"/>
      <c r="D171" s="86" t="n"/>
      <c r="E171" s="85" t="n"/>
      <c r="F171" s="86" t="n"/>
      <c r="G171" s="86" t="n"/>
      <c r="H171" s="86" t="n"/>
      <c r="I171" s="86" t="n"/>
      <c r="J171" s="85" t="n"/>
      <c r="K171" s="85" t="n"/>
      <c r="L171" s="85" t="n"/>
      <c r="M171" s="85" t="n"/>
      <c r="N171" s="85" t="n"/>
      <c r="O171" s="85" t="n"/>
      <c r="P171" s="84">
        <f>IF(C171="","",IF(OR(E171="",E171="未検証"),"① STEP1待ち",IF(E171="不通過","✕ STEP1不通過",IF(OR(G171="",H171=""),"② STEP2-3 未記入",IF(COUNTIF(J171:O171,"×")&gt;0,"✕ ボツ候補",IF(COUNTA(J171:O171)&lt;6,"③ STEP4 審査待ち",IF(COUNTIF(J171:O171,"△")&gt;0,"△ 修正して再審査","◎ 候補リスト")))))))</f>
        <v/>
      </c>
      <c r="Q171" s="85" t="n"/>
      <c r="R171" s="85" t="n"/>
      <c r="S171" s="85" t="n"/>
      <c r="T171" s="84">
        <f>IF(COUNT(Q171:S171)&lt;3,"",Q171+(11-R171)+S171)</f>
        <v/>
      </c>
      <c r="U171" s="85" t="n"/>
      <c r="V171" s="86" t="n"/>
      <c r="W171" s="87">
        <f>IF(AND(P171="◎ 候補リスト",U171&lt;&gt;"ボツ",U171&lt;&gt;"制作済み",T171&lt;&gt;"",OR('②候補ランキング'!$C$5="すべて",B171='②候補ランキング'!$C$5)),IF('②候補ランキング'!$C$4="ワクワク",Q171,IF('②候補ランキング'!$C$4="手軽さ",11-R171,IF('②候補ランキング'!$C$4="確信度",S171,T171)))*1000+T171+(1000-A171)/10000,"")</f>
        <v/>
      </c>
    </row>
    <row r="172" ht="18" customHeight="1" s="35">
      <c r="A172" s="84">
        <f>IF(C172="","",ROW()-5)</f>
        <v/>
      </c>
      <c r="B172" s="85" t="n"/>
      <c r="C172" s="86" t="n"/>
      <c r="D172" s="86" t="n"/>
      <c r="E172" s="85" t="n"/>
      <c r="F172" s="86" t="n"/>
      <c r="G172" s="86" t="n"/>
      <c r="H172" s="86" t="n"/>
      <c r="I172" s="86" t="n"/>
      <c r="J172" s="85" t="n"/>
      <c r="K172" s="85" t="n"/>
      <c r="L172" s="85" t="n"/>
      <c r="M172" s="85" t="n"/>
      <c r="N172" s="85" t="n"/>
      <c r="O172" s="85" t="n"/>
      <c r="P172" s="84">
        <f>IF(C172="","",IF(OR(E172="",E172="未検証"),"① STEP1待ち",IF(E172="不通過","✕ STEP1不通過",IF(OR(G172="",H172=""),"② STEP2-3 未記入",IF(COUNTIF(J172:O172,"×")&gt;0,"✕ ボツ候補",IF(COUNTA(J172:O172)&lt;6,"③ STEP4 審査待ち",IF(COUNTIF(J172:O172,"△")&gt;0,"△ 修正して再審査","◎ 候補リスト")))))))</f>
        <v/>
      </c>
      <c r="Q172" s="85" t="n"/>
      <c r="R172" s="85" t="n"/>
      <c r="S172" s="85" t="n"/>
      <c r="T172" s="84">
        <f>IF(COUNT(Q172:S172)&lt;3,"",Q172+(11-R172)+S172)</f>
        <v/>
      </c>
      <c r="U172" s="85" t="n"/>
      <c r="V172" s="86" t="n"/>
      <c r="W172" s="87">
        <f>IF(AND(P172="◎ 候補リスト",U172&lt;&gt;"ボツ",U172&lt;&gt;"制作済み",T172&lt;&gt;"",OR('②候補ランキング'!$C$5="すべて",B172='②候補ランキング'!$C$5)),IF('②候補ランキング'!$C$4="ワクワク",Q172,IF('②候補ランキング'!$C$4="手軽さ",11-R172,IF('②候補ランキング'!$C$4="確信度",S172,T172)))*1000+T172+(1000-A172)/10000,"")</f>
        <v/>
      </c>
    </row>
    <row r="173" ht="18" customHeight="1" s="35">
      <c r="A173" s="84">
        <f>IF(C173="","",ROW()-5)</f>
        <v/>
      </c>
      <c r="B173" s="85" t="n"/>
      <c r="C173" s="86" t="n"/>
      <c r="D173" s="86" t="n"/>
      <c r="E173" s="85" t="n"/>
      <c r="F173" s="86" t="n"/>
      <c r="G173" s="86" t="n"/>
      <c r="H173" s="86" t="n"/>
      <c r="I173" s="86" t="n"/>
      <c r="J173" s="85" t="n"/>
      <c r="K173" s="85" t="n"/>
      <c r="L173" s="85" t="n"/>
      <c r="M173" s="85" t="n"/>
      <c r="N173" s="85" t="n"/>
      <c r="O173" s="85" t="n"/>
      <c r="P173" s="84">
        <f>IF(C173="","",IF(OR(E173="",E173="未検証"),"① STEP1待ち",IF(E173="不通過","✕ STEP1不通過",IF(OR(G173="",H173=""),"② STEP2-3 未記入",IF(COUNTIF(J173:O173,"×")&gt;0,"✕ ボツ候補",IF(COUNTA(J173:O173)&lt;6,"③ STEP4 審査待ち",IF(COUNTIF(J173:O173,"△")&gt;0,"△ 修正して再審査","◎ 候補リスト")))))))</f>
        <v/>
      </c>
      <c r="Q173" s="85" t="n"/>
      <c r="R173" s="85" t="n"/>
      <c r="S173" s="85" t="n"/>
      <c r="T173" s="84">
        <f>IF(COUNT(Q173:S173)&lt;3,"",Q173+(11-R173)+S173)</f>
        <v/>
      </c>
      <c r="U173" s="85" t="n"/>
      <c r="V173" s="86" t="n"/>
      <c r="W173" s="87">
        <f>IF(AND(P173="◎ 候補リスト",U173&lt;&gt;"ボツ",U173&lt;&gt;"制作済み",T173&lt;&gt;"",OR('②候補ランキング'!$C$5="すべて",B173='②候補ランキング'!$C$5)),IF('②候補ランキング'!$C$4="ワクワク",Q173,IF('②候補ランキング'!$C$4="手軽さ",11-R173,IF('②候補ランキング'!$C$4="確信度",S173,T173)))*1000+T173+(1000-A173)/10000,"")</f>
        <v/>
      </c>
    </row>
    <row r="174" ht="18" customHeight="1" s="35">
      <c r="A174" s="84">
        <f>IF(C174="","",ROW()-5)</f>
        <v/>
      </c>
      <c r="B174" s="85" t="n"/>
      <c r="C174" s="86" t="n"/>
      <c r="D174" s="86" t="n"/>
      <c r="E174" s="85" t="n"/>
      <c r="F174" s="86" t="n"/>
      <c r="G174" s="86" t="n"/>
      <c r="H174" s="86" t="n"/>
      <c r="I174" s="86" t="n"/>
      <c r="J174" s="85" t="n"/>
      <c r="K174" s="85" t="n"/>
      <c r="L174" s="85" t="n"/>
      <c r="M174" s="85" t="n"/>
      <c r="N174" s="85" t="n"/>
      <c r="O174" s="85" t="n"/>
      <c r="P174" s="84">
        <f>IF(C174="","",IF(OR(E174="",E174="未検証"),"① STEP1待ち",IF(E174="不通過","✕ STEP1不通過",IF(OR(G174="",H174=""),"② STEP2-3 未記入",IF(COUNTIF(J174:O174,"×")&gt;0,"✕ ボツ候補",IF(COUNTA(J174:O174)&lt;6,"③ STEP4 審査待ち",IF(COUNTIF(J174:O174,"△")&gt;0,"△ 修正して再審査","◎ 候補リスト")))))))</f>
        <v/>
      </c>
      <c r="Q174" s="85" t="n"/>
      <c r="R174" s="85" t="n"/>
      <c r="S174" s="85" t="n"/>
      <c r="T174" s="84">
        <f>IF(COUNT(Q174:S174)&lt;3,"",Q174+(11-R174)+S174)</f>
        <v/>
      </c>
      <c r="U174" s="85" t="n"/>
      <c r="V174" s="86" t="n"/>
      <c r="W174" s="87">
        <f>IF(AND(P174="◎ 候補リスト",U174&lt;&gt;"ボツ",U174&lt;&gt;"制作済み",T174&lt;&gt;"",OR('②候補ランキング'!$C$5="すべて",B174='②候補ランキング'!$C$5)),IF('②候補ランキング'!$C$4="ワクワク",Q174,IF('②候補ランキング'!$C$4="手軽さ",11-R174,IF('②候補ランキング'!$C$4="確信度",S174,T174)))*1000+T174+(1000-A174)/10000,"")</f>
        <v/>
      </c>
    </row>
    <row r="175" ht="18" customHeight="1" s="35">
      <c r="A175" s="84">
        <f>IF(C175="","",ROW()-5)</f>
        <v/>
      </c>
      <c r="B175" s="85" t="n"/>
      <c r="C175" s="86" t="n"/>
      <c r="D175" s="86" t="n"/>
      <c r="E175" s="85" t="n"/>
      <c r="F175" s="86" t="n"/>
      <c r="G175" s="86" t="n"/>
      <c r="H175" s="86" t="n"/>
      <c r="I175" s="86" t="n"/>
      <c r="J175" s="85" t="n"/>
      <c r="K175" s="85" t="n"/>
      <c r="L175" s="85" t="n"/>
      <c r="M175" s="85" t="n"/>
      <c r="N175" s="85" t="n"/>
      <c r="O175" s="85" t="n"/>
      <c r="P175" s="84">
        <f>IF(C175="","",IF(OR(E175="",E175="未検証"),"① STEP1待ち",IF(E175="不通過","✕ STEP1不通過",IF(OR(G175="",H175=""),"② STEP2-3 未記入",IF(COUNTIF(J175:O175,"×")&gt;0,"✕ ボツ候補",IF(COUNTA(J175:O175)&lt;6,"③ STEP4 審査待ち",IF(COUNTIF(J175:O175,"△")&gt;0,"△ 修正して再審査","◎ 候補リスト")))))))</f>
        <v/>
      </c>
      <c r="Q175" s="85" t="n"/>
      <c r="R175" s="85" t="n"/>
      <c r="S175" s="85" t="n"/>
      <c r="T175" s="84">
        <f>IF(COUNT(Q175:S175)&lt;3,"",Q175+(11-R175)+S175)</f>
        <v/>
      </c>
      <c r="U175" s="85" t="n"/>
      <c r="V175" s="86" t="n"/>
      <c r="W175" s="87">
        <f>IF(AND(P175="◎ 候補リスト",U175&lt;&gt;"ボツ",U175&lt;&gt;"制作済み",T175&lt;&gt;"",OR('②候補ランキング'!$C$5="すべて",B175='②候補ランキング'!$C$5)),IF('②候補ランキング'!$C$4="ワクワク",Q175,IF('②候補ランキング'!$C$4="手軽さ",11-R175,IF('②候補ランキング'!$C$4="確信度",S175,T175)))*1000+T175+(1000-A175)/10000,"")</f>
        <v/>
      </c>
    </row>
    <row r="176" ht="18" customHeight="1" s="35">
      <c r="A176" s="84">
        <f>IF(C176="","",ROW()-5)</f>
        <v/>
      </c>
      <c r="B176" s="85" t="n"/>
      <c r="C176" s="86" t="n"/>
      <c r="D176" s="86" t="n"/>
      <c r="E176" s="85" t="n"/>
      <c r="F176" s="86" t="n"/>
      <c r="G176" s="86" t="n"/>
      <c r="H176" s="86" t="n"/>
      <c r="I176" s="86" t="n"/>
      <c r="J176" s="85" t="n"/>
      <c r="K176" s="85" t="n"/>
      <c r="L176" s="85" t="n"/>
      <c r="M176" s="85" t="n"/>
      <c r="N176" s="85" t="n"/>
      <c r="O176" s="85" t="n"/>
      <c r="P176" s="84">
        <f>IF(C176="","",IF(OR(E176="",E176="未検証"),"① STEP1待ち",IF(E176="不通過","✕ STEP1不通過",IF(OR(G176="",H176=""),"② STEP2-3 未記入",IF(COUNTIF(J176:O176,"×")&gt;0,"✕ ボツ候補",IF(COUNTA(J176:O176)&lt;6,"③ STEP4 審査待ち",IF(COUNTIF(J176:O176,"△")&gt;0,"△ 修正して再審査","◎ 候補リスト")))))))</f>
        <v/>
      </c>
      <c r="Q176" s="85" t="n"/>
      <c r="R176" s="85" t="n"/>
      <c r="S176" s="85" t="n"/>
      <c r="T176" s="84">
        <f>IF(COUNT(Q176:S176)&lt;3,"",Q176+(11-R176)+S176)</f>
        <v/>
      </c>
      <c r="U176" s="85" t="n"/>
      <c r="V176" s="86" t="n"/>
      <c r="W176" s="87">
        <f>IF(AND(P176="◎ 候補リスト",U176&lt;&gt;"ボツ",U176&lt;&gt;"制作済み",T176&lt;&gt;"",OR('②候補ランキング'!$C$5="すべて",B176='②候補ランキング'!$C$5)),IF('②候補ランキング'!$C$4="ワクワク",Q176,IF('②候補ランキング'!$C$4="手軽さ",11-R176,IF('②候補ランキング'!$C$4="確信度",S176,T176)))*1000+T176+(1000-A176)/10000,"")</f>
        <v/>
      </c>
    </row>
    <row r="177" ht="18" customHeight="1" s="35">
      <c r="A177" s="84">
        <f>IF(C177="","",ROW()-5)</f>
        <v/>
      </c>
      <c r="B177" s="85" t="n"/>
      <c r="C177" s="86" t="n"/>
      <c r="D177" s="86" t="n"/>
      <c r="E177" s="85" t="n"/>
      <c r="F177" s="86" t="n"/>
      <c r="G177" s="86" t="n"/>
      <c r="H177" s="86" t="n"/>
      <c r="I177" s="86" t="n"/>
      <c r="J177" s="85" t="n"/>
      <c r="K177" s="85" t="n"/>
      <c r="L177" s="85" t="n"/>
      <c r="M177" s="85" t="n"/>
      <c r="N177" s="85" t="n"/>
      <c r="O177" s="85" t="n"/>
      <c r="P177" s="84">
        <f>IF(C177="","",IF(OR(E177="",E177="未検証"),"① STEP1待ち",IF(E177="不通過","✕ STEP1不通過",IF(OR(G177="",H177=""),"② STEP2-3 未記入",IF(COUNTIF(J177:O177,"×")&gt;0,"✕ ボツ候補",IF(COUNTA(J177:O177)&lt;6,"③ STEP4 審査待ち",IF(COUNTIF(J177:O177,"△")&gt;0,"△ 修正して再審査","◎ 候補リスト")))))))</f>
        <v/>
      </c>
      <c r="Q177" s="85" t="n"/>
      <c r="R177" s="85" t="n"/>
      <c r="S177" s="85" t="n"/>
      <c r="T177" s="84">
        <f>IF(COUNT(Q177:S177)&lt;3,"",Q177+(11-R177)+S177)</f>
        <v/>
      </c>
      <c r="U177" s="85" t="n"/>
      <c r="V177" s="86" t="n"/>
      <c r="W177" s="87">
        <f>IF(AND(P177="◎ 候補リスト",U177&lt;&gt;"ボツ",U177&lt;&gt;"制作済み",T177&lt;&gt;"",OR('②候補ランキング'!$C$5="すべて",B177='②候補ランキング'!$C$5)),IF('②候補ランキング'!$C$4="ワクワク",Q177,IF('②候補ランキング'!$C$4="手軽さ",11-R177,IF('②候補ランキング'!$C$4="確信度",S177,T177)))*1000+T177+(1000-A177)/10000,"")</f>
        <v/>
      </c>
    </row>
    <row r="178" ht="18" customHeight="1" s="35">
      <c r="A178" s="84">
        <f>IF(C178="","",ROW()-5)</f>
        <v/>
      </c>
      <c r="B178" s="85" t="n"/>
      <c r="C178" s="86" t="n"/>
      <c r="D178" s="86" t="n"/>
      <c r="E178" s="85" t="n"/>
      <c r="F178" s="86" t="n"/>
      <c r="G178" s="86" t="n"/>
      <c r="H178" s="86" t="n"/>
      <c r="I178" s="86" t="n"/>
      <c r="J178" s="85" t="n"/>
      <c r="K178" s="85" t="n"/>
      <c r="L178" s="85" t="n"/>
      <c r="M178" s="85" t="n"/>
      <c r="N178" s="85" t="n"/>
      <c r="O178" s="85" t="n"/>
      <c r="P178" s="84">
        <f>IF(C178="","",IF(OR(E178="",E178="未検証"),"① STEP1待ち",IF(E178="不通過","✕ STEP1不通過",IF(OR(G178="",H178=""),"② STEP2-3 未記入",IF(COUNTIF(J178:O178,"×")&gt;0,"✕ ボツ候補",IF(COUNTA(J178:O178)&lt;6,"③ STEP4 審査待ち",IF(COUNTIF(J178:O178,"△")&gt;0,"△ 修正して再審査","◎ 候補リスト")))))))</f>
        <v/>
      </c>
      <c r="Q178" s="85" t="n"/>
      <c r="R178" s="85" t="n"/>
      <c r="S178" s="85" t="n"/>
      <c r="T178" s="84">
        <f>IF(COUNT(Q178:S178)&lt;3,"",Q178+(11-R178)+S178)</f>
        <v/>
      </c>
      <c r="U178" s="85" t="n"/>
      <c r="V178" s="86" t="n"/>
      <c r="W178" s="87">
        <f>IF(AND(P178="◎ 候補リスト",U178&lt;&gt;"ボツ",U178&lt;&gt;"制作済み",T178&lt;&gt;"",OR('②候補ランキング'!$C$5="すべて",B178='②候補ランキング'!$C$5)),IF('②候補ランキング'!$C$4="ワクワク",Q178,IF('②候補ランキング'!$C$4="手軽さ",11-R178,IF('②候補ランキング'!$C$4="確信度",S178,T178)))*1000+T178+(1000-A178)/10000,"")</f>
        <v/>
      </c>
    </row>
    <row r="179" ht="18" customHeight="1" s="35">
      <c r="A179" s="84">
        <f>IF(C179="","",ROW()-5)</f>
        <v/>
      </c>
      <c r="B179" s="85" t="n"/>
      <c r="C179" s="86" t="n"/>
      <c r="D179" s="86" t="n"/>
      <c r="E179" s="85" t="n"/>
      <c r="F179" s="86" t="n"/>
      <c r="G179" s="86" t="n"/>
      <c r="H179" s="86" t="n"/>
      <c r="I179" s="86" t="n"/>
      <c r="J179" s="85" t="n"/>
      <c r="K179" s="85" t="n"/>
      <c r="L179" s="85" t="n"/>
      <c r="M179" s="85" t="n"/>
      <c r="N179" s="85" t="n"/>
      <c r="O179" s="85" t="n"/>
      <c r="P179" s="84">
        <f>IF(C179="","",IF(OR(E179="",E179="未検証"),"① STEP1待ち",IF(E179="不通過","✕ STEP1不通過",IF(OR(G179="",H179=""),"② STEP2-3 未記入",IF(COUNTIF(J179:O179,"×")&gt;0,"✕ ボツ候補",IF(COUNTA(J179:O179)&lt;6,"③ STEP4 審査待ち",IF(COUNTIF(J179:O179,"△")&gt;0,"△ 修正して再審査","◎ 候補リスト")))))))</f>
        <v/>
      </c>
      <c r="Q179" s="85" t="n"/>
      <c r="R179" s="85" t="n"/>
      <c r="S179" s="85" t="n"/>
      <c r="T179" s="84">
        <f>IF(COUNT(Q179:S179)&lt;3,"",Q179+(11-R179)+S179)</f>
        <v/>
      </c>
      <c r="U179" s="85" t="n"/>
      <c r="V179" s="86" t="n"/>
      <c r="W179" s="87">
        <f>IF(AND(P179="◎ 候補リスト",U179&lt;&gt;"ボツ",U179&lt;&gt;"制作済み",T179&lt;&gt;"",OR('②候補ランキング'!$C$5="すべて",B179='②候補ランキング'!$C$5)),IF('②候補ランキング'!$C$4="ワクワク",Q179,IF('②候補ランキング'!$C$4="手軽さ",11-R179,IF('②候補ランキング'!$C$4="確信度",S179,T179)))*1000+T179+(1000-A179)/10000,"")</f>
        <v/>
      </c>
    </row>
    <row r="180" ht="18" customHeight="1" s="35">
      <c r="A180" s="84">
        <f>IF(C180="","",ROW()-5)</f>
        <v/>
      </c>
      <c r="B180" s="85" t="n"/>
      <c r="C180" s="86" t="n"/>
      <c r="D180" s="86" t="n"/>
      <c r="E180" s="85" t="n"/>
      <c r="F180" s="86" t="n"/>
      <c r="G180" s="86" t="n"/>
      <c r="H180" s="86" t="n"/>
      <c r="I180" s="86" t="n"/>
      <c r="J180" s="85" t="n"/>
      <c r="K180" s="85" t="n"/>
      <c r="L180" s="85" t="n"/>
      <c r="M180" s="85" t="n"/>
      <c r="N180" s="85" t="n"/>
      <c r="O180" s="85" t="n"/>
      <c r="P180" s="84">
        <f>IF(C180="","",IF(OR(E180="",E180="未検証"),"① STEP1待ち",IF(E180="不通過","✕ STEP1不通過",IF(OR(G180="",H180=""),"② STEP2-3 未記入",IF(COUNTIF(J180:O180,"×")&gt;0,"✕ ボツ候補",IF(COUNTA(J180:O180)&lt;6,"③ STEP4 審査待ち",IF(COUNTIF(J180:O180,"△")&gt;0,"△ 修正して再審査","◎ 候補リスト")))))))</f>
        <v/>
      </c>
      <c r="Q180" s="85" t="n"/>
      <c r="R180" s="85" t="n"/>
      <c r="S180" s="85" t="n"/>
      <c r="T180" s="84">
        <f>IF(COUNT(Q180:S180)&lt;3,"",Q180+(11-R180)+S180)</f>
        <v/>
      </c>
      <c r="U180" s="85" t="n"/>
      <c r="V180" s="86" t="n"/>
      <c r="W180" s="87">
        <f>IF(AND(P180="◎ 候補リスト",U180&lt;&gt;"ボツ",U180&lt;&gt;"制作済み",T180&lt;&gt;"",OR('②候補ランキング'!$C$5="すべて",B180='②候補ランキング'!$C$5)),IF('②候補ランキング'!$C$4="ワクワク",Q180,IF('②候補ランキング'!$C$4="手軽さ",11-R180,IF('②候補ランキング'!$C$4="確信度",S180,T180)))*1000+T180+(1000-A180)/10000,"")</f>
        <v/>
      </c>
    </row>
    <row r="181" ht="18" customHeight="1" s="35">
      <c r="A181" s="84">
        <f>IF(C181="","",ROW()-5)</f>
        <v/>
      </c>
      <c r="B181" s="85" t="n"/>
      <c r="C181" s="86" t="n"/>
      <c r="D181" s="86" t="n"/>
      <c r="E181" s="85" t="n"/>
      <c r="F181" s="86" t="n"/>
      <c r="G181" s="86" t="n"/>
      <c r="H181" s="86" t="n"/>
      <c r="I181" s="86" t="n"/>
      <c r="J181" s="85" t="n"/>
      <c r="K181" s="85" t="n"/>
      <c r="L181" s="85" t="n"/>
      <c r="M181" s="85" t="n"/>
      <c r="N181" s="85" t="n"/>
      <c r="O181" s="85" t="n"/>
      <c r="P181" s="84">
        <f>IF(C181="","",IF(OR(E181="",E181="未検証"),"① STEP1待ち",IF(E181="不通過","✕ STEP1不通過",IF(OR(G181="",H181=""),"② STEP2-3 未記入",IF(COUNTIF(J181:O181,"×")&gt;0,"✕ ボツ候補",IF(COUNTA(J181:O181)&lt;6,"③ STEP4 審査待ち",IF(COUNTIF(J181:O181,"△")&gt;0,"△ 修正して再審査","◎ 候補リスト")))))))</f>
        <v/>
      </c>
      <c r="Q181" s="85" t="n"/>
      <c r="R181" s="85" t="n"/>
      <c r="S181" s="85" t="n"/>
      <c r="T181" s="84">
        <f>IF(COUNT(Q181:S181)&lt;3,"",Q181+(11-R181)+S181)</f>
        <v/>
      </c>
      <c r="U181" s="85" t="n"/>
      <c r="V181" s="86" t="n"/>
      <c r="W181" s="87">
        <f>IF(AND(P181="◎ 候補リスト",U181&lt;&gt;"ボツ",U181&lt;&gt;"制作済み",T181&lt;&gt;"",OR('②候補ランキング'!$C$5="すべて",B181='②候補ランキング'!$C$5)),IF('②候補ランキング'!$C$4="ワクワク",Q181,IF('②候補ランキング'!$C$4="手軽さ",11-R181,IF('②候補ランキング'!$C$4="確信度",S181,T181)))*1000+T181+(1000-A181)/10000,"")</f>
        <v/>
      </c>
    </row>
    <row r="182" ht="18" customHeight="1" s="35">
      <c r="A182" s="84">
        <f>IF(C182="","",ROW()-5)</f>
        <v/>
      </c>
      <c r="B182" s="85" t="n"/>
      <c r="C182" s="86" t="n"/>
      <c r="D182" s="86" t="n"/>
      <c r="E182" s="85" t="n"/>
      <c r="F182" s="86" t="n"/>
      <c r="G182" s="86" t="n"/>
      <c r="H182" s="86" t="n"/>
      <c r="I182" s="86" t="n"/>
      <c r="J182" s="85" t="n"/>
      <c r="K182" s="85" t="n"/>
      <c r="L182" s="85" t="n"/>
      <c r="M182" s="85" t="n"/>
      <c r="N182" s="85" t="n"/>
      <c r="O182" s="85" t="n"/>
      <c r="P182" s="84">
        <f>IF(C182="","",IF(OR(E182="",E182="未検証"),"① STEP1待ち",IF(E182="不通過","✕ STEP1不通過",IF(OR(G182="",H182=""),"② STEP2-3 未記入",IF(COUNTIF(J182:O182,"×")&gt;0,"✕ ボツ候補",IF(COUNTA(J182:O182)&lt;6,"③ STEP4 審査待ち",IF(COUNTIF(J182:O182,"△")&gt;0,"△ 修正して再審査","◎ 候補リスト")))))))</f>
        <v/>
      </c>
      <c r="Q182" s="85" t="n"/>
      <c r="R182" s="85" t="n"/>
      <c r="S182" s="85" t="n"/>
      <c r="T182" s="84">
        <f>IF(COUNT(Q182:S182)&lt;3,"",Q182+(11-R182)+S182)</f>
        <v/>
      </c>
      <c r="U182" s="85" t="n"/>
      <c r="V182" s="86" t="n"/>
      <c r="W182" s="87">
        <f>IF(AND(P182="◎ 候補リスト",U182&lt;&gt;"ボツ",U182&lt;&gt;"制作済み",T182&lt;&gt;"",OR('②候補ランキング'!$C$5="すべて",B182='②候補ランキング'!$C$5)),IF('②候補ランキング'!$C$4="ワクワク",Q182,IF('②候補ランキング'!$C$4="手軽さ",11-R182,IF('②候補ランキング'!$C$4="確信度",S182,T182)))*1000+T182+(1000-A182)/10000,"")</f>
        <v/>
      </c>
    </row>
    <row r="183" ht="18" customHeight="1" s="35">
      <c r="A183" s="84">
        <f>IF(C183="","",ROW()-5)</f>
        <v/>
      </c>
      <c r="B183" s="85" t="n"/>
      <c r="C183" s="86" t="n"/>
      <c r="D183" s="86" t="n"/>
      <c r="E183" s="85" t="n"/>
      <c r="F183" s="86" t="n"/>
      <c r="G183" s="86" t="n"/>
      <c r="H183" s="86" t="n"/>
      <c r="I183" s="86" t="n"/>
      <c r="J183" s="85" t="n"/>
      <c r="K183" s="85" t="n"/>
      <c r="L183" s="85" t="n"/>
      <c r="M183" s="85" t="n"/>
      <c r="N183" s="85" t="n"/>
      <c r="O183" s="85" t="n"/>
      <c r="P183" s="84">
        <f>IF(C183="","",IF(OR(E183="",E183="未検証"),"① STEP1待ち",IF(E183="不通過","✕ STEP1不通過",IF(OR(G183="",H183=""),"② STEP2-3 未記入",IF(COUNTIF(J183:O183,"×")&gt;0,"✕ ボツ候補",IF(COUNTA(J183:O183)&lt;6,"③ STEP4 審査待ち",IF(COUNTIF(J183:O183,"△")&gt;0,"△ 修正して再審査","◎ 候補リスト")))))))</f>
        <v/>
      </c>
      <c r="Q183" s="85" t="n"/>
      <c r="R183" s="85" t="n"/>
      <c r="S183" s="85" t="n"/>
      <c r="T183" s="84">
        <f>IF(COUNT(Q183:S183)&lt;3,"",Q183+(11-R183)+S183)</f>
        <v/>
      </c>
      <c r="U183" s="85" t="n"/>
      <c r="V183" s="86" t="n"/>
      <c r="W183" s="87">
        <f>IF(AND(P183="◎ 候補リスト",U183&lt;&gt;"ボツ",U183&lt;&gt;"制作済み",T183&lt;&gt;"",OR('②候補ランキング'!$C$5="すべて",B183='②候補ランキング'!$C$5)),IF('②候補ランキング'!$C$4="ワクワク",Q183,IF('②候補ランキング'!$C$4="手軽さ",11-R183,IF('②候補ランキング'!$C$4="確信度",S183,T183)))*1000+T183+(1000-A183)/10000,"")</f>
        <v/>
      </c>
    </row>
    <row r="184" ht="18" customHeight="1" s="35">
      <c r="A184" s="84">
        <f>IF(C184="","",ROW()-5)</f>
        <v/>
      </c>
      <c r="B184" s="85" t="n"/>
      <c r="C184" s="86" t="n"/>
      <c r="D184" s="86" t="n"/>
      <c r="E184" s="85" t="n"/>
      <c r="F184" s="86" t="n"/>
      <c r="G184" s="86" t="n"/>
      <c r="H184" s="86" t="n"/>
      <c r="I184" s="86" t="n"/>
      <c r="J184" s="85" t="n"/>
      <c r="K184" s="85" t="n"/>
      <c r="L184" s="85" t="n"/>
      <c r="M184" s="85" t="n"/>
      <c r="N184" s="85" t="n"/>
      <c r="O184" s="85" t="n"/>
      <c r="P184" s="84">
        <f>IF(C184="","",IF(OR(E184="",E184="未検証"),"① STEP1待ち",IF(E184="不通過","✕ STEP1不通過",IF(OR(G184="",H184=""),"② STEP2-3 未記入",IF(COUNTIF(J184:O184,"×")&gt;0,"✕ ボツ候補",IF(COUNTA(J184:O184)&lt;6,"③ STEP4 審査待ち",IF(COUNTIF(J184:O184,"△")&gt;0,"△ 修正して再審査","◎ 候補リスト")))))))</f>
        <v/>
      </c>
      <c r="Q184" s="85" t="n"/>
      <c r="R184" s="85" t="n"/>
      <c r="S184" s="85" t="n"/>
      <c r="T184" s="84">
        <f>IF(COUNT(Q184:S184)&lt;3,"",Q184+(11-R184)+S184)</f>
        <v/>
      </c>
      <c r="U184" s="85" t="n"/>
      <c r="V184" s="86" t="n"/>
      <c r="W184" s="87">
        <f>IF(AND(P184="◎ 候補リスト",U184&lt;&gt;"ボツ",U184&lt;&gt;"制作済み",T184&lt;&gt;"",OR('②候補ランキング'!$C$5="すべて",B184='②候補ランキング'!$C$5)),IF('②候補ランキング'!$C$4="ワクワク",Q184,IF('②候補ランキング'!$C$4="手軽さ",11-R184,IF('②候補ランキング'!$C$4="確信度",S184,T184)))*1000+T184+(1000-A184)/10000,"")</f>
        <v/>
      </c>
    </row>
    <row r="185" ht="18" customHeight="1" s="35">
      <c r="A185" s="84">
        <f>IF(C185="","",ROW()-5)</f>
        <v/>
      </c>
      <c r="B185" s="85" t="n"/>
      <c r="C185" s="86" t="n"/>
      <c r="D185" s="86" t="n"/>
      <c r="E185" s="85" t="n"/>
      <c r="F185" s="86" t="n"/>
      <c r="G185" s="86" t="n"/>
      <c r="H185" s="86" t="n"/>
      <c r="I185" s="86" t="n"/>
      <c r="J185" s="85" t="n"/>
      <c r="K185" s="85" t="n"/>
      <c r="L185" s="85" t="n"/>
      <c r="M185" s="85" t="n"/>
      <c r="N185" s="85" t="n"/>
      <c r="O185" s="85" t="n"/>
      <c r="P185" s="84">
        <f>IF(C185="","",IF(OR(E185="",E185="未検証"),"① STEP1待ち",IF(E185="不通過","✕ STEP1不通過",IF(OR(G185="",H185=""),"② STEP2-3 未記入",IF(COUNTIF(J185:O185,"×")&gt;0,"✕ ボツ候補",IF(COUNTA(J185:O185)&lt;6,"③ STEP4 審査待ち",IF(COUNTIF(J185:O185,"△")&gt;0,"△ 修正して再審査","◎ 候補リスト")))))))</f>
        <v/>
      </c>
      <c r="Q185" s="85" t="n"/>
      <c r="R185" s="85" t="n"/>
      <c r="S185" s="85" t="n"/>
      <c r="T185" s="84">
        <f>IF(COUNT(Q185:S185)&lt;3,"",Q185+(11-R185)+S185)</f>
        <v/>
      </c>
      <c r="U185" s="85" t="n"/>
      <c r="V185" s="86" t="n"/>
      <c r="W185" s="87">
        <f>IF(AND(P185="◎ 候補リスト",U185&lt;&gt;"ボツ",U185&lt;&gt;"制作済み",T185&lt;&gt;"",OR('②候補ランキング'!$C$5="すべて",B185='②候補ランキング'!$C$5)),IF('②候補ランキング'!$C$4="ワクワク",Q185,IF('②候補ランキング'!$C$4="手軽さ",11-R185,IF('②候補ランキング'!$C$4="確信度",S185,T185)))*1000+T185+(1000-A185)/10000,"")</f>
        <v/>
      </c>
    </row>
    <row r="186" ht="18" customHeight="1" s="35">
      <c r="A186" s="84">
        <f>IF(C186="","",ROW()-5)</f>
        <v/>
      </c>
      <c r="B186" s="85" t="n"/>
      <c r="C186" s="86" t="n"/>
      <c r="D186" s="86" t="n"/>
      <c r="E186" s="85" t="n"/>
      <c r="F186" s="86" t="n"/>
      <c r="G186" s="86" t="n"/>
      <c r="H186" s="86" t="n"/>
      <c r="I186" s="86" t="n"/>
      <c r="J186" s="85" t="n"/>
      <c r="K186" s="85" t="n"/>
      <c r="L186" s="85" t="n"/>
      <c r="M186" s="85" t="n"/>
      <c r="N186" s="85" t="n"/>
      <c r="O186" s="85" t="n"/>
      <c r="P186" s="84">
        <f>IF(C186="","",IF(OR(E186="",E186="未検証"),"① STEP1待ち",IF(E186="不通過","✕ STEP1不通過",IF(OR(G186="",H186=""),"② STEP2-3 未記入",IF(COUNTIF(J186:O186,"×")&gt;0,"✕ ボツ候補",IF(COUNTA(J186:O186)&lt;6,"③ STEP4 審査待ち",IF(COUNTIF(J186:O186,"△")&gt;0,"△ 修正して再審査","◎ 候補リスト")))))))</f>
        <v/>
      </c>
      <c r="Q186" s="85" t="n"/>
      <c r="R186" s="85" t="n"/>
      <c r="S186" s="85" t="n"/>
      <c r="T186" s="84">
        <f>IF(COUNT(Q186:S186)&lt;3,"",Q186+(11-R186)+S186)</f>
        <v/>
      </c>
      <c r="U186" s="85" t="n"/>
      <c r="V186" s="86" t="n"/>
      <c r="W186" s="87">
        <f>IF(AND(P186="◎ 候補リスト",U186&lt;&gt;"ボツ",U186&lt;&gt;"制作済み",T186&lt;&gt;"",OR('②候補ランキング'!$C$5="すべて",B186='②候補ランキング'!$C$5)),IF('②候補ランキング'!$C$4="ワクワク",Q186,IF('②候補ランキング'!$C$4="手軽さ",11-R186,IF('②候補ランキング'!$C$4="確信度",S186,T186)))*1000+T186+(1000-A186)/10000,"")</f>
        <v/>
      </c>
    </row>
    <row r="187" ht="18" customHeight="1" s="35">
      <c r="A187" s="84">
        <f>IF(C187="","",ROW()-5)</f>
        <v/>
      </c>
      <c r="B187" s="85" t="n"/>
      <c r="C187" s="86" t="n"/>
      <c r="D187" s="86" t="n"/>
      <c r="E187" s="85" t="n"/>
      <c r="F187" s="86" t="n"/>
      <c r="G187" s="86" t="n"/>
      <c r="H187" s="86" t="n"/>
      <c r="I187" s="86" t="n"/>
      <c r="J187" s="85" t="n"/>
      <c r="K187" s="85" t="n"/>
      <c r="L187" s="85" t="n"/>
      <c r="M187" s="85" t="n"/>
      <c r="N187" s="85" t="n"/>
      <c r="O187" s="85" t="n"/>
      <c r="P187" s="84">
        <f>IF(C187="","",IF(OR(E187="",E187="未検証"),"① STEP1待ち",IF(E187="不通過","✕ STEP1不通過",IF(OR(G187="",H187=""),"② STEP2-3 未記入",IF(COUNTIF(J187:O187,"×")&gt;0,"✕ ボツ候補",IF(COUNTA(J187:O187)&lt;6,"③ STEP4 審査待ち",IF(COUNTIF(J187:O187,"△")&gt;0,"△ 修正して再審査","◎ 候補リスト")))))))</f>
        <v/>
      </c>
      <c r="Q187" s="85" t="n"/>
      <c r="R187" s="85" t="n"/>
      <c r="S187" s="85" t="n"/>
      <c r="T187" s="84">
        <f>IF(COUNT(Q187:S187)&lt;3,"",Q187+(11-R187)+S187)</f>
        <v/>
      </c>
      <c r="U187" s="85" t="n"/>
      <c r="V187" s="86" t="n"/>
      <c r="W187" s="87">
        <f>IF(AND(P187="◎ 候補リスト",U187&lt;&gt;"ボツ",U187&lt;&gt;"制作済み",T187&lt;&gt;"",OR('②候補ランキング'!$C$5="すべて",B187='②候補ランキング'!$C$5)),IF('②候補ランキング'!$C$4="ワクワク",Q187,IF('②候補ランキング'!$C$4="手軽さ",11-R187,IF('②候補ランキング'!$C$4="確信度",S187,T187)))*1000+T187+(1000-A187)/10000,"")</f>
        <v/>
      </c>
    </row>
    <row r="188" ht="18" customHeight="1" s="35">
      <c r="A188" s="84">
        <f>IF(C188="","",ROW()-5)</f>
        <v/>
      </c>
      <c r="B188" s="85" t="n"/>
      <c r="C188" s="86" t="n"/>
      <c r="D188" s="86" t="n"/>
      <c r="E188" s="85" t="n"/>
      <c r="F188" s="86" t="n"/>
      <c r="G188" s="86" t="n"/>
      <c r="H188" s="86" t="n"/>
      <c r="I188" s="86" t="n"/>
      <c r="J188" s="85" t="n"/>
      <c r="K188" s="85" t="n"/>
      <c r="L188" s="85" t="n"/>
      <c r="M188" s="85" t="n"/>
      <c r="N188" s="85" t="n"/>
      <c r="O188" s="85" t="n"/>
      <c r="P188" s="84">
        <f>IF(C188="","",IF(OR(E188="",E188="未検証"),"① STEP1待ち",IF(E188="不通過","✕ STEP1不通過",IF(OR(G188="",H188=""),"② STEP2-3 未記入",IF(COUNTIF(J188:O188,"×")&gt;0,"✕ ボツ候補",IF(COUNTA(J188:O188)&lt;6,"③ STEP4 審査待ち",IF(COUNTIF(J188:O188,"△")&gt;0,"△ 修正して再審査","◎ 候補リスト")))))))</f>
        <v/>
      </c>
      <c r="Q188" s="85" t="n"/>
      <c r="R188" s="85" t="n"/>
      <c r="S188" s="85" t="n"/>
      <c r="T188" s="84">
        <f>IF(COUNT(Q188:S188)&lt;3,"",Q188+(11-R188)+S188)</f>
        <v/>
      </c>
      <c r="U188" s="85" t="n"/>
      <c r="V188" s="86" t="n"/>
      <c r="W188" s="87">
        <f>IF(AND(P188="◎ 候補リスト",U188&lt;&gt;"ボツ",U188&lt;&gt;"制作済み",T188&lt;&gt;"",OR('②候補ランキング'!$C$5="すべて",B188='②候補ランキング'!$C$5)),IF('②候補ランキング'!$C$4="ワクワク",Q188,IF('②候補ランキング'!$C$4="手軽さ",11-R188,IF('②候補ランキング'!$C$4="確信度",S188,T188)))*1000+T188+(1000-A188)/10000,"")</f>
        <v/>
      </c>
    </row>
    <row r="189" ht="18" customHeight="1" s="35">
      <c r="A189" s="84">
        <f>IF(C189="","",ROW()-5)</f>
        <v/>
      </c>
      <c r="B189" s="85" t="n"/>
      <c r="C189" s="86" t="n"/>
      <c r="D189" s="86" t="n"/>
      <c r="E189" s="85" t="n"/>
      <c r="F189" s="86" t="n"/>
      <c r="G189" s="86" t="n"/>
      <c r="H189" s="86" t="n"/>
      <c r="I189" s="86" t="n"/>
      <c r="J189" s="85" t="n"/>
      <c r="K189" s="85" t="n"/>
      <c r="L189" s="85" t="n"/>
      <c r="M189" s="85" t="n"/>
      <c r="N189" s="85" t="n"/>
      <c r="O189" s="85" t="n"/>
      <c r="P189" s="84">
        <f>IF(C189="","",IF(OR(E189="",E189="未検証"),"① STEP1待ち",IF(E189="不通過","✕ STEP1不通過",IF(OR(G189="",H189=""),"② STEP2-3 未記入",IF(COUNTIF(J189:O189,"×")&gt;0,"✕ ボツ候補",IF(COUNTA(J189:O189)&lt;6,"③ STEP4 審査待ち",IF(COUNTIF(J189:O189,"△")&gt;0,"△ 修正して再審査","◎ 候補リスト")))))))</f>
        <v/>
      </c>
      <c r="Q189" s="85" t="n"/>
      <c r="R189" s="85" t="n"/>
      <c r="S189" s="85" t="n"/>
      <c r="T189" s="84">
        <f>IF(COUNT(Q189:S189)&lt;3,"",Q189+(11-R189)+S189)</f>
        <v/>
      </c>
      <c r="U189" s="85" t="n"/>
      <c r="V189" s="86" t="n"/>
      <c r="W189" s="87">
        <f>IF(AND(P189="◎ 候補リスト",U189&lt;&gt;"ボツ",U189&lt;&gt;"制作済み",T189&lt;&gt;"",OR('②候補ランキング'!$C$5="すべて",B189='②候補ランキング'!$C$5)),IF('②候補ランキング'!$C$4="ワクワク",Q189,IF('②候補ランキング'!$C$4="手軽さ",11-R189,IF('②候補ランキング'!$C$4="確信度",S189,T189)))*1000+T189+(1000-A189)/10000,"")</f>
        <v/>
      </c>
    </row>
    <row r="190" ht="18" customHeight="1" s="35">
      <c r="A190" s="84">
        <f>IF(C190="","",ROW()-5)</f>
        <v/>
      </c>
      <c r="B190" s="85" t="n"/>
      <c r="C190" s="86" t="n"/>
      <c r="D190" s="86" t="n"/>
      <c r="E190" s="85" t="n"/>
      <c r="F190" s="86" t="n"/>
      <c r="G190" s="86" t="n"/>
      <c r="H190" s="86" t="n"/>
      <c r="I190" s="86" t="n"/>
      <c r="J190" s="85" t="n"/>
      <c r="K190" s="85" t="n"/>
      <c r="L190" s="85" t="n"/>
      <c r="M190" s="85" t="n"/>
      <c r="N190" s="85" t="n"/>
      <c r="O190" s="85" t="n"/>
      <c r="P190" s="84">
        <f>IF(C190="","",IF(OR(E190="",E190="未検証"),"① STEP1待ち",IF(E190="不通過","✕ STEP1不通過",IF(OR(G190="",H190=""),"② STEP2-3 未記入",IF(COUNTIF(J190:O190,"×")&gt;0,"✕ ボツ候補",IF(COUNTA(J190:O190)&lt;6,"③ STEP4 審査待ち",IF(COUNTIF(J190:O190,"△")&gt;0,"△ 修正して再審査","◎ 候補リスト")))))))</f>
        <v/>
      </c>
      <c r="Q190" s="85" t="n"/>
      <c r="R190" s="85" t="n"/>
      <c r="S190" s="85" t="n"/>
      <c r="T190" s="84">
        <f>IF(COUNT(Q190:S190)&lt;3,"",Q190+(11-R190)+S190)</f>
        <v/>
      </c>
      <c r="U190" s="85" t="n"/>
      <c r="V190" s="86" t="n"/>
      <c r="W190" s="87">
        <f>IF(AND(P190="◎ 候補リスト",U190&lt;&gt;"ボツ",U190&lt;&gt;"制作済み",T190&lt;&gt;"",OR('②候補ランキング'!$C$5="すべて",B190='②候補ランキング'!$C$5)),IF('②候補ランキング'!$C$4="ワクワク",Q190,IF('②候補ランキング'!$C$4="手軽さ",11-R190,IF('②候補ランキング'!$C$4="確信度",S190,T190)))*1000+T190+(1000-A190)/10000,"")</f>
        <v/>
      </c>
    </row>
    <row r="191" ht="18" customHeight="1" s="35">
      <c r="A191" s="84">
        <f>IF(C191="","",ROW()-5)</f>
        <v/>
      </c>
      <c r="B191" s="85" t="n"/>
      <c r="C191" s="86" t="n"/>
      <c r="D191" s="86" t="n"/>
      <c r="E191" s="85" t="n"/>
      <c r="F191" s="86" t="n"/>
      <c r="G191" s="86" t="n"/>
      <c r="H191" s="86" t="n"/>
      <c r="I191" s="86" t="n"/>
      <c r="J191" s="85" t="n"/>
      <c r="K191" s="85" t="n"/>
      <c r="L191" s="85" t="n"/>
      <c r="M191" s="85" t="n"/>
      <c r="N191" s="85" t="n"/>
      <c r="O191" s="85" t="n"/>
      <c r="P191" s="84">
        <f>IF(C191="","",IF(OR(E191="",E191="未検証"),"① STEP1待ち",IF(E191="不通過","✕ STEP1不通過",IF(OR(G191="",H191=""),"② STEP2-3 未記入",IF(COUNTIF(J191:O191,"×")&gt;0,"✕ ボツ候補",IF(COUNTA(J191:O191)&lt;6,"③ STEP4 審査待ち",IF(COUNTIF(J191:O191,"△")&gt;0,"△ 修正して再審査","◎ 候補リスト")))))))</f>
        <v/>
      </c>
      <c r="Q191" s="85" t="n"/>
      <c r="R191" s="85" t="n"/>
      <c r="S191" s="85" t="n"/>
      <c r="T191" s="84">
        <f>IF(COUNT(Q191:S191)&lt;3,"",Q191+(11-R191)+S191)</f>
        <v/>
      </c>
      <c r="U191" s="85" t="n"/>
      <c r="V191" s="86" t="n"/>
      <c r="W191" s="87">
        <f>IF(AND(P191="◎ 候補リスト",U191&lt;&gt;"ボツ",U191&lt;&gt;"制作済み",T191&lt;&gt;"",OR('②候補ランキング'!$C$5="すべて",B191='②候補ランキング'!$C$5)),IF('②候補ランキング'!$C$4="ワクワク",Q191,IF('②候補ランキング'!$C$4="手軽さ",11-R191,IF('②候補ランキング'!$C$4="確信度",S191,T191)))*1000+T191+(1000-A191)/10000,"")</f>
        <v/>
      </c>
    </row>
    <row r="192" ht="18" customHeight="1" s="35">
      <c r="A192" s="84">
        <f>IF(C192="","",ROW()-5)</f>
        <v/>
      </c>
      <c r="B192" s="85" t="n"/>
      <c r="C192" s="86" t="n"/>
      <c r="D192" s="86" t="n"/>
      <c r="E192" s="85" t="n"/>
      <c r="F192" s="86" t="n"/>
      <c r="G192" s="86" t="n"/>
      <c r="H192" s="86" t="n"/>
      <c r="I192" s="86" t="n"/>
      <c r="J192" s="85" t="n"/>
      <c r="K192" s="85" t="n"/>
      <c r="L192" s="85" t="n"/>
      <c r="M192" s="85" t="n"/>
      <c r="N192" s="85" t="n"/>
      <c r="O192" s="85" t="n"/>
      <c r="P192" s="84">
        <f>IF(C192="","",IF(OR(E192="",E192="未検証"),"① STEP1待ち",IF(E192="不通過","✕ STEP1不通過",IF(OR(G192="",H192=""),"② STEP2-3 未記入",IF(COUNTIF(J192:O192,"×")&gt;0,"✕ ボツ候補",IF(COUNTA(J192:O192)&lt;6,"③ STEP4 審査待ち",IF(COUNTIF(J192:O192,"△")&gt;0,"△ 修正して再審査","◎ 候補リスト")))))))</f>
        <v/>
      </c>
      <c r="Q192" s="85" t="n"/>
      <c r="R192" s="85" t="n"/>
      <c r="S192" s="85" t="n"/>
      <c r="T192" s="84">
        <f>IF(COUNT(Q192:S192)&lt;3,"",Q192+(11-R192)+S192)</f>
        <v/>
      </c>
      <c r="U192" s="85" t="n"/>
      <c r="V192" s="86" t="n"/>
      <c r="W192" s="87">
        <f>IF(AND(P192="◎ 候補リスト",U192&lt;&gt;"ボツ",U192&lt;&gt;"制作済み",T192&lt;&gt;"",OR('②候補ランキング'!$C$5="すべて",B192='②候補ランキング'!$C$5)),IF('②候補ランキング'!$C$4="ワクワク",Q192,IF('②候補ランキング'!$C$4="手軽さ",11-R192,IF('②候補ランキング'!$C$4="確信度",S192,T192)))*1000+T192+(1000-A192)/10000,"")</f>
        <v/>
      </c>
    </row>
    <row r="193" ht="18" customHeight="1" s="35">
      <c r="A193" s="84">
        <f>IF(C193="","",ROW()-5)</f>
        <v/>
      </c>
      <c r="B193" s="85" t="n"/>
      <c r="C193" s="86" t="n"/>
      <c r="D193" s="86" t="n"/>
      <c r="E193" s="85" t="n"/>
      <c r="F193" s="86" t="n"/>
      <c r="G193" s="86" t="n"/>
      <c r="H193" s="86" t="n"/>
      <c r="I193" s="86" t="n"/>
      <c r="J193" s="85" t="n"/>
      <c r="K193" s="85" t="n"/>
      <c r="L193" s="85" t="n"/>
      <c r="M193" s="85" t="n"/>
      <c r="N193" s="85" t="n"/>
      <c r="O193" s="85" t="n"/>
      <c r="P193" s="84">
        <f>IF(C193="","",IF(OR(E193="",E193="未検証"),"① STEP1待ち",IF(E193="不通過","✕ STEP1不通過",IF(OR(G193="",H193=""),"② STEP2-3 未記入",IF(COUNTIF(J193:O193,"×")&gt;0,"✕ ボツ候補",IF(COUNTA(J193:O193)&lt;6,"③ STEP4 審査待ち",IF(COUNTIF(J193:O193,"△")&gt;0,"△ 修正して再審査","◎ 候補リスト")))))))</f>
        <v/>
      </c>
      <c r="Q193" s="85" t="n"/>
      <c r="R193" s="85" t="n"/>
      <c r="S193" s="85" t="n"/>
      <c r="T193" s="84">
        <f>IF(COUNT(Q193:S193)&lt;3,"",Q193+(11-R193)+S193)</f>
        <v/>
      </c>
      <c r="U193" s="85" t="n"/>
      <c r="V193" s="86" t="n"/>
      <c r="W193" s="87">
        <f>IF(AND(P193="◎ 候補リスト",U193&lt;&gt;"ボツ",U193&lt;&gt;"制作済み",T193&lt;&gt;"",OR('②候補ランキング'!$C$5="すべて",B193='②候補ランキング'!$C$5)),IF('②候補ランキング'!$C$4="ワクワク",Q193,IF('②候補ランキング'!$C$4="手軽さ",11-R193,IF('②候補ランキング'!$C$4="確信度",S193,T193)))*1000+T193+(1000-A193)/10000,"")</f>
        <v/>
      </c>
    </row>
    <row r="194" ht="18" customHeight="1" s="35">
      <c r="A194" s="84">
        <f>IF(C194="","",ROW()-5)</f>
        <v/>
      </c>
      <c r="B194" s="85" t="n"/>
      <c r="C194" s="86" t="n"/>
      <c r="D194" s="86" t="n"/>
      <c r="E194" s="85" t="n"/>
      <c r="F194" s="86" t="n"/>
      <c r="G194" s="86" t="n"/>
      <c r="H194" s="86" t="n"/>
      <c r="I194" s="86" t="n"/>
      <c r="J194" s="85" t="n"/>
      <c r="K194" s="85" t="n"/>
      <c r="L194" s="85" t="n"/>
      <c r="M194" s="85" t="n"/>
      <c r="N194" s="85" t="n"/>
      <c r="O194" s="85" t="n"/>
      <c r="P194" s="84">
        <f>IF(C194="","",IF(OR(E194="",E194="未検証"),"① STEP1待ち",IF(E194="不通過","✕ STEP1不通過",IF(OR(G194="",H194=""),"② STEP2-3 未記入",IF(COUNTIF(J194:O194,"×")&gt;0,"✕ ボツ候補",IF(COUNTA(J194:O194)&lt;6,"③ STEP4 審査待ち",IF(COUNTIF(J194:O194,"△")&gt;0,"△ 修正して再審査","◎ 候補リスト")))))))</f>
        <v/>
      </c>
      <c r="Q194" s="85" t="n"/>
      <c r="R194" s="85" t="n"/>
      <c r="S194" s="85" t="n"/>
      <c r="T194" s="84">
        <f>IF(COUNT(Q194:S194)&lt;3,"",Q194+(11-R194)+S194)</f>
        <v/>
      </c>
      <c r="U194" s="85" t="n"/>
      <c r="V194" s="86" t="n"/>
      <c r="W194" s="87">
        <f>IF(AND(P194="◎ 候補リスト",U194&lt;&gt;"ボツ",U194&lt;&gt;"制作済み",T194&lt;&gt;"",OR('②候補ランキング'!$C$5="すべて",B194='②候補ランキング'!$C$5)),IF('②候補ランキング'!$C$4="ワクワク",Q194,IF('②候補ランキング'!$C$4="手軽さ",11-R194,IF('②候補ランキング'!$C$4="確信度",S194,T194)))*1000+T194+(1000-A194)/10000,"")</f>
        <v/>
      </c>
    </row>
    <row r="195" ht="18" customHeight="1" s="35">
      <c r="A195" s="84">
        <f>IF(C195="","",ROW()-5)</f>
        <v/>
      </c>
      <c r="B195" s="85" t="n"/>
      <c r="C195" s="86" t="n"/>
      <c r="D195" s="86" t="n"/>
      <c r="E195" s="85" t="n"/>
      <c r="F195" s="86" t="n"/>
      <c r="G195" s="86" t="n"/>
      <c r="H195" s="86" t="n"/>
      <c r="I195" s="86" t="n"/>
      <c r="J195" s="85" t="n"/>
      <c r="K195" s="85" t="n"/>
      <c r="L195" s="85" t="n"/>
      <c r="M195" s="85" t="n"/>
      <c r="N195" s="85" t="n"/>
      <c r="O195" s="85" t="n"/>
      <c r="P195" s="84">
        <f>IF(C195="","",IF(OR(E195="",E195="未検証"),"① STEP1待ち",IF(E195="不通過","✕ STEP1不通過",IF(OR(G195="",H195=""),"② STEP2-3 未記入",IF(COUNTIF(J195:O195,"×")&gt;0,"✕ ボツ候補",IF(COUNTA(J195:O195)&lt;6,"③ STEP4 審査待ち",IF(COUNTIF(J195:O195,"△")&gt;0,"△ 修正して再審査","◎ 候補リスト")))))))</f>
        <v/>
      </c>
      <c r="Q195" s="85" t="n"/>
      <c r="R195" s="85" t="n"/>
      <c r="S195" s="85" t="n"/>
      <c r="T195" s="84">
        <f>IF(COUNT(Q195:S195)&lt;3,"",Q195+(11-R195)+S195)</f>
        <v/>
      </c>
      <c r="U195" s="85" t="n"/>
      <c r="V195" s="86" t="n"/>
      <c r="W195" s="87">
        <f>IF(AND(P195="◎ 候補リスト",U195&lt;&gt;"ボツ",U195&lt;&gt;"制作済み",T195&lt;&gt;"",OR('②候補ランキング'!$C$5="すべて",B195='②候補ランキング'!$C$5)),IF('②候補ランキング'!$C$4="ワクワク",Q195,IF('②候補ランキング'!$C$4="手軽さ",11-R195,IF('②候補ランキング'!$C$4="確信度",S195,T195)))*1000+T195+(1000-A195)/10000,"")</f>
        <v/>
      </c>
    </row>
    <row r="196" ht="18" customHeight="1" s="35">
      <c r="A196" s="84">
        <f>IF(C196="","",ROW()-5)</f>
        <v/>
      </c>
      <c r="B196" s="85" t="n"/>
      <c r="C196" s="86" t="n"/>
      <c r="D196" s="86" t="n"/>
      <c r="E196" s="85" t="n"/>
      <c r="F196" s="86" t="n"/>
      <c r="G196" s="86" t="n"/>
      <c r="H196" s="86" t="n"/>
      <c r="I196" s="86" t="n"/>
      <c r="J196" s="85" t="n"/>
      <c r="K196" s="85" t="n"/>
      <c r="L196" s="85" t="n"/>
      <c r="M196" s="85" t="n"/>
      <c r="N196" s="85" t="n"/>
      <c r="O196" s="85" t="n"/>
      <c r="P196" s="84">
        <f>IF(C196="","",IF(OR(E196="",E196="未検証"),"① STEP1待ち",IF(E196="不通過","✕ STEP1不通過",IF(OR(G196="",H196=""),"② STEP2-3 未記入",IF(COUNTIF(J196:O196,"×")&gt;0,"✕ ボツ候補",IF(COUNTA(J196:O196)&lt;6,"③ STEP4 審査待ち",IF(COUNTIF(J196:O196,"△")&gt;0,"△ 修正して再審査","◎ 候補リスト")))))))</f>
        <v/>
      </c>
      <c r="Q196" s="85" t="n"/>
      <c r="R196" s="85" t="n"/>
      <c r="S196" s="85" t="n"/>
      <c r="T196" s="84">
        <f>IF(COUNT(Q196:S196)&lt;3,"",Q196+(11-R196)+S196)</f>
        <v/>
      </c>
      <c r="U196" s="85" t="n"/>
      <c r="V196" s="86" t="n"/>
      <c r="W196" s="87">
        <f>IF(AND(P196="◎ 候補リスト",U196&lt;&gt;"ボツ",U196&lt;&gt;"制作済み",T196&lt;&gt;"",OR('②候補ランキング'!$C$5="すべて",B196='②候補ランキング'!$C$5)),IF('②候補ランキング'!$C$4="ワクワク",Q196,IF('②候補ランキング'!$C$4="手軽さ",11-R196,IF('②候補ランキング'!$C$4="確信度",S196,T196)))*1000+T196+(1000-A196)/10000,"")</f>
        <v/>
      </c>
    </row>
    <row r="197" ht="18" customHeight="1" s="35">
      <c r="A197" s="84">
        <f>IF(C197="","",ROW()-5)</f>
        <v/>
      </c>
      <c r="B197" s="85" t="n"/>
      <c r="C197" s="86" t="n"/>
      <c r="D197" s="86" t="n"/>
      <c r="E197" s="85" t="n"/>
      <c r="F197" s="86" t="n"/>
      <c r="G197" s="86" t="n"/>
      <c r="H197" s="86" t="n"/>
      <c r="I197" s="86" t="n"/>
      <c r="J197" s="85" t="n"/>
      <c r="K197" s="85" t="n"/>
      <c r="L197" s="85" t="n"/>
      <c r="M197" s="85" t="n"/>
      <c r="N197" s="85" t="n"/>
      <c r="O197" s="85" t="n"/>
      <c r="P197" s="84">
        <f>IF(C197="","",IF(OR(E197="",E197="未検証"),"① STEP1待ち",IF(E197="不通過","✕ STEP1不通過",IF(OR(G197="",H197=""),"② STEP2-3 未記入",IF(COUNTIF(J197:O197,"×")&gt;0,"✕ ボツ候補",IF(COUNTA(J197:O197)&lt;6,"③ STEP4 審査待ち",IF(COUNTIF(J197:O197,"△")&gt;0,"△ 修正して再審査","◎ 候補リスト")))))))</f>
        <v/>
      </c>
      <c r="Q197" s="85" t="n"/>
      <c r="R197" s="85" t="n"/>
      <c r="S197" s="85" t="n"/>
      <c r="T197" s="84">
        <f>IF(COUNT(Q197:S197)&lt;3,"",Q197+(11-R197)+S197)</f>
        <v/>
      </c>
      <c r="U197" s="85" t="n"/>
      <c r="V197" s="86" t="n"/>
      <c r="W197" s="87">
        <f>IF(AND(P197="◎ 候補リスト",U197&lt;&gt;"ボツ",U197&lt;&gt;"制作済み",T197&lt;&gt;"",OR('②候補ランキング'!$C$5="すべて",B197='②候補ランキング'!$C$5)),IF('②候補ランキング'!$C$4="ワクワク",Q197,IF('②候補ランキング'!$C$4="手軽さ",11-R197,IF('②候補ランキング'!$C$4="確信度",S197,T197)))*1000+T197+(1000-A197)/10000,"")</f>
        <v/>
      </c>
    </row>
    <row r="198" ht="18" customHeight="1" s="35">
      <c r="A198" s="84">
        <f>IF(C198="","",ROW()-5)</f>
        <v/>
      </c>
      <c r="B198" s="85" t="n"/>
      <c r="C198" s="86" t="n"/>
      <c r="D198" s="86" t="n"/>
      <c r="E198" s="85" t="n"/>
      <c r="F198" s="86" t="n"/>
      <c r="G198" s="86" t="n"/>
      <c r="H198" s="86" t="n"/>
      <c r="I198" s="86" t="n"/>
      <c r="J198" s="85" t="n"/>
      <c r="K198" s="85" t="n"/>
      <c r="L198" s="85" t="n"/>
      <c r="M198" s="85" t="n"/>
      <c r="N198" s="85" t="n"/>
      <c r="O198" s="85" t="n"/>
      <c r="P198" s="84">
        <f>IF(C198="","",IF(OR(E198="",E198="未検証"),"① STEP1待ち",IF(E198="不通過","✕ STEP1不通過",IF(OR(G198="",H198=""),"② STEP2-3 未記入",IF(COUNTIF(J198:O198,"×")&gt;0,"✕ ボツ候補",IF(COUNTA(J198:O198)&lt;6,"③ STEP4 審査待ち",IF(COUNTIF(J198:O198,"△")&gt;0,"△ 修正して再審査","◎ 候補リスト")))))))</f>
        <v/>
      </c>
      <c r="Q198" s="85" t="n"/>
      <c r="R198" s="85" t="n"/>
      <c r="S198" s="85" t="n"/>
      <c r="T198" s="84">
        <f>IF(COUNT(Q198:S198)&lt;3,"",Q198+(11-R198)+S198)</f>
        <v/>
      </c>
      <c r="U198" s="85" t="n"/>
      <c r="V198" s="86" t="n"/>
      <c r="W198" s="87">
        <f>IF(AND(P198="◎ 候補リスト",U198&lt;&gt;"ボツ",U198&lt;&gt;"制作済み",T198&lt;&gt;"",OR('②候補ランキング'!$C$5="すべて",B198='②候補ランキング'!$C$5)),IF('②候補ランキング'!$C$4="ワクワク",Q198,IF('②候補ランキング'!$C$4="手軽さ",11-R198,IF('②候補ランキング'!$C$4="確信度",S198,T198)))*1000+T198+(1000-A198)/10000,"")</f>
        <v/>
      </c>
    </row>
    <row r="199" ht="18" customHeight="1" s="35">
      <c r="A199" s="84">
        <f>IF(C199="","",ROW()-5)</f>
        <v/>
      </c>
      <c r="B199" s="85" t="n"/>
      <c r="C199" s="86" t="n"/>
      <c r="D199" s="86" t="n"/>
      <c r="E199" s="85" t="n"/>
      <c r="F199" s="86" t="n"/>
      <c r="G199" s="86" t="n"/>
      <c r="H199" s="86" t="n"/>
      <c r="I199" s="86" t="n"/>
      <c r="J199" s="85" t="n"/>
      <c r="K199" s="85" t="n"/>
      <c r="L199" s="85" t="n"/>
      <c r="M199" s="85" t="n"/>
      <c r="N199" s="85" t="n"/>
      <c r="O199" s="85" t="n"/>
      <c r="P199" s="84">
        <f>IF(C199="","",IF(OR(E199="",E199="未検証"),"① STEP1待ち",IF(E199="不通過","✕ STEP1不通過",IF(OR(G199="",H199=""),"② STEP2-3 未記入",IF(COUNTIF(J199:O199,"×")&gt;0,"✕ ボツ候補",IF(COUNTA(J199:O199)&lt;6,"③ STEP4 審査待ち",IF(COUNTIF(J199:O199,"△")&gt;0,"△ 修正して再審査","◎ 候補リスト")))))))</f>
        <v/>
      </c>
      <c r="Q199" s="85" t="n"/>
      <c r="R199" s="85" t="n"/>
      <c r="S199" s="85" t="n"/>
      <c r="T199" s="84">
        <f>IF(COUNT(Q199:S199)&lt;3,"",Q199+(11-R199)+S199)</f>
        <v/>
      </c>
      <c r="U199" s="85" t="n"/>
      <c r="V199" s="86" t="n"/>
      <c r="W199" s="87">
        <f>IF(AND(P199="◎ 候補リスト",U199&lt;&gt;"ボツ",U199&lt;&gt;"制作済み",T199&lt;&gt;"",OR('②候補ランキング'!$C$5="すべて",B199='②候補ランキング'!$C$5)),IF('②候補ランキング'!$C$4="ワクワク",Q199,IF('②候補ランキング'!$C$4="手軽さ",11-R199,IF('②候補ランキング'!$C$4="確信度",S199,T199)))*1000+T199+(1000-A199)/10000,"")</f>
        <v/>
      </c>
    </row>
    <row r="200" ht="18" customHeight="1" s="35">
      <c r="A200" s="84">
        <f>IF(C200="","",ROW()-5)</f>
        <v/>
      </c>
      <c r="B200" s="85" t="n"/>
      <c r="C200" s="86" t="n"/>
      <c r="D200" s="86" t="n"/>
      <c r="E200" s="85" t="n"/>
      <c r="F200" s="86" t="n"/>
      <c r="G200" s="86" t="n"/>
      <c r="H200" s="86" t="n"/>
      <c r="I200" s="86" t="n"/>
      <c r="J200" s="85" t="n"/>
      <c r="K200" s="85" t="n"/>
      <c r="L200" s="85" t="n"/>
      <c r="M200" s="85" t="n"/>
      <c r="N200" s="85" t="n"/>
      <c r="O200" s="85" t="n"/>
      <c r="P200" s="84">
        <f>IF(C200="","",IF(OR(E200="",E200="未検証"),"① STEP1待ち",IF(E200="不通過","✕ STEP1不通過",IF(OR(G200="",H200=""),"② STEP2-3 未記入",IF(COUNTIF(J200:O200,"×")&gt;0,"✕ ボツ候補",IF(COUNTA(J200:O200)&lt;6,"③ STEP4 審査待ち",IF(COUNTIF(J200:O200,"△")&gt;0,"△ 修正して再審査","◎ 候補リスト")))))))</f>
        <v/>
      </c>
      <c r="Q200" s="85" t="n"/>
      <c r="R200" s="85" t="n"/>
      <c r="S200" s="85" t="n"/>
      <c r="T200" s="84">
        <f>IF(COUNT(Q200:S200)&lt;3,"",Q200+(11-R200)+S200)</f>
        <v/>
      </c>
      <c r="U200" s="85" t="n"/>
      <c r="V200" s="86" t="n"/>
      <c r="W200" s="87">
        <f>IF(AND(P200="◎ 候補リスト",U200&lt;&gt;"ボツ",U200&lt;&gt;"制作済み",T200&lt;&gt;"",OR('②候補ランキング'!$C$5="すべて",B200='②候補ランキング'!$C$5)),IF('②候補ランキング'!$C$4="ワクワク",Q200,IF('②候補ランキング'!$C$4="手軽さ",11-R200,IF('②候補ランキング'!$C$4="確信度",S200,T200)))*1000+T200+(1000-A200)/10000,"")</f>
        <v/>
      </c>
    </row>
    <row r="201" ht="18" customHeight="1" s="35">
      <c r="A201" s="84">
        <f>IF(C201="","",ROW()-5)</f>
        <v/>
      </c>
      <c r="B201" s="85" t="n"/>
      <c r="C201" s="86" t="n"/>
      <c r="D201" s="86" t="n"/>
      <c r="E201" s="85" t="n"/>
      <c r="F201" s="86" t="n"/>
      <c r="G201" s="86" t="n"/>
      <c r="H201" s="86" t="n"/>
      <c r="I201" s="86" t="n"/>
      <c r="J201" s="85" t="n"/>
      <c r="K201" s="85" t="n"/>
      <c r="L201" s="85" t="n"/>
      <c r="M201" s="85" t="n"/>
      <c r="N201" s="85" t="n"/>
      <c r="O201" s="85" t="n"/>
      <c r="P201" s="84">
        <f>IF(C201="","",IF(OR(E201="",E201="未検証"),"① STEP1待ち",IF(E201="不通過","✕ STEP1不通過",IF(OR(G201="",H201=""),"② STEP2-3 未記入",IF(COUNTIF(J201:O201,"×")&gt;0,"✕ ボツ候補",IF(COUNTA(J201:O201)&lt;6,"③ STEP4 審査待ち",IF(COUNTIF(J201:O201,"△")&gt;0,"△ 修正して再審査","◎ 候補リスト")))))))</f>
        <v/>
      </c>
      <c r="Q201" s="85" t="n"/>
      <c r="R201" s="85" t="n"/>
      <c r="S201" s="85" t="n"/>
      <c r="T201" s="84">
        <f>IF(COUNT(Q201:S201)&lt;3,"",Q201+(11-R201)+S201)</f>
        <v/>
      </c>
      <c r="U201" s="85" t="n"/>
      <c r="V201" s="86" t="n"/>
      <c r="W201" s="87">
        <f>IF(AND(P201="◎ 候補リスト",U201&lt;&gt;"ボツ",U201&lt;&gt;"制作済み",T201&lt;&gt;"",OR('②候補ランキング'!$C$5="すべて",B201='②候補ランキング'!$C$5)),IF('②候補ランキング'!$C$4="ワクワク",Q201,IF('②候補ランキング'!$C$4="手軽さ",11-R201,IF('②候補ランキング'!$C$4="確信度",S201,T201)))*1000+T201+(1000-A201)/10000,"")</f>
        <v/>
      </c>
    </row>
    <row r="202" ht="18" customHeight="1" s="35">
      <c r="A202" s="84">
        <f>IF(C202="","",ROW()-5)</f>
        <v/>
      </c>
      <c r="B202" s="85" t="n"/>
      <c r="C202" s="86" t="n"/>
      <c r="D202" s="86" t="n"/>
      <c r="E202" s="85" t="n"/>
      <c r="F202" s="86" t="n"/>
      <c r="G202" s="86" t="n"/>
      <c r="H202" s="86" t="n"/>
      <c r="I202" s="86" t="n"/>
      <c r="J202" s="85" t="n"/>
      <c r="K202" s="85" t="n"/>
      <c r="L202" s="85" t="n"/>
      <c r="M202" s="85" t="n"/>
      <c r="N202" s="85" t="n"/>
      <c r="O202" s="85" t="n"/>
      <c r="P202" s="84">
        <f>IF(C202="","",IF(OR(E202="",E202="未検証"),"① STEP1待ち",IF(E202="不通過","✕ STEP1不通過",IF(OR(G202="",H202=""),"② STEP2-3 未記入",IF(COUNTIF(J202:O202,"×")&gt;0,"✕ ボツ候補",IF(COUNTA(J202:O202)&lt;6,"③ STEP4 審査待ち",IF(COUNTIF(J202:O202,"△")&gt;0,"△ 修正して再審査","◎ 候補リスト")))))))</f>
        <v/>
      </c>
      <c r="Q202" s="85" t="n"/>
      <c r="R202" s="85" t="n"/>
      <c r="S202" s="85" t="n"/>
      <c r="T202" s="84">
        <f>IF(COUNT(Q202:S202)&lt;3,"",Q202+(11-R202)+S202)</f>
        <v/>
      </c>
      <c r="U202" s="85" t="n"/>
      <c r="V202" s="86" t="n"/>
      <c r="W202" s="87">
        <f>IF(AND(P202="◎ 候補リスト",U202&lt;&gt;"ボツ",U202&lt;&gt;"制作済み",T202&lt;&gt;"",OR('②候補ランキング'!$C$5="すべて",B202='②候補ランキング'!$C$5)),IF('②候補ランキング'!$C$4="ワクワク",Q202,IF('②候補ランキング'!$C$4="手軽さ",11-R202,IF('②候補ランキング'!$C$4="確信度",S202,T202)))*1000+T202+(1000-A202)/10000,"")</f>
        <v/>
      </c>
    </row>
    <row r="203" ht="18" customHeight="1" s="35">
      <c r="A203" s="84">
        <f>IF(C203="","",ROW()-5)</f>
        <v/>
      </c>
      <c r="B203" s="85" t="n"/>
      <c r="C203" s="86" t="n"/>
      <c r="D203" s="86" t="n"/>
      <c r="E203" s="85" t="n"/>
      <c r="F203" s="86" t="n"/>
      <c r="G203" s="86" t="n"/>
      <c r="H203" s="86" t="n"/>
      <c r="I203" s="86" t="n"/>
      <c r="J203" s="85" t="n"/>
      <c r="K203" s="85" t="n"/>
      <c r="L203" s="85" t="n"/>
      <c r="M203" s="85" t="n"/>
      <c r="N203" s="85" t="n"/>
      <c r="O203" s="85" t="n"/>
      <c r="P203" s="84">
        <f>IF(C203="","",IF(OR(E203="",E203="未検証"),"① STEP1待ち",IF(E203="不通過","✕ STEP1不通過",IF(OR(G203="",H203=""),"② STEP2-3 未記入",IF(COUNTIF(J203:O203,"×")&gt;0,"✕ ボツ候補",IF(COUNTA(J203:O203)&lt;6,"③ STEP4 審査待ち",IF(COUNTIF(J203:O203,"△")&gt;0,"△ 修正して再審査","◎ 候補リスト")))))))</f>
        <v/>
      </c>
      <c r="Q203" s="85" t="n"/>
      <c r="R203" s="85" t="n"/>
      <c r="S203" s="85" t="n"/>
      <c r="T203" s="84">
        <f>IF(COUNT(Q203:S203)&lt;3,"",Q203+(11-R203)+S203)</f>
        <v/>
      </c>
      <c r="U203" s="85" t="n"/>
      <c r="V203" s="86" t="n"/>
      <c r="W203" s="87">
        <f>IF(AND(P203="◎ 候補リスト",U203&lt;&gt;"ボツ",U203&lt;&gt;"制作済み",T203&lt;&gt;"",OR('②候補ランキング'!$C$5="すべて",B203='②候補ランキング'!$C$5)),IF('②候補ランキング'!$C$4="ワクワク",Q203,IF('②候補ランキング'!$C$4="手軽さ",11-R203,IF('②候補ランキング'!$C$4="確信度",S203,T203)))*1000+T203+(1000-A203)/10000,"")</f>
        <v/>
      </c>
    </row>
    <row r="204" ht="18" customHeight="1" s="35">
      <c r="A204" s="84">
        <f>IF(C204="","",ROW()-5)</f>
        <v/>
      </c>
      <c r="B204" s="85" t="n"/>
      <c r="C204" s="86" t="n"/>
      <c r="D204" s="86" t="n"/>
      <c r="E204" s="85" t="n"/>
      <c r="F204" s="86" t="n"/>
      <c r="G204" s="86" t="n"/>
      <c r="H204" s="86" t="n"/>
      <c r="I204" s="86" t="n"/>
      <c r="J204" s="85" t="n"/>
      <c r="K204" s="85" t="n"/>
      <c r="L204" s="85" t="n"/>
      <c r="M204" s="85" t="n"/>
      <c r="N204" s="85" t="n"/>
      <c r="O204" s="85" t="n"/>
      <c r="P204" s="84">
        <f>IF(C204="","",IF(OR(E204="",E204="未検証"),"① STEP1待ち",IF(E204="不通過","✕ STEP1不通過",IF(OR(G204="",H204=""),"② STEP2-3 未記入",IF(COUNTIF(J204:O204,"×")&gt;0,"✕ ボツ候補",IF(COUNTA(J204:O204)&lt;6,"③ STEP4 審査待ち",IF(COUNTIF(J204:O204,"△")&gt;0,"△ 修正して再審査","◎ 候補リスト")))))))</f>
        <v/>
      </c>
      <c r="Q204" s="85" t="n"/>
      <c r="R204" s="85" t="n"/>
      <c r="S204" s="85" t="n"/>
      <c r="T204" s="84">
        <f>IF(COUNT(Q204:S204)&lt;3,"",Q204+(11-R204)+S204)</f>
        <v/>
      </c>
      <c r="U204" s="85" t="n"/>
      <c r="V204" s="86" t="n"/>
      <c r="W204" s="87">
        <f>IF(AND(P204="◎ 候補リスト",U204&lt;&gt;"ボツ",U204&lt;&gt;"制作済み",T204&lt;&gt;"",OR('②候補ランキング'!$C$5="すべて",B204='②候補ランキング'!$C$5)),IF('②候補ランキング'!$C$4="ワクワク",Q204,IF('②候補ランキング'!$C$4="手軽さ",11-R204,IF('②候補ランキング'!$C$4="確信度",S204,T204)))*1000+T204+(1000-A204)/10000,"")</f>
        <v/>
      </c>
    </row>
    <row r="205" ht="18" customHeight="1" s="35">
      <c r="A205" s="84">
        <f>IF(C205="","",ROW()-5)</f>
        <v/>
      </c>
      <c r="B205" s="85" t="n"/>
      <c r="C205" s="86" t="n"/>
      <c r="D205" s="86" t="n"/>
      <c r="E205" s="85" t="n"/>
      <c r="F205" s="86" t="n"/>
      <c r="G205" s="86" t="n"/>
      <c r="H205" s="86" t="n"/>
      <c r="I205" s="86" t="n"/>
      <c r="J205" s="85" t="n"/>
      <c r="K205" s="85" t="n"/>
      <c r="L205" s="85" t="n"/>
      <c r="M205" s="85" t="n"/>
      <c r="N205" s="85" t="n"/>
      <c r="O205" s="85" t="n"/>
      <c r="P205" s="84">
        <f>IF(C205="","",IF(OR(E205="",E205="未検証"),"① STEP1待ち",IF(E205="不通過","✕ STEP1不通過",IF(OR(G205="",H205=""),"② STEP2-3 未記入",IF(COUNTIF(J205:O205,"×")&gt;0,"✕ ボツ候補",IF(COUNTA(J205:O205)&lt;6,"③ STEP4 審査待ち",IF(COUNTIF(J205:O205,"△")&gt;0,"△ 修正して再審査","◎ 候補リスト")))))))</f>
        <v/>
      </c>
      <c r="Q205" s="85" t="n"/>
      <c r="R205" s="85" t="n"/>
      <c r="S205" s="85" t="n"/>
      <c r="T205" s="84">
        <f>IF(COUNT(Q205:S205)&lt;3,"",Q205+(11-R205)+S205)</f>
        <v/>
      </c>
      <c r="U205" s="85" t="n"/>
      <c r="V205" s="86" t="n"/>
      <c r="W205" s="87">
        <f>IF(AND(P205="◎ 候補リスト",U205&lt;&gt;"ボツ",U205&lt;&gt;"制作済み",T205&lt;&gt;"",OR('②候補ランキング'!$C$5="すべて",B205='②候補ランキング'!$C$5)),IF('②候補ランキング'!$C$4="ワクワク",Q205,IF('②候補ランキング'!$C$4="手軽さ",11-R205,IF('②候補ランキング'!$C$4="確信度",S205,T205)))*1000+T205+(1000-A205)/10000,"")</f>
        <v/>
      </c>
    </row>
  </sheetData>
  <autoFilter ref="A5:W205"/>
  <mergeCells count="9">
    <mergeCell ref="E4:F4"/>
    <mergeCell ref="J4:O4"/>
    <mergeCell ref="A1:W1"/>
    <mergeCell ref="Q4:T4"/>
    <mergeCell ref="A4:D4"/>
    <mergeCell ref="A3:W3"/>
    <mergeCell ref="G4:I4"/>
    <mergeCell ref="A2:W2"/>
    <mergeCell ref="U4:V4"/>
  </mergeCells>
  <conditionalFormatting sqref="J6:O205">
    <cfRule type="expression" priority="1" dxfId="0">
      <formula>J6="○"</formula>
    </cfRule>
    <cfRule type="expression" priority="2" dxfId="1">
      <formula>J6="△"</formula>
    </cfRule>
    <cfRule type="expression" priority="3" dxfId="2">
      <formula>J6="×"</formula>
    </cfRule>
  </conditionalFormatting>
  <conditionalFormatting sqref="P6:P205">
    <cfRule type="expression" priority="4" dxfId="0">
      <formula>LEFT($P6,1)="◎"</formula>
    </cfRule>
    <cfRule type="expression" priority="5" dxfId="1">
      <formula>LEFT($P6,1)="△"</formula>
    </cfRule>
    <cfRule type="expression" priority="6" dxfId="2">
      <formula>LEFT($P6,1)="✕"</formula>
    </cfRule>
    <cfRule type="expression" priority="7" dxfId="3">
      <formula>LEFT($P6,1)="③"</formula>
    </cfRule>
    <cfRule type="expression" priority="8" dxfId="4">
      <formula>LEFT($P6,1)="②"</formula>
    </cfRule>
    <cfRule type="expression" priority="9" dxfId="5">
      <formula>LEFT($P6,1)="①"</formula>
    </cfRule>
  </conditionalFormatting>
  <conditionalFormatting sqref="A6:V205">
    <cfRule type="expression" priority="10" dxfId="6">
      <formula>OR($U6="ボツ",$U6="制作済み")</formula>
    </cfRule>
  </conditionalFormatting>
  <conditionalFormatting sqref="U6:U205">
    <cfRule type="expression" priority="11" dxfId="7">
      <formula>U6="制作決定"</formula>
    </cfRule>
  </conditionalFormatting>
  <dataValidations count="5">
    <dataValidation sqref="B6:B205" showDropDown="0" showInputMessage="0" showErrorMessage="0" allowBlank="1" type="list">
      <formula1>"本命,実験,転換"</formula1>
    </dataValidation>
    <dataValidation sqref="E6:E205" showDropDown="0" showInputMessage="0" showErrorMessage="0" allowBlank="1" type="list">
      <formula1>"通過,実験枠,転換枠,未検証,不通過"</formula1>
    </dataValidation>
    <dataValidation sqref="J6:O205" showDropDown="0" showInputMessage="0" showErrorMessage="0" allowBlank="1" type="list">
      <formula1>"○,△,×"</formula1>
    </dataValidation>
    <dataValidation sqref="Q6:S205" showDropDown="0" showInputMessage="0" showErrorMessage="0" allowBlank="1" type="whole" operator="between">
      <formula1>1</formula1>
      <formula2>10</formula2>
    </dataValidation>
    <dataValidation sqref="U6:U205" showDropDown="0" showInputMessage="0" showErrorMessage="0" allowBlank="1" type="list">
      <formula1>"制作決定,保留,ボツ,制作済み"</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57"/>
  <sheetViews>
    <sheetView showGridLines="0" workbookViewId="0">
      <pane ySplit="17" topLeftCell="A18" activePane="bottomLeft" state="frozen"/>
      <selection pane="bottomLeft" activeCell="A1" sqref="A1"/>
    </sheetView>
  </sheetViews>
  <sheetFormatPr baseColWidth="8" defaultRowHeight="15"/>
  <cols>
    <col width="6" customWidth="1" style="35" min="1" max="1"/>
    <col width="8" customWidth="1" style="35" min="2" max="2"/>
    <col width="34" customWidth="1" style="35" min="3" max="3"/>
    <col width="40" customWidth="1" style="35" min="4" max="4"/>
    <col width="8" customWidth="1" style="35" min="5" max="5"/>
    <col width="8" customWidth="1" style="35" min="6" max="6"/>
    <col width="8" customWidth="1" style="35" min="7" max="7"/>
    <col width="8" customWidth="1" style="35" min="8" max="8"/>
    <col width="12" customWidth="1" style="35" min="9" max="9"/>
    <col width="34" customWidth="1" style="35" min="10" max="10"/>
    <col width="2" customWidth="1" style="35" min="11" max="11"/>
    <col hidden="1" width="13" customWidth="1" style="35" min="12" max="12"/>
  </cols>
  <sheetData>
    <row r="1">
      <c r="A1" s="73" t="inlineStr">
        <is>
          <t>候補ランキング（STEP5：今の自分に大切な軸で選ぶ）</t>
        </is>
      </c>
    </row>
    <row r="2">
      <c r="A2" s="74" t="inlineStr">
        <is>
          <t>「◎ 候補リスト」かつ最終判断がボツ／制作済みでない企画だけが並びます。黄色の3セルを切り替えてください。同点は合計点→ID順。</t>
        </is>
      </c>
    </row>
    <row r="4">
      <c r="A4" s="88" t="inlineStr">
        <is>
          <t>優先する軸</t>
        </is>
      </c>
      <c r="B4" s="89" t="n"/>
      <c r="C4" s="90" t="inlineStr">
        <is>
          <t>総合</t>
        </is>
      </c>
      <c r="D4" s="91" t="inlineStr">
        <is>
          <t>総合＝バランス／ワクワク＝インスピレーションが欲しい時／手軽さ＝息抜きしたい時（労力が低い順）／確信度＝どうしてもヒットが必要な時</t>
        </is>
      </c>
    </row>
    <row r="5">
      <c r="A5" s="88" t="inlineStr">
        <is>
          <t>区分で絞る</t>
        </is>
      </c>
      <c r="B5" s="89" t="n"/>
      <c r="C5" s="90" t="inlineStr">
        <is>
          <t>すべて</t>
        </is>
      </c>
      <c r="D5" s="91" t="inlineStr">
        <is>
          <t>本命＝キラー狙い／実験＝実験枠／転換＝相談・コーチング導線</t>
        </is>
      </c>
    </row>
    <row r="6">
      <c r="A6" s="88" t="inlineStr">
        <is>
          <t>今回つくる本数</t>
        </is>
      </c>
      <c r="B6" s="89" t="n"/>
      <c r="C6" s="90" t="n">
        <v>3</v>
      </c>
      <c r="D6" s="91" t="inlineStr">
        <is>
          <t>上位この本数を紫で強調</t>
        </is>
      </c>
    </row>
    <row r="8">
      <c r="A8" s="92" t="inlineStr">
        <is>
          <t>■ 審査の進み具合</t>
        </is>
      </c>
      <c r="F8" s="92" t="inlineStr">
        <is>
          <t>■ 最終判断</t>
        </is>
      </c>
    </row>
    <row r="9">
      <c r="A9" s="93" t="inlineStr">
        <is>
          <t>① STEP1待ち</t>
        </is>
      </c>
      <c r="D9" s="94">
        <f>COUNTIF('①企画一覧・審査'!$P$6:$P$205,"① STEP1待ち")&amp;" 件"</f>
        <v/>
      </c>
      <c r="F9" s="93" t="inlineStr">
        <is>
          <t>制作決定</t>
        </is>
      </c>
      <c r="G9" s="95" t="n"/>
      <c r="H9" s="89" t="n"/>
      <c r="I9" s="94">
        <f>COUNTIF('①企画一覧・審査'!$U$6:$U$205,"制作決定")&amp;" 件"</f>
        <v/>
      </c>
    </row>
    <row r="10">
      <c r="A10" s="93" t="inlineStr">
        <is>
          <t>② STEP2-3 未記入</t>
        </is>
      </c>
      <c r="D10" s="94">
        <f>COUNTIF('①企画一覧・審査'!$P$6:$P$205,"② STEP2-3 未記入")&amp;" 件"</f>
        <v/>
      </c>
      <c r="F10" s="93" t="inlineStr">
        <is>
          <t>保留</t>
        </is>
      </c>
      <c r="G10" s="95" t="n"/>
      <c r="H10" s="89" t="n"/>
      <c r="I10" s="94">
        <f>COUNTIF('①企画一覧・審査'!$U$6:$U$205,"保留")&amp;" 件"</f>
        <v/>
      </c>
    </row>
    <row r="11">
      <c r="A11" s="93" t="inlineStr">
        <is>
          <t>③ STEP4 審査待ち</t>
        </is>
      </c>
      <c r="D11" s="94">
        <f>COUNTIF('①企画一覧・審査'!$P$6:$P$205,"③ STEP4 審査待ち")&amp;" 件"</f>
        <v/>
      </c>
      <c r="F11" s="93" t="inlineStr">
        <is>
          <t>ボツ</t>
        </is>
      </c>
      <c r="G11" s="95" t="n"/>
      <c r="H11" s="89" t="n"/>
      <c r="I11" s="94">
        <f>COUNTIF('①企画一覧・審査'!$U$6:$U$205,"ボツ")&amp;" 件"</f>
        <v/>
      </c>
    </row>
    <row r="12">
      <c r="A12" s="93" t="inlineStr">
        <is>
          <t>△ 修正して再審査</t>
        </is>
      </c>
      <c r="D12" s="94">
        <f>COUNTIF('①企画一覧・審査'!$P$6:$P$205,"△ 修正して再審査")&amp;" 件"</f>
        <v/>
      </c>
      <c r="F12" s="93" t="inlineStr">
        <is>
          <t>制作済み</t>
        </is>
      </c>
      <c r="G12" s="95" t="n"/>
      <c r="H12" s="89" t="n"/>
      <c r="I12" s="94">
        <f>COUNTIF('①企画一覧・審査'!$U$6:$U$205,"制作済み")&amp;" 件"</f>
        <v/>
      </c>
    </row>
    <row r="13">
      <c r="A13" s="93" t="inlineStr">
        <is>
          <t>✕ ボツ候補</t>
        </is>
      </c>
      <c r="D13" s="94">
        <f>COUNTIF('①企画一覧・審査'!$P$6:$P$205,"✕ ボツ候補")&amp;" 件"</f>
        <v/>
      </c>
    </row>
    <row r="14">
      <c r="A14" s="93" t="inlineStr">
        <is>
          <t>✕ STEP1不通過</t>
        </is>
      </c>
      <c r="D14" s="94">
        <f>COUNTIF('①企画一覧・審査'!$P$6:$P$205,"✕ STEP1不通過")&amp;" 件"</f>
        <v/>
      </c>
    </row>
    <row r="15">
      <c r="A15" s="93" t="inlineStr">
        <is>
          <t>◎ 候補リスト</t>
        </is>
      </c>
      <c r="D15" s="94">
        <f>COUNTIF('①企画一覧・審査'!$P$6:$P$205,"◎ 候補リスト")&amp;" 件"</f>
        <v/>
      </c>
    </row>
    <row r="16">
      <c r="A16" s="92" t="inlineStr">
        <is>
          <t>■ ランキング</t>
        </is>
      </c>
    </row>
    <row r="17">
      <c r="A17" s="81" t="inlineStr">
        <is>
          <t>順位</t>
        </is>
      </c>
      <c r="B17" s="81" t="inlineStr">
        <is>
          <t>区分</t>
        </is>
      </c>
      <c r="C17" s="81" t="inlineStr">
        <is>
          <t>企画名</t>
        </is>
      </c>
      <c r="D17" s="81" t="inlineStr">
        <is>
          <t>タイトル／サムネ案</t>
        </is>
      </c>
      <c r="E17" s="81" t="inlineStr">
        <is>
          <t>ワクワク</t>
        </is>
      </c>
      <c r="F17" s="81" t="inlineStr">
        <is>
          <t>労力</t>
        </is>
      </c>
      <c r="G17" s="81" t="inlineStr">
        <is>
          <t>確信度</t>
        </is>
      </c>
      <c r="H17" s="81" t="inlineStr">
        <is>
          <t>合計</t>
        </is>
      </c>
      <c r="I17" s="81" t="inlineStr">
        <is>
          <t>最終判断</t>
        </is>
      </c>
      <c r="J17" s="81" t="inlineStr">
        <is>
          <t>STEP1 根拠・メモ</t>
        </is>
      </c>
    </row>
    <row r="18" ht="30" customHeight="1" s="35">
      <c r="A18" s="84">
        <f>IF(COUNT('①企画一覧・審査'!$W$6:$W$205)&lt;1,"",1)</f>
        <v/>
      </c>
      <c r="B18" s="84">
        <f>IF($L18="","",INDEX('①企画一覧・審査'!$B$6:$B$205,$L18)&amp;"")</f>
        <v/>
      </c>
      <c r="C18" s="93">
        <f>IF($L18="","",INDEX('①企画一覧・審査'!$C$6:$C$205,$L18)&amp;"")</f>
        <v/>
      </c>
      <c r="D18" s="93">
        <f>IF($L18="","",INDEX('①企画一覧・審査'!$I$6:$I$205,$L18)&amp;"")</f>
        <v/>
      </c>
      <c r="E18" s="84">
        <f>IF($L18="","",INDEX('①企画一覧・審査'!$Q$6:$Q$205,$L18))</f>
        <v/>
      </c>
      <c r="F18" s="84">
        <f>IF($L18="","",INDEX('①企画一覧・審査'!$R$6:$R$205,$L18))</f>
        <v/>
      </c>
      <c r="G18" s="84">
        <f>IF($L18="","",INDEX('①企画一覧・審査'!$S$6:$S$205,$L18))</f>
        <v/>
      </c>
      <c r="H18" s="84">
        <f>IF($L18="","",INDEX('①企画一覧・審査'!$T$6:$T$205,$L18))</f>
        <v/>
      </c>
      <c r="I18" s="84">
        <f>IF($L18="","",INDEX('①企画一覧・審査'!$U$6:$U$205,$L18)&amp;"")</f>
        <v/>
      </c>
      <c r="J18" s="93">
        <f>IF($L18="","",INDEX('①企画一覧・審査'!$F$6:$F$205,$L18)&amp;"")</f>
        <v/>
      </c>
      <c r="L18">
        <f>IF(A18="","",MATCH(LARGE('①企画一覧・審査'!$W$6:$W$205,1),'①企画一覧・審査'!$W$6:$W$205,0))</f>
        <v/>
      </c>
    </row>
    <row r="19" ht="30" customHeight="1" s="35">
      <c r="A19" s="84">
        <f>IF(COUNT('①企画一覧・審査'!$W$6:$W$205)&lt;2,"",2)</f>
        <v/>
      </c>
      <c r="B19" s="84">
        <f>IF($L19="","",INDEX('①企画一覧・審査'!$B$6:$B$205,$L19)&amp;"")</f>
        <v/>
      </c>
      <c r="C19" s="93">
        <f>IF($L19="","",INDEX('①企画一覧・審査'!$C$6:$C$205,$L19)&amp;"")</f>
        <v/>
      </c>
      <c r="D19" s="93">
        <f>IF($L19="","",INDEX('①企画一覧・審査'!$I$6:$I$205,$L19)&amp;"")</f>
        <v/>
      </c>
      <c r="E19" s="84">
        <f>IF($L19="","",INDEX('①企画一覧・審査'!$Q$6:$Q$205,$L19))</f>
        <v/>
      </c>
      <c r="F19" s="84">
        <f>IF($L19="","",INDEX('①企画一覧・審査'!$R$6:$R$205,$L19))</f>
        <v/>
      </c>
      <c r="G19" s="84">
        <f>IF($L19="","",INDEX('①企画一覧・審査'!$S$6:$S$205,$L19))</f>
        <v/>
      </c>
      <c r="H19" s="84">
        <f>IF($L19="","",INDEX('①企画一覧・審査'!$T$6:$T$205,$L19))</f>
        <v/>
      </c>
      <c r="I19" s="84">
        <f>IF($L19="","",INDEX('①企画一覧・審査'!$U$6:$U$205,$L19)&amp;"")</f>
        <v/>
      </c>
      <c r="J19" s="93">
        <f>IF($L19="","",INDEX('①企画一覧・審査'!$F$6:$F$205,$L19)&amp;"")</f>
        <v/>
      </c>
      <c r="L19">
        <f>IF(A19="","",MATCH(LARGE('①企画一覧・審査'!$W$6:$W$205,2),'①企画一覧・審査'!$W$6:$W$205,0))</f>
        <v/>
      </c>
    </row>
    <row r="20" ht="30" customHeight="1" s="35">
      <c r="A20" s="84">
        <f>IF(COUNT('①企画一覧・審査'!$W$6:$W$205)&lt;3,"",3)</f>
        <v/>
      </c>
      <c r="B20" s="84">
        <f>IF($L20="","",INDEX('①企画一覧・審査'!$B$6:$B$205,$L20)&amp;"")</f>
        <v/>
      </c>
      <c r="C20" s="93">
        <f>IF($L20="","",INDEX('①企画一覧・審査'!$C$6:$C$205,$L20)&amp;"")</f>
        <v/>
      </c>
      <c r="D20" s="93">
        <f>IF($L20="","",INDEX('①企画一覧・審査'!$I$6:$I$205,$L20)&amp;"")</f>
        <v/>
      </c>
      <c r="E20" s="84">
        <f>IF($L20="","",INDEX('①企画一覧・審査'!$Q$6:$Q$205,$L20))</f>
        <v/>
      </c>
      <c r="F20" s="84">
        <f>IF($L20="","",INDEX('①企画一覧・審査'!$R$6:$R$205,$L20))</f>
        <v/>
      </c>
      <c r="G20" s="84">
        <f>IF($L20="","",INDEX('①企画一覧・審査'!$S$6:$S$205,$L20))</f>
        <v/>
      </c>
      <c r="H20" s="84">
        <f>IF($L20="","",INDEX('①企画一覧・審査'!$T$6:$T$205,$L20))</f>
        <v/>
      </c>
      <c r="I20" s="84">
        <f>IF($L20="","",INDEX('①企画一覧・審査'!$U$6:$U$205,$L20)&amp;"")</f>
        <v/>
      </c>
      <c r="J20" s="93">
        <f>IF($L20="","",INDEX('①企画一覧・審査'!$F$6:$F$205,$L20)&amp;"")</f>
        <v/>
      </c>
      <c r="L20">
        <f>IF(A20="","",MATCH(LARGE('①企画一覧・審査'!$W$6:$W$205,3),'①企画一覧・審査'!$W$6:$W$205,0))</f>
        <v/>
      </c>
    </row>
    <row r="21" ht="30" customHeight="1" s="35">
      <c r="A21" s="84">
        <f>IF(COUNT('①企画一覧・審査'!$W$6:$W$205)&lt;4,"",4)</f>
        <v/>
      </c>
      <c r="B21" s="84">
        <f>IF($L21="","",INDEX('①企画一覧・審査'!$B$6:$B$205,$L21)&amp;"")</f>
        <v/>
      </c>
      <c r="C21" s="93">
        <f>IF($L21="","",INDEX('①企画一覧・審査'!$C$6:$C$205,$L21)&amp;"")</f>
        <v/>
      </c>
      <c r="D21" s="93">
        <f>IF($L21="","",INDEX('①企画一覧・審査'!$I$6:$I$205,$L21)&amp;"")</f>
        <v/>
      </c>
      <c r="E21" s="84">
        <f>IF($L21="","",INDEX('①企画一覧・審査'!$Q$6:$Q$205,$L21))</f>
        <v/>
      </c>
      <c r="F21" s="84">
        <f>IF($L21="","",INDEX('①企画一覧・審査'!$R$6:$R$205,$L21))</f>
        <v/>
      </c>
      <c r="G21" s="84">
        <f>IF($L21="","",INDEX('①企画一覧・審査'!$S$6:$S$205,$L21))</f>
        <v/>
      </c>
      <c r="H21" s="84">
        <f>IF($L21="","",INDEX('①企画一覧・審査'!$T$6:$T$205,$L21))</f>
        <v/>
      </c>
      <c r="I21" s="84">
        <f>IF($L21="","",INDEX('①企画一覧・審査'!$U$6:$U$205,$L21)&amp;"")</f>
        <v/>
      </c>
      <c r="J21" s="93">
        <f>IF($L21="","",INDEX('①企画一覧・審査'!$F$6:$F$205,$L21)&amp;"")</f>
        <v/>
      </c>
      <c r="L21">
        <f>IF(A21="","",MATCH(LARGE('①企画一覧・審査'!$W$6:$W$205,4),'①企画一覧・審査'!$W$6:$W$205,0))</f>
        <v/>
      </c>
    </row>
    <row r="22" ht="30" customHeight="1" s="35">
      <c r="A22" s="84">
        <f>IF(COUNT('①企画一覧・審査'!$W$6:$W$205)&lt;5,"",5)</f>
        <v/>
      </c>
      <c r="B22" s="84">
        <f>IF($L22="","",INDEX('①企画一覧・審査'!$B$6:$B$205,$L22)&amp;"")</f>
        <v/>
      </c>
      <c r="C22" s="93">
        <f>IF($L22="","",INDEX('①企画一覧・審査'!$C$6:$C$205,$L22)&amp;"")</f>
        <v/>
      </c>
      <c r="D22" s="93">
        <f>IF($L22="","",INDEX('①企画一覧・審査'!$I$6:$I$205,$L22)&amp;"")</f>
        <v/>
      </c>
      <c r="E22" s="84">
        <f>IF($L22="","",INDEX('①企画一覧・審査'!$Q$6:$Q$205,$L22))</f>
        <v/>
      </c>
      <c r="F22" s="84">
        <f>IF($L22="","",INDEX('①企画一覧・審査'!$R$6:$R$205,$L22))</f>
        <v/>
      </c>
      <c r="G22" s="84">
        <f>IF($L22="","",INDEX('①企画一覧・審査'!$S$6:$S$205,$L22))</f>
        <v/>
      </c>
      <c r="H22" s="84">
        <f>IF($L22="","",INDEX('①企画一覧・審査'!$T$6:$T$205,$L22))</f>
        <v/>
      </c>
      <c r="I22" s="84">
        <f>IF($L22="","",INDEX('①企画一覧・審査'!$U$6:$U$205,$L22)&amp;"")</f>
        <v/>
      </c>
      <c r="J22" s="93">
        <f>IF($L22="","",INDEX('①企画一覧・審査'!$F$6:$F$205,$L22)&amp;"")</f>
        <v/>
      </c>
      <c r="L22">
        <f>IF(A22="","",MATCH(LARGE('①企画一覧・審査'!$W$6:$W$205,5),'①企画一覧・審査'!$W$6:$W$205,0))</f>
        <v/>
      </c>
    </row>
    <row r="23" ht="30" customHeight="1" s="35">
      <c r="A23" s="84">
        <f>IF(COUNT('①企画一覧・審査'!$W$6:$W$205)&lt;6,"",6)</f>
        <v/>
      </c>
      <c r="B23" s="84">
        <f>IF($L23="","",INDEX('①企画一覧・審査'!$B$6:$B$205,$L23)&amp;"")</f>
        <v/>
      </c>
      <c r="C23" s="93">
        <f>IF($L23="","",INDEX('①企画一覧・審査'!$C$6:$C$205,$L23)&amp;"")</f>
        <v/>
      </c>
      <c r="D23" s="93">
        <f>IF($L23="","",INDEX('①企画一覧・審査'!$I$6:$I$205,$L23)&amp;"")</f>
        <v/>
      </c>
      <c r="E23" s="84">
        <f>IF($L23="","",INDEX('①企画一覧・審査'!$Q$6:$Q$205,$L23))</f>
        <v/>
      </c>
      <c r="F23" s="84">
        <f>IF($L23="","",INDEX('①企画一覧・審査'!$R$6:$R$205,$L23))</f>
        <v/>
      </c>
      <c r="G23" s="84">
        <f>IF($L23="","",INDEX('①企画一覧・審査'!$S$6:$S$205,$L23))</f>
        <v/>
      </c>
      <c r="H23" s="84">
        <f>IF($L23="","",INDEX('①企画一覧・審査'!$T$6:$T$205,$L23))</f>
        <v/>
      </c>
      <c r="I23" s="84">
        <f>IF($L23="","",INDEX('①企画一覧・審査'!$U$6:$U$205,$L23)&amp;"")</f>
        <v/>
      </c>
      <c r="J23" s="93">
        <f>IF($L23="","",INDEX('①企画一覧・審査'!$F$6:$F$205,$L23)&amp;"")</f>
        <v/>
      </c>
      <c r="L23">
        <f>IF(A23="","",MATCH(LARGE('①企画一覧・審査'!$W$6:$W$205,6),'①企画一覧・審査'!$W$6:$W$205,0))</f>
        <v/>
      </c>
    </row>
    <row r="24" ht="30" customHeight="1" s="35">
      <c r="A24" s="84">
        <f>IF(COUNT('①企画一覧・審査'!$W$6:$W$205)&lt;7,"",7)</f>
        <v/>
      </c>
      <c r="B24" s="84">
        <f>IF($L24="","",INDEX('①企画一覧・審査'!$B$6:$B$205,$L24)&amp;"")</f>
        <v/>
      </c>
      <c r="C24" s="93">
        <f>IF($L24="","",INDEX('①企画一覧・審査'!$C$6:$C$205,$L24)&amp;"")</f>
        <v/>
      </c>
      <c r="D24" s="93">
        <f>IF($L24="","",INDEX('①企画一覧・審査'!$I$6:$I$205,$L24)&amp;"")</f>
        <v/>
      </c>
      <c r="E24" s="84">
        <f>IF($L24="","",INDEX('①企画一覧・審査'!$Q$6:$Q$205,$L24))</f>
        <v/>
      </c>
      <c r="F24" s="84">
        <f>IF($L24="","",INDEX('①企画一覧・審査'!$R$6:$R$205,$L24))</f>
        <v/>
      </c>
      <c r="G24" s="84">
        <f>IF($L24="","",INDEX('①企画一覧・審査'!$S$6:$S$205,$L24))</f>
        <v/>
      </c>
      <c r="H24" s="84">
        <f>IF($L24="","",INDEX('①企画一覧・審査'!$T$6:$T$205,$L24))</f>
        <v/>
      </c>
      <c r="I24" s="84">
        <f>IF($L24="","",INDEX('①企画一覧・審査'!$U$6:$U$205,$L24)&amp;"")</f>
        <v/>
      </c>
      <c r="J24" s="93">
        <f>IF($L24="","",INDEX('①企画一覧・審査'!$F$6:$F$205,$L24)&amp;"")</f>
        <v/>
      </c>
      <c r="L24">
        <f>IF(A24="","",MATCH(LARGE('①企画一覧・審査'!$W$6:$W$205,7),'①企画一覧・審査'!$W$6:$W$205,0))</f>
        <v/>
      </c>
    </row>
    <row r="25" ht="30" customHeight="1" s="35">
      <c r="A25" s="84">
        <f>IF(COUNT('①企画一覧・審査'!$W$6:$W$205)&lt;8,"",8)</f>
        <v/>
      </c>
      <c r="B25" s="84">
        <f>IF($L25="","",INDEX('①企画一覧・審査'!$B$6:$B$205,$L25)&amp;"")</f>
        <v/>
      </c>
      <c r="C25" s="93">
        <f>IF($L25="","",INDEX('①企画一覧・審査'!$C$6:$C$205,$L25)&amp;"")</f>
        <v/>
      </c>
      <c r="D25" s="93">
        <f>IF($L25="","",INDEX('①企画一覧・審査'!$I$6:$I$205,$L25)&amp;"")</f>
        <v/>
      </c>
      <c r="E25" s="84">
        <f>IF($L25="","",INDEX('①企画一覧・審査'!$Q$6:$Q$205,$L25))</f>
        <v/>
      </c>
      <c r="F25" s="84">
        <f>IF($L25="","",INDEX('①企画一覧・審査'!$R$6:$R$205,$L25))</f>
        <v/>
      </c>
      <c r="G25" s="84">
        <f>IF($L25="","",INDEX('①企画一覧・審査'!$S$6:$S$205,$L25))</f>
        <v/>
      </c>
      <c r="H25" s="84">
        <f>IF($L25="","",INDEX('①企画一覧・審査'!$T$6:$T$205,$L25))</f>
        <v/>
      </c>
      <c r="I25" s="84">
        <f>IF($L25="","",INDEX('①企画一覧・審査'!$U$6:$U$205,$L25)&amp;"")</f>
        <v/>
      </c>
      <c r="J25" s="93">
        <f>IF($L25="","",INDEX('①企画一覧・審査'!$F$6:$F$205,$L25)&amp;"")</f>
        <v/>
      </c>
      <c r="L25">
        <f>IF(A25="","",MATCH(LARGE('①企画一覧・審査'!$W$6:$W$205,8),'①企画一覧・審査'!$W$6:$W$205,0))</f>
        <v/>
      </c>
    </row>
    <row r="26" ht="30" customHeight="1" s="35">
      <c r="A26" s="84">
        <f>IF(COUNT('①企画一覧・審査'!$W$6:$W$205)&lt;9,"",9)</f>
        <v/>
      </c>
      <c r="B26" s="84">
        <f>IF($L26="","",INDEX('①企画一覧・審査'!$B$6:$B$205,$L26)&amp;"")</f>
        <v/>
      </c>
      <c r="C26" s="93">
        <f>IF($L26="","",INDEX('①企画一覧・審査'!$C$6:$C$205,$L26)&amp;"")</f>
        <v/>
      </c>
      <c r="D26" s="93">
        <f>IF($L26="","",INDEX('①企画一覧・審査'!$I$6:$I$205,$L26)&amp;"")</f>
        <v/>
      </c>
      <c r="E26" s="84">
        <f>IF($L26="","",INDEX('①企画一覧・審査'!$Q$6:$Q$205,$L26))</f>
        <v/>
      </c>
      <c r="F26" s="84">
        <f>IF($L26="","",INDEX('①企画一覧・審査'!$R$6:$R$205,$L26))</f>
        <v/>
      </c>
      <c r="G26" s="84">
        <f>IF($L26="","",INDEX('①企画一覧・審査'!$S$6:$S$205,$L26))</f>
        <v/>
      </c>
      <c r="H26" s="84">
        <f>IF($L26="","",INDEX('①企画一覧・審査'!$T$6:$T$205,$L26))</f>
        <v/>
      </c>
      <c r="I26" s="84">
        <f>IF($L26="","",INDEX('①企画一覧・審査'!$U$6:$U$205,$L26)&amp;"")</f>
        <v/>
      </c>
      <c r="J26" s="93">
        <f>IF($L26="","",INDEX('①企画一覧・審査'!$F$6:$F$205,$L26)&amp;"")</f>
        <v/>
      </c>
      <c r="L26">
        <f>IF(A26="","",MATCH(LARGE('①企画一覧・審査'!$W$6:$W$205,9),'①企画一覧・審査'!$W$6:$W$205,0))</f>
        <v/>
      </c>
    </row>
    <row r="27" ht="30" customHeight="1" s="35">
      <c r="A27" s="84">
        <f>IF(COUNT('①企画一覧・審査'!$W$6:$W$205)&lt;10,"",10)</f>
        <v/>
      </c>
      <c r="B27" s="84">
        <f>IF($L27="","",INDEX('①企画一覧・審査'!$B$6:$B$205,$L27)&amp;"")</f>
        <v/>
      </c>
      <c r="C27" s="93">
        <f>IF($L27="","",INDEX('①企画一覧・審査'!$C$6:$C$205,$L27)&amp;"")</f>
        <v/>
      </c>
      <c r="D27" s="93">
        <f>IF($L27="","",INDEX('①企画一覧・審査'!$I$6:$I$205,$L27)&amp;"")</f>
        <v/>
      </c>
      <c r="E27" s="84">
        <f>IF($L27="","",INDEX('①企画一覧・審査'!$Q$6:$Q$205,$L27))</f>
        <v/>
      </c>
      <c r="F27" s="84">
        <f>IF($L27="","",INDEX('①企画一覧・審査'!$R$6:$R$205,$L27))</f>
        <v/>
      </c>
      <c r="G27" s="84">
        <f>IF($L27="","",INDEX('①企画一覧・審査'!$S$6:$S$205,$L27))</f>
        <v/>
      </c>
      <c r="H27" s="84">
        <f>IF($L27="","",INDEX('①企画一覧・審査'!$T$6:$T$205,$L27))</f>
        <v/>
      </c>
      <c r="I27" s="84">
        <f>IF($L27="","",INDEX('①企画一覧・審査'!$U$6:$U$205,$L27)&amp;"")</f>
        <v/>
      </c>
      <c r="J27" s="93">
        <f>IF($L27="","",INDEX('①企画一覧・審査'!$F$6:$F$205,$L27)&amp;"")</f>
        <v/>
      </c>
      <c r="L27">
        <f>IF(A27="","",MATCH(LARGE('①企画一覧・審査'!$W$6:$W$205,10),'①企画一覧・審査'!$W$6:$W$205,0))</f>
        <v/>
      </c>
    </row>
    <row r="28" ht="30" customHeight="1" s="35">
      <c r="A28" s="84">
        <f>IF(COUNT('①企画一覧・審査'!$W$6:$W$205)&lt;11,"",11)</f>
        <v/>
      </c>
      <c r="B28" s="84">
        <f>IF($L28="","",INDEX('①企画一覧・審査'!$B$6:$B$205,$L28)&amp;"")</f>
        <v/>
      </c>
      <c r="C28" s="93">
        <f>IF($L28="","",INDEX('①企画一覧・審査'!$C$6:$C$205,$L28)&amp;"")</f>
        <v/>
      </c>
      <c r="D28" s="93">
        <f>IF($L28="","",INDEX('①企画一覧・審査'!$I$6:$I$205,$L28)&amp;"")</f>
        <v/>
      </c>
      <c r="E28" s="84">
        <f>IF($L28="","",INDEX('①企画一覧・審査'!$Q$6:$Q$205,$L28))</f>
        <v/>
      </c>
      <c r="F28" s="84">
        <f>IF($L28="","",INDEX('①企画一覧・審査'!$R$6:$R$205,$L28))</f>
        <v/>
      </c>
      <c r="G28" s="84">
        <f>IF($L28="","",INDEX('①企画一覧・審査'!$S$6:$S$205,$L28))</f>
        <v/>
      </c>
      <c r="H28" s="84">
        <f>IF($L28="","",INDEX('①企画一覧・審査'!$T$6:$T$205,$L28))</f>
        <v/>
      </c>
      <c r="I28" s="84">
        <f>IF($L28="","",INDEX('①企画一覧・審査'!$U$6:$U$205,$L28)&amp;"")</f>
        <v/>
      </c>
      <c r="J28" s="93">
        <f>IF($L28="","",INDEX('①企画一覧・審査'!$F$6:$F$205,$L28)&amp;"")</f>
        <v/>
      </c>
      <c r="L28">
        <f>IF(A28="","",MATCH(LARGE('①企画一覧・審査'!$W$6:$W$205,11),'①企画一覧・審査'!$W$6:$W$205,0))</f>
        <v/>
      </c>
    </row>
    <row r="29" ht="30" customHeight="1" s="35">
      <c r="A29" s="84">
        <f>IF(COUNT('①企画一覧・審査'!$W$6:$W$205)&lt;12,"",12)</f>
        <v/>
      </c>
      <c r="B29" s="84">
        <f>IF($L29="","",INDEX('①企画一覧・審査'!$B$6:$B$205,$L29)&amp;"")</f>
        <v/>
      </c>
      <c r="C29" s="93">
        <f>IF($L29="","",INDEX('①企画一覧・審査'!$C$6:$C$205,$L29)&amp;"")</f>
        <v/>
      </c>
      <c r="D29" s="93">
        <f>IF($L29="","",INDEX('①企画一覧・審査'!$I$6:$I$205,$L29)&amp;"")</f>
        <v/>
      </c>
      <c r="E29" s="84">
        <f>IF($L29="","",INDEX('①企画一覧・審査'!$Q$6:$Q$205,$L29))</f>
        <v/>
      </c>
      <c r="F29" s="84">
        <f>IF($L29="","",INDEX('①企画一覧・審査'!$R$6:$R$205,$L29))</f>
        <v/>
      </c>
      <c r="G29" s="84">
        <f>IF($L29="","",INDEX('①企画一覧・審査'!$S$6:$S$205,$L29))</f>
        <v/>
      </c>
      <c r="H29" s="84">
        <f>IF($L29="","",INDEX('①企画一覧・審査'!$T$6:$T$205,$L29))</f>
        <v/>
      </c>
      <c r="I29" s="84">
        <f>IF($L29="","",INDEX('①企画一覧・審査'!$U$6:$U$205,$L29)&amp;"")</f>
        <v/>
      </c>
      <c r="J29" s="93">
        <f>IF($L29="","",INDEX('①企画一覧・審査'!$F$6:$F$205,$L29)&amp;"")</f>
        <v/>
      </c>
      <c r="L29">
        <f>IF(A29="","",MATCH(LARGE('①企画一覧・審査'!$W$6:$W$205,12),'①企画一覧・審査'!$W$6:$W$205,0))</f>
        <v/>
      </c>
    </row>
    <row r="30" ht="30" customHeight="1" s="35">
      <c r="A30" s="84">
        <f>IF(COUNT('①企画一覧・審査'!$W$6:$W$205)&lt;13,"",13)</f>
        <v/>
      </c>
      <c r="B30" s="84">
        <f>IF($L30="","",INDEX('①企画一覧・審査'!$B$6:$B$205,$L30)&amp;"")</f>
        <v/>
      </c>
      <c r="C30" s="93">
        <f>IF($L30="","",INDEX('①企画一覧・審査'!$C$6:$C$205,$L30)&amp;"")</f>
        <v/>
      </c>
      <c r="D30" s="93">
        <f>IF($L30="","",INDEX('①企画一覧・審査'!$I$6:$I$205,$L30)&amp;"")</f>
        <v/>
      </c>
      <c r="E30" s="84">
        <f>IF($L30="","",INDEX('①企画一覧・審査'!$Q$6:$Q$205,$L30))</f>
        <v/>
      </c>
      <c r="F30" s="84">
        <f>IF($L30="","",INDEX('①企画一覧・審査'!$R$6:$R$205,$L30))</f>
        <v/>
      </c>
      <c r="G30" s="84">
        <f>IF($L30="","",INDEX('①企画一覧・審査'!$S$6:$S$205,$L30))</f>
        <v/>
      </c>
      <c r="H30" s="84">
        <f>IF($L30="","",INDEX('①企画一覧・審査'!$T$6:$T$205,$L30))</f>
        <v/>
      </c>
      <c r="I30" s="84">
        <f>IF($L30="","",INDEX('①企画一覧・審査'!$U$6:$U$205,$L30)&amp;"")</f>
        <v/>
      </c>
      <c r="J30" s="93">
        <f>IF($L30="","",INDEX('①企画一覧・審査'!$F$6:$F$205,$L30)&amp;"")</f>
        <v/>
      </c>
      <c r="L30">
        <f>IF(A30="","",MATCH(LARGE('①企画一覧・審査'!$W$6:$W$205,13),'①企画一覧・審査'!$W$6:$W$205,0))</f>
        <v/>
      </c>
    </row>
    <row r="31" ht="30" customHeight="1" s="35">
      <c r="A31" s="84">
        <f>IF(COUNT('①企画一覧・審査'!$W$6:$W$205)&lt;14,"",14)</f>
        <v/>
      </c>
      <c r="B31" s="84">
        <f>IF($L31="","",INDEX('①企画一覧・審査'!$B$6:$B$205,$L31)&amp;"")</f>
        <v/>
      </c>
      <c r="C31" s="93">
        <f>IF($L31="","",INDEX('①企画一覧・審査'!$C$6:$C$205,$L31)&amp;"")</f>
        <v/>
      </c>
      <c r="D31" s="93">
        <f>IF($L31="","",INDEX('①企画一覧・審査'!$I$6:$I$205,$L31)&amp;"")</f>
        <v/>
      </c>
      <c r="E31" s="84">
        <f>IF($L31="","",INDEX('①企画一覧・審査'!$Q$6:$Q$205,$L31))</f>
        <v/>
      </c>
      <c r="F31" s="84">
        <f>IF($L31="","",INDEX('①企画一覧・審査'!$R$6:$R$205,$L31))</f>
        <v/>
      </c>
      <c r="G31" s="84">
        <f>IF($L31="","",INDEX('①企画一覧・審査'!$S$6:$S$205,$L31))</f>
        <v/>
      </c>
      <c r="H31" s="84">
        <f>IF($L31="","",INDEX('①企画一覧・審査'!$T$6:$T$205,$L31))</f>
        <v/>
      </c>
      <c r="I31" s="84">
        <f>IF($L31="","",INDEX('①企画一覧・審査'!$U$6:$U$205,$L31)&amp;"")</f>
        <v/>
      </c>
      <c r="J31" s="93">
        <f>IF($L31="","",INDEX('①企画一覧・審査'!$F$6:$F$205,$L31)&amp;"")</f>
        <v/>
      </c>
      <c r="L31">
        <f>IF(A31="","",MATCH(LARGE('①企画一覧・審査'!$W$6:$W$205,14),'①企画一覧・審査'!$W$6:$W$205,0))</f>
        <v/>
      </c>
    </row>
    <row r="32" ht="30" customHeight="1" s="35">
      <c r="A32" s="84">
        <f>IF(COUNT('①企画一覧・審査'!$W$6:$W$205)&lt;15,"",15)</f>
        <v/>
      </c>
      <c r="B32" s="84">
        <f>IF($L32="","",INDEX('①企画一覧・審査'!$B$6:$B$205,$L32)&amp;"")</f>
        <v/>
      </c>
      <c r="C32" s="93">
        <f>IF($L32="","",INDEX('①企画一覧・審査'!$C$6:$C$205,$L32)&amp;"")</f>
        <v/>
      </c>
      <c r="D32" s="93">
        <f>IF($L32="","",INDEX('①企画一覧・審査'!$I$6:$I$205,$L32)&amp;"")</f>
        <v/>
      </c>
      <c r="E32" s="84">
        <f>IF($L32="","",INDEX('①企画一覧・審査'!$Q$6:$Q$205,$L32))</f>
        <v/>
      </c>
      <c r="F32" s="84">
        <f>IF($L32="","",INDEX('①企画一覧・審査'!$R$6:$R$205,$L32))</f>
        <v/>
      </c>
      <c r="G32" s="84">
        <f>IF($L32="","",INDEX('①企画一覧・審査'!$S$6:$S$205,$L32))</f>
        <v/>
      </c>
      <c r="H32" s="84">
        <f>IF($L32="","",INDEX('①企画一覧・審査'!$T$6:$T$205,$L32))</f>
        <v/>
      </c>
      <c r="I32" s="84">
        <f>IF($L32="","",INDEX('①企画一覧・審査'!$U$6:$U$205,$L32)&amp;"")</f>
        <v/>
      </c>
      <c r="J32" s="93">
        <f>IF($L32="","",INDEX('①企画一覧・審査'!$F$6:$F$205,$L32)&amp;"")</f>
        <v/>
      </c>
      <c r="L32">
        <f>IF(A32="","",MATCH(LARGE('①企画一覧・審査'!$W$6:$W$205,15),'①企画一覧・審査'!$W$6:$W$205,0))</f>
        <v/>
      </c>
    </row>
    <row r="33" ht="30" customHeight="1" s="35">
      <c r="A33" s="84">
        <f>IF(COUNT('①企画一覧・審査'!$W$6:$W$205)&lt;16,"",16)</f>
        <v/>
      </c>
      <c r="B33" s="84">
        <f>IF($L33="","",INDEX('①企画一覧・審査'!$B$6:$B$205,$L33)&amp;"")</f>
        <v/>
      </c>
      <c r="C33" s="93">
        <f>IF($L33="","",INDEX('①企画一覧・審査'!$C$6:$C$205,$L33)&amp;"")</f>
        <v/>
      </c>
      <c r="D33" s="93">
        <f>IF($L33="","",INDEX('①企画一覧・審査'!$I$6:$I$205,$L33)&amp;"")</f>
        <v/>
      </c>
      <c r="E33" s="84">
        <f>IF($L33="","",INDEX('①企画一覧・審査'!$Q$6:$Q$205,$L33))</f>
        <v/>
      </c>
      <c r="F33" s="84">
        <f>IF($L33="","",INDEX('①企画一覧・審査'!$R$6:$R$205,$L33))</f>
        <v/>
      </c>
      <c r="G33" s="84">
        <f>IF($L33="","",INDEX('①企画一覧・審査'!$S$6:$S$205,$L33))</f>
        <v/>
      </c>
      <c r="H33" s="84">
        <f>IF($L33="","",INDEX('①企画一覧・審査'!$T$6:$T$205,$L33))</f>
        <v/>
      </c>
      <c r="I33" s="84">
        <f>IF($L33="","",INDEX('①企画一覧・審査'!$U$6:$U$205,$L33)&amp;"")</f>
        <v/>
      </c>
      <c r="J33" s="93">
        <f>IF($L33="","",INDEX('①企画一覧・審査'!$F$6:$F$205,$L33)&amp;"")</f>
        <v/>
      </c>
      <c r="L33">
        <f>IF(A33="","",MATCH(LARGE('①企画一覧・審査'!$W$6:$W$205,16),'①企画一覧・審査'!$W$6:$W$205,0))</f>
        <v/>
      </c>
    </row>
    <row r="34" ht="30" customHeight="1" s="35">
      <c r="A34" s="84">
        <f>IF(COUNT('①企画一覧・審査'!$W$6:$W$205)&lt;17,"",17)</f>
        <v/>
      </c>
      <c r="B34" s="84">
        <f>IF($L34="","",INDEX('①企画一覧・審査'!$B$6:$B$205,$L34)&amp;"")</f>
        <v/>
      </c>
      <c r="C34" s="93">
        <f>IF($L34="","",INDEX('①企画一覧・審査'!$C$6:$C$205,$L34)&amp;"")</f>
        <v/>
      </c>
      <c r="D34" s="93">
        <f>IF($L34="","",INDEX('①企画一覧・審査'!$I$6:$I$205,$L34)&amp;"")</f>
        <v/>
      </c>
      <c r="E34" s="84">
        <f>IF($L34="","",INDEX('①企画一覧・審査'!$Q$6:$Q$205,$L34))</f>
        <v/>
      </c>
      <c r="F34" s="84">
        <f>IF($L34="","",INDEX('①企画一覧・審査'!$R$6:$R$205,$L34))</f>
        <v/>
      </c>
      <c r="G34" s="84">
        <f>IF($L34="","",INDEX('①企画一覧・審査'!$S$6:$S$205,$L34))</f>
        <v/>
      </c>
      <c r="H34" s="84">
        <f>IF($L34="","",INDEX('①企画一覧・審査'!$T$6:$T$205,$L34))</f>
        <v/>
      </c>
      <c r="I34" s="84">
        <f>IF($L34="","",INDEX('①企画一覧・審査'!$U$6:$U$205,$L34)&amp;"")</f>
        <v/>
      </c>
      <c r="J34" s="93">
        <f>IF($L34="","",INDEX('①企画一覧・審査'!$F$6:$F$205,$L34)&amp;"")</f>
        <v/>
      </c>
      <c r="L34">
        <f>IF(A34="","",MATCH(LARGE('①企画一覧・審査'!$W$6:$W$205,17),'①企画一覧・審査'!$W$6:$W$205,0))</f>
        <v/>
      </c>
    </row>
    <row r="35" ht="30" customHeight="1" s="35">
      <c r="A35" s="84">
        <f>IF(COUNT('①企画一覧・審査'!$W$6:$W$205)&lt;18,"",18)</f>
        <v/>
      </c>
      <c r="B35" s="84">
        <f>IF($L35="","",INDEX('①企画一覧・審査'!$B$6:$B$205,$L35)&amp;"")</f>
        <v/>
      </c>
      <c r="C35" s="93">
        <f>IF($L35="","",INDEX('①企画一覧・審査'!$C$6:$C$205,$L35)&amp;"")</f>
        <v/>
      </c>
      <c r="D35" s="93">
        <f>IF($L35="","",INDEX('①企画一覧・審査'!$I$6:$I$205,$L35)&amp;"")</f>
        <v/>
      </c>
      <c r="E35" s="84">
        <f>IF($L35="","",INDEX('①企画一覧・審査'!$Q$6:$Q$205,$L35))</f>
        <v/>
      </c>
      <c r="F35" s="84">
        <f>IF($L35="","",INDEX('①企画一覧・審査'!$R$6:$R$205,$L35))</f>
        <v/>
      </c>
      <c r="G35" s="84">
        <f>IF($L35="","",INDEX('①企画一覧・審査'!$S$6:$S$205,$L35))</f>
        <v/>
      </c>
      <c r="H35" s="84">
        <f>IF($L35="","",INDEX('①企画一覧・審査'!$T$6:$T$205,$L35))</f>
        <v/>
      </c>
      <c r="I35" s="84">
        <f>IF($L35="","",INDEX('①企画一覧・審査'!$U$6:$U$205,$L35)&amp;"")</f>
        <v/>
      </c>
      <c r="J35" s="93">
        <f>IF($L35="","",INDEX('①企画一覧・審査'!$F$6:$F$205,$L35)&amp;"")</f>
        <v/>
      </c>
      <c r="L35">
        <f>IF(A35="","",MATCH(LARGE('①企画一覧・審査'!$W$6:$W$205,18),'①企画一覧・審査'!$W$6:$W$205,0))</f>
        <v/>
      </c>
    </row>
    <row r="36" ht="30" customHeight="1" s="35">
      <c r="A36" s="84">
        <f>IF(COUNT('①企画一覧・審査'!$W$6:$W$205)&lt;19,"",19)</f>
        <v/>
      </c>
      <c r="B36" s="84">
        <f>IF($L36="","",INDEX('①企画一覧・審査'!$B$6:$B$205,$L36)&amp;"")</f>
        <v/>
      </c>
      <c r="C36" s="93">
        <f>IF($L36="","",INDEX('①企画一覧・審査'!$C$6:$C$205,$L36)&amp;"")</f>
        <v/>
      </c>
      <c r="D36" s="93">
        <f>IF($L36="","",INDEX('①企画一覧・審査'!$I$6:$I$205,$L36)&amp;"")</f>
        <v/>
      </c>
      <c r="E36" s="84">
        <f>IF($L36="","",INDEX('①企画一覧・審査'!$Q$6:$Q$205,$L36))</f>
        <v/>
      </c>
      <c r="F36" s="84">
        <f>IF($L36="","",INDEX('①企画一覧・審査'!$R$6:$R$205,$L36))</f>
        <v/>
      </c>
      <c r="G36" s="84">
        <f>IF($L36="","",INDEX('①企画一覧・審査'!$S$6:$S$205,$L36))</f>
        <v/>
      </c>
      <c r="H36" s="84">
        <f>IF($L36="","",INDEX('①企画一覧・審査'!$T$6:$T$205,$L36))</f>
        <v/>
      </c>
      <c r="I36" s="84">
        <f>IF($L36="","",INDEX('①企画一覧・審査'!$U$6:$U$205,$L36)&amp;"")</f>
        <v/>
      </c>
      <c r="J36" s="93">
        <f>IF($L36="","",INDEX('①企画一覧・審査'!$F$6:$F$205,$L36)&amp;"")</f>
        <v/>
      </c>
      <c r="L36">
        <f>IF(A36="","",MATCH(LARGE('①企画一覧・審査'!$W$6:$W$205,19),'①企画一覧・審査'!$W$6:$W$205,0))</f>
        <v/>
      </c>
    </row>
    <row r="37" ht="30" customHeight="1" s="35">
      <c r="A37" s="84">
        <f>IF(COUNT('①企画一覧・審査'!$W$6:$W$205)&lt;20,"",20)</f>
        <v/>
      </c>
      <c r="B37" s="84">
        <f>IF($L37="","",INDEX('①企画一覧・審査'!$B$6:$B$205,$L37)&amp;"")</f>
        <v/>
      </c>
      <c r="C37" s="93">
        <f>IF($L37="","",INDEX('①企画一覧・審査'!$C$6:$C$205,$L37)&amp;"")</f>
        <v/>
      </c>
      <c r="D37" s="93">
        <f>IF($L37="","",INDEX('①企画一覧・審査'!$I$6:$I$205,$L37)&amp;"")</f>
        <v/>
      </c>
      <c r="E37" s="84">
        <f>IF($L37="","",INDEX('①企画一覧・審査'!$Q$6:$Q$205,$L37))</f>
        <v/>
      </c>
      <c r="F37" s="84">
        <f>IF($L37="","",INDEX('①企画一覧・審査'!$R$6:$R$205,$L37))</f>
        <v/>
      </c>
      <c r="G37" s="84">
        <f>IF($L37="","",INDEX('①企画一覧・審査'!$S$6:$S$205,$L37))</f>
        <v/>
      </c>
      <c r="H37" s="84">
        <f>IF($L37="","",INDEX('①企画一覧・審査'!$T$6:$T$205,$L37))</f>
        <v/>
      </c>
      <c r="I37" s="84">
        <f>IF($L37="","",INDEX('①企画一覧・審査'!$U$6:$U$205,$L37)&amp;"")</f>
        <v/>
      </c>
      <c r="J37" s="93">
        <f>IF($L37="","",INDEX('①企画一覧・審査'!$F$6:$F$205,$L37)&amp;"")</f>
        <v/>
      </c>
      <c r="L37">
        <f>IF(A37="","",MATCH(LARGE('①企画一覧・審査'!$W$6:$W$205,20),'①企画一覧・審査'!$W$6:$W$205,0))</f>
        <v/>
      </c>
    </row>
    <row r="38" ht="30" customHeight="1" s="35">
      <c r="A38" s="84">
        <f>IF(COUNT('①企画一覧・審査'!$W$6:$W$205)&lt;21,"",21)</f>
        <v/>
      </c>
      <c r="B38" s="84">
        <f>IF($L38="","",INDEX('①企画一覧・審査'!$B$6:$B$205,$L38)&amp;"")</f>
        <v/>
      </c>
      <c r="C38" s="93">
        <f>IF($L38="","",INDEX('①企画一覧・審査'!$C$6:$C$205,$L38)&amp;"")</f>
        <v/>
      </c>
      <c r="D38" s="93">
        <f>IF($L38="","",INDEX('①企画一覧・審査'!$I$6:$I$205,$L38)&amp;"")</f>
        <v/>
      </c>
      <c r="E38" s="84">
        <f>IF($L38="","",INDEX('①企画一覧・審査'!$Q$6:$Q$205,$L38))</f>
        <v/>
      </c>
      <c r="F38" s="84">
        <f>IF($L38="","",INDEX('①企画一覧・審査'!$R$6:$R$205,$L38))</f>
        <v/>
      </c>
      <c r="G38" s="84">
        <f>IF($L38="","",INDEX('①企画一覧・審査'!$S$6:$S$205,$L38))</f>
        <v/>
      </c>
      <c r="H38" s="84">
        <f>IF($L38="","",INDEX('①企画一覧・審査'!$T$6:$T$205,$L38))</f>
        <v/>
      </c>
      <c r="I38" s="84">
        <f>IF($L38="","",INDEX('①企画一覧・審査'!$U$6:$U$205,$L38)&amp;"")</f>
        <v/>
      </c>
      <c r="J38" s="93">
        <f>IF($L38="","",INDEX('①企画一覧・審査'!$F$6:$F$205,$L38)&amp;"")</f>
        <v/>
      </c>
      <c r="L38">
        <f>IF(A38="","",MATCH(LARGE('①企画一覧・審査'!$W$6:$W$205,21),'①企画一覧・審査'!$W$6:$W$205,0))</f>
        <v/>
      </c>
    </row>
    <row r="39" ht="30" customHeight="1" s="35">
      <c r="A39" s="84">
        <f>IF(COUNT('①企画一覧・審査'!$W$6:$W$205)&lt;22,"",22)</f>
        <v/>
      </c>
      <c r="B39" s="84">
        <f>IF($L39="","",INDEX('①企画一覧・審査'!$B$6:$B$205,$L39)&amp;"")</f>
        <v/>
      </c>
      <c r="C39" s="93">
        <f>IF($L39="","",INDEX('①企画一覧・審査'!$C$6:$C$205,$L39)&amp;"")</f>
        <v/>
      </c>
      <c r="D39" s="93">
        <f>IF($L39="","",INDEX('①企画一覧・審査'!$I$6:$I$205,$L39)&amp;"")</f>
        <v/>
      </c>
      <c r="E39" s="84">
        <f>IF($L39="","",INDEX('①企画一覧・審査'!$Q$6:$Q$205,$L39))</f>
        <v/>
      </c>
      <c r="F39" s="84">
        <f>IF($L39="","",INDEX('①企画一覧・審査'!$R$6:$R$205,$L39))</f>
        <v/>
      </c>
      <c r="G39" s="84">
        <f>IF($L39="","",INDEX('①企画一覧・審査'!$S$6:$S$205,$L39))</f>
        <v/>
      </c>
      <c r="H39" s="84">
        <f>IF($L39="","",INDEX('①企画一覧・審査'!$T$6:$T$205,$L39))</f>
        <v/>
      </c>
      <c r="I39" s="84">
        <f>IF($L39="","",INDEX('①企画一覧・審査'!$U$6:$U$205,$L39)&amp;"")</f>
        <v/>
      </c>
      <c r="J39" s="93">
        <f>IF($L39="","",INDEX('①企画一覧・審査'!$F$6:$F$205,$L39)&amp;"")</f>
        <v/>
      </c>
      <c r="L39">
        <f>IF(A39="","",MATCH(LARGE('①企画一覧・審査'!$W$6:$W$205,22),'①企画一覧・審査'!$W$6:$W$205,0))</f>
        <v/>
      </c>
    </row>
    <row r="40" ht="30" customHeight="1" s="35">
      <c r="A40" s="84">
        <f>IF(COUNT('①企画一覧・審査'!$W$6:$W$205)&lt;23,"",23)</f>
        <v/>
      </c>
      <c r="B40" s="84">
        <f>IF($L40="","",INDEX('①企画一覧・審査'!$B$6:$B$205,$L40)&amp;"")</f>
        <v/>
      </c>
      <c r="C40" s="93">
        <f>IF($L40="","",INDEX('①企画一覧・審査'!$C$6:$C$205,$L40)&amp;"")</f>
        <v/>
      </c>
      <c r="D40" s="93">
        <f>IF($L40="","",INDEX('①企画一覧・審査'!$I$6:$I$205,$L40)&amp;"")</f>
        <v/>
      </c>
      <c r="E40" s="84">
        <f>IF($L40="","",INDEX('①企画一覧・審査'!$Q$6:$Q$205,$L40))</f>
        <v/>
      </c>
      <c r="F40" s="84">
        <f>IF($L40="","",INDEX('①企画一覧・審査'!$R$6:$R$205,$L40))</f>
        <v/>
      </c>
      <c r="G40" s="84">
        <f>IF($L40="","",INDEX('①企画一覧・審査'!$S$6:$S$205,$L40))</f>
        <v/>
      </c>
      <c r="H40" s="84">
        <f>IF($L40="","",INDEX('①企画一覧・審査'!$T$6:$T$205,$L40))</f>
        <v/>
      </c>
      <c r="I40" s="84">
        <f>IF($L40="","",INDEX('①企画一覧・審査'!$U$6:$U$205,$L40)&amp;"")</f>
        <v/>
      </c>
      <c r="J40" s="93">
        <f>IF($L40="","",INDEX('①企画一覧・審査'!$F$6:$F$205,$L40)&amp;"")</f>
        <v/>
      </c>
      <c r="L40">
        <f>IF(A40="","",MATCH(LARGE('①企画一覧・審査'!$W$6:$W$205,23),'①企画一覧・審査'!$W$6:$W$205,0))</f>
        <v/>
      </c>
    </row>
    <row r="41" ht="30" customHeight="1" s="35">
      <c r="A41" s="84">
        <f>IF(COUNT('①企画一覧・審査'!$W$6:$W$205)&lt;24,"",24)</f>
        <v/>
      </c>
      <c r="B41" s="84">
        <f>IF($L41="","",INDEX('①企画一覧・審査'!$B$6:$B$205,$L41)&amp;"")</f>
        <v/>
      </c>
      <c r="C41" s="93">
        <f>IF($L41="","",INDEX('①企画一覧・審査'!$C$6:$C$205,$L41)&amp;"")</f>
        <v/>
      </c>
      <c r="D41" s="93">
        <f>IF($L41="","",INDEX('①企画一覧・審査'!$I$6:$I$205,$L41)&amp;"")</f>
        <v/>
      </c>
      <c r="E41" s="84">
        <f>IF($L41="","",INDEX('①企画一覧・審査'!$Q$6:$Q$205,$L41))</f>
        <v/>
      </c>
      <c r="F41" s="84">
        <f>IF($L41="","",INDEX('①企画一覧・審査'!$R$6:$R$205,$L41))</f>
        <v/>
      </c>
      <c r="G41" s="84">
        <f>IF($L41="","",INDEX('①企画一覧・審査'!$S$6:$S$205,$L41))</f>
        <v/>
      </c>
      <c r="H41" s="84">
        <f>IF($L41="","",INDEX('①企画一覧・審査'!$T$6:$T$205,$L41))</f>
        <v/>
      </c>
      <c r="I41" s="84">
        <f>IF($L41="","",INDEX('①企画一覧・審査'!$U$6:$U$205,$L41)&amp;"")</f>
        <v/>
      </c>
      <c r="J41" s="93">
        <f>IF($L41="","",INDEX('①企画一覧・審査'!$F$6:$F$205,$L41)&amp;"")</f>
        <v/>
      </c>
      <c r="L41">
        <f>IF(A41="","",MATCH(LARGE('①企画一覧・審査'!$W$6:$W$205,24),'①企画一覧・審査'!$W$6:$W$205,0))</f>
        <v/>
      </c>
    </row>
    <row r="42" ht="30" customHeight="1" s="35">
      <c r="A42" s="84">
        <f>IF(COUNT('①企画一覧・審査'!$W$6:$W$205)&lt;25,"",25)</f>
        <v/>
      </c>
      <c r="B42" s="84">
        <f>IF($L42="","",INDEX('①企画一覧・審査'!$B$6:$B$205,$L42)&amp;"")</f>
        <v/>
      </c>
      <c r="C42" s="93">
        <f>IF($L42="","",INDEX('①企画一覧・審査'!$C$6:$C$205,$L42)&amp;"")</f>
        <v/>
      </c>
      <c r="D42" s="93">
        <f>IF($L42="","",INDEX('①企画一覧・審査'!$I$6:$I$205,$L42)&amp;"")</f>
        <v/>
      </c>
      <c r="E42" s="84">
        <f>IF($L42="","",INDEX('①企画一覧・審査'!$Q$6:$Q$205,$L42))</f>
        <v/>
      </c>
      <c r="F42" s="84">
        <f>IF($L42="","",INDEX('①企画一覧・審査'!$R$6:$R$205,$L42))</f>
        <v/>
      </c>
      <c r="G42" s="84">
        <f>IF($L42="","",INDEX('①企画一覧・審査'!$S$6:$S$205,$L42))</f>
        <v/>
      </c>
      <c r="H42" s="84">
        <f>IF($L42="","",INDEX('①企画一覧・審査'!$T$6:$T$205,$L42))</f>
        <v/>
      </c>
      <c r="I42" s="84">
        <f>IF($L42="","",INDEX('①企画一覧・審査'!$U$6:$U$205,$L42)&amp;"")</f>
        <v/>
      </c>
      <c r="J42" s="93">
        <f>IF($L42="","",INDEX('①企画一覧・審査'!$F$6:$F$205,$L42)&amp;"")</f>
        <v/>
      </c>
      <c r="L42">
        <f>IF(A42="","",MATCH(LARGE('①企画一覧・審査'!$W$6:$W$205,25),'①企画一覧・審査'!$W$6:$W$205,0))</f>
        <v/>
      </c>
    </row>
    <row r="43" ht="30" customHeight="1" s="35">
      <c r="A43" s="84">
        <f>IF(COUNT('①企画一覧・審査'!$W$6:$W$205)&lt;26,"",26)</f>
        <v/>
      </c>
      <c r="B43" s="84">
        <f>IF($L43="","",INDEX('①企画一覧・審査'!$B$6:$B$205,$L43)&amp;"")</f>
        <v/>
      </c>
      <c r="C43" s="93">
        <f>IF($L43="","",INDEX('①企画一覧・審査'!$C$6:$C$205,$L43)&amp;"")</f>
        <v/>
      </c>
      <c r="D43" s="93">
        <f>IF($L43="","",INDEX('①企画一覧・審査'!$I$6:$I$205,$L43)&amp;"")</f>
        <v/>
      </c>
      <c r="E43" s="84">
        <f>IF($L43="","",INDEX('①企画一覧・審査'!$Q$6:$Q$205,$L43))</f>
        <v/>
      </c>
      <c r="F43" s="84">
        <f>IF($L43="","",INDEX('①企画一覧・審査'!$R$6:$R$205,$L43))</f>
        <v/>
      </c>
      <c r="G43" s="84">
        <f>IF($L43="","",INDEX('①企画一覧・審査'!$S$6:$S$205,$L43))</f>
        <v/>
      </c>
      <c r="H43" s="84">
        <f>IF($L43="","",INDEX('①企画一覧・審査'!$T$6:$T$205,$L43))</f>
        <v/>
      </c>
      <c r="I43" s="84">
        <f>IF($L43="","",INDEX('①企画一覧・審査'!$U$6:$U$205,$L43)&amp;"")</f>
        <v/>
      </c>
      <c r="J43" s="93">
        <f>IF($L43="","",INDEX('①企画一覧・審査'!$F$6:$F$205,$L43)&amp;"")</f>
        <v/>
      </c>
      <c r="L43">
        <f>IF(A43="","",MATCH(LARGE('①企画一覧・審査'!$W$6:$W$205,26),'①企画一覧・審査'!$W$6:$W$205,0))</f>
        <v/>
      </c>
    </row>
    <row r="44" ht="30" customHeight="1" s="35">
      <c r="A44" s="84">
        <f>IF(COUNT('①企画一覧・審査'!$W$6:$W$205)&lt;27,"",27)</f>
        <v/>
      </c>
      <c r="B44" s="84">
        <f>IF($L44="","",INDEX('①企画一覧・審査'!$B$6:$B$205,$L44)&amp;"")</f>
        <v/>
      </c>
      <c r="C44" s="93">
        <f>IF($L44="","",INDEX('①企画一覧・審査'!$C$6:$C$205,$L44)&amp;"")</f>
        <v/>
      </c>
      <c r="D44" s="93">
        <f>IF($L44="","",INDEX('①企画一覧・審査'!$I$6:$I$205,$L44)&amp;"")</f>
        <v/>
      </c>
      <c r="E44" s="84">
        <f>IF($L44="","",INDEX('①企画一覧・審査'!$Q$6:$Q$205,$L44))</f>
        <v/>
      </c>
      <c r="F44" s="84">
        <f>IF($L44="","",INDEX('①企画一覧・審査'!$R$6:$R$205,$L44))</f>
        <v/>
      </c>
      <c r="G44" s="84">
        <f>IF($L44="","",INDEX('①企画一覧・審査'!$S$6:$S$205,$L44))</f>
        <v/>
      </c>
      <c r="H44" s="84">
        <f>IF($L44="","",INDEX('①企画一覧・審査'!$T$6:$T$205,$L44))</f>
        <v/>
      </c>
      <c r="I44" s="84">
        <f>IF($L44="","",INDEX('①企画一覧・審査'!$U$6:$U$205,$L44)&amp;"")</f>
        <v/>
      </c>
      <c r="J44" s="93">
        <f>IF($L44="","",INDEX('①企画一覧・審査'!$F$6:$F$205,$L44)&amp;"")</f>
        <v/>
      </c>
      <c r="L44">
        <f>IF(A44="","",MATCH(LARGE('①企画一覧・審査'!$W$6:$W$205,27),'①企画一覧・審査'!$W$6:$W$205,0))</f>
        <v/>
      </c>
    </row>
    <row r="45" ht="30" customHeight="1" s="35">
      <c r="A45" s="84">
        <f>IF(COUNT('①企画一覧・審査'!$W$6:$W$205)&lt;28,"",28)</f>
        <v/>
      </c>
      <c r="B45" s="84">
        <f>IF($L45="","",INDEX('①企画一覧・審査'!$B$6:$B$205,$L45)&amp;"")</f>
        <v/>
      </c>
      <c r="C45" s="93">
        <f>IF($L45="","",INDEX('①企画一覧・審査'!$C$6:$C$205,$L45)&amp;"")</f>
        <v/>
      </c>
      <c r="D45" s="93">
        <f>IF($L45="","",INDEX('①企画一覧・審査'!$I$6:$I$205,$L45)&amp;"")</f>
        <v/>
      </c>
      <c r="E45" s="84">
        <f>IF($L45="","",INDEX('①企画一覧・審査'!$Q$6:$Q$205,$L45))</f>
        <v/>
      </c>
      <c r="F45" s="84">
        <f>IF($L45="","",INDEX('①企画一覧・審査'!$R$6:$R$205,$L45))</f>
        <v/>
      </c>
      <c r="G45" s="84">
        <f>IF($L45="","",INDEX('①企画一覧・審査'!$S$6:$S$205,$L45))</f>
        <v/>
      </c>
      <c r="H45" s="84">
        <f>IF($L45="","",INDEX('①企画一覧・審査'!$T$6:$T$205,$L45))</f>
        <v/>
      </c>
      <c r="I45" s="84">
        <f>IF($L45="","",INDEX('①企画一覧・審査'!$U$6:$U$205,$L45)&amp;"")</f>
        <v/>
      </c>
      <c r="J45" s="93">
        <f>IF($L45="","",INDEX('①企画一覧・審査'!$F$6:$F$205,$L45)&amp;"")</f>
        <v/>
      </c>
      <c r="L45">
        <f>IF(A45="","",MATCH(LARGE('①企画一覧・審査'!$W$6:$W$205,28),'①企画一覧・審査'!$W$6:$W$205,0))</f>
        <v/>
      </c>
    </row>
    <row r="46" ht="30" customHeight="1" s="35">
      <c r="A46" s="84">
        <f>IF(COUNT('①企画一覧・審査'!$W$6:$W$205)&lt;29,"",29)</f>
        <v/>
      </c>
      <c r="B46" s="84">
        <f>IF($L46="","",INDEX('①企画一覧・審査'!$B$6:$B$205,$L46)&amp;"")</f>
        <v/>
      </c>
      <c r="C46" s="93">
        <f>IF($L46="","",INDEX('①企画一覧・審査'!$C$6:$C$205,$L46)&amp;"")</f>
        <v/>
      </c>
      <c r="D46" s="93">
        <f>IF($L46="","",INDEX('①企画一覧・審査'!$I$6:$I$205,$L46)&amp;"")</f>
        <v/>
      </c>
      <c r="E46" s="84">
        <f>IF($L46="","",INDEX('①企画一覧・審査'!$Q$6:$Q$205,$L46))</f>
        <v/>
      </c>
      <c r="F46" s="84">
        <f>IF($L46="","",INDEX('①企画一覧・審査'!$R$6:$R$205,$L46))</f>
        <v/>
      </c>
      <c r="G46" s="84">
        <f>IF($L46="","",INDEX('①企画一覧・審査'!$S$6:$S$205,$L46))</f>
        <v/>
      </c>
      <c r="H46" s="84">
        <f>IF($L46="","",INDEX('①企画一覧・審査'!$T$6:$T$205,$L46))</f>
        <v/>
      </c>
      <c r="I46" s="84">
        <f>IF($L46="","",INDEX('①企画一覧・審査'!$U$6:$U$205,$L46)&amp;"")</f>
        <v/>
      </c>
      <c r="J46" s="93">
        <f>IF($L46="","",INDEX('①企画一覧・審査'!$F$6:$F$205,$L46)&amp;"")</f>
        <v/>
      </c>
      <c r="L46">
        <f>IF(A46="","",MATCH(LARGE('①企画一覧・審査'!$W$6:$W$205,29),'①企画一覧・審査'!$W$6:$W$205,0))</f>
        <v/>
      </c>
    </row>
    <row r="47" ht="30" customHeight="1" s="35">
      <c r="A47" s="84">
        <f>IF(COUNT('①企画一覧・審査'!$W$6:$W$205)&lt;30,"",30)</f>
        <v/>
      </c>
      <c r="B47" s="84">
        <f>IF($L47="","",INDEX('①企画一覧・審査'!$B$6:$B$205,$L47)&amp;"")</f>
        <v/>
      </c>
      <c r="C47" s="93">
        <f>IF($L47="","",INDEX('①企画一覧・審査'!$C$6:$C$205,$L47)&amp;"")</f>
        <v/>
      </c>
      <c r="D47" s="93">
        <f>IF($L47="","",INDEX('①企画一覧・審査'!$I$6:$I$205,$L47)&amp;"")</f>
        <v/>
      </c>
      <c r="E47" s="84">
        <f>IF($L47="","",INDEX('①企画一覧・審査'!$Q$6:$Q$205,$L47))</f>
        <v/>
      </c>
      <c r="F47" s="84">
        <f>IF($L47="","",INDEX('①企画一覧・審査'!$R$6:$R$205,$L47))</f>
        <v/>
      </c>
      <c r="G47" s="84">
        <f>IF($L47="","",INDEX('①企画一覧・審査'!$S$6:$S$205,$L47))</f>
        <v/>
      </c>
      <c r="H47" s="84">
        <f>IF($L47="","",INDEX('①企画一覧・審査'!$T$6:$T$205,$L47))</f>
        <v/>
      </c>
      <c r="I47" s="84">
        <f>IF($L47="","",INDEX('①企画一覧・審査'!$U$6:$U$205,$L47)&amp;"")</f>
        <v/>
      </c>
      <c r="J47" s="93">
        <f>IF($L47="","",INDEX('①企画一覧・審査'!$F$6:$F$205,$L47)&amp;"")</f>
        <v/>
      </c>
      <c r="L47">
        <f>IF(A47="","",MATCH(LARGE('①企画一覧・審査'!$W$6:$W$205,30),'①企画一覧・審査'!$W$6:$W$205,0))</f>
        <v/>
      </c>
    </row>
    <row r="48" ht="30" customHeight="1" s="35">
      <c r="A48" s="84">
        <f>IF(COUNT('①企画一覧・審査'!$W$6:$W$205)&lt;31,"",31)</f>
        <v/>
      </c>
      <c r="B48" s="84">
        <f>IF($L48="","",INDEX('①企画一覧・審査'!$B$6:$B$205,$L48)&amp;"")</f>
        <v/>
      </c>
      <c r="C48" s="93">
        <f>IF($L48="","",INDEX('①企画一覧・審査'!$C$6:$C$205,$L48)&amp;"")</f>
        <v/>
      </c>
      <c r="D48" s="93">
        <f>IF($L48="","",INDEX('①企画一覧・審査'!$I$6:$I$205,$L48)&amp;"")</f>
        <v/>
      </c>
      <c r="E48" s="84">
        <f>IF($L48="","",INDEX('①企画一覧・審査'!$Q$6:$Q$205,$L48))</f>
        <v/>
      </c>
      <c r="F48" s="84">
        <f>IF($L48="","",INDEX('①企画一覧・審査'!$R$6:$R$205,$L48))</f>
        <v/>
      </c>
      <c r="G48" s="84">
        <f>IF($L48="","",INDEX('①企画一覧・審査'!$S$6:$S$205,$L48))</f>
        <v/>
      </c>
      <c r="H48" s="84">
        <f>IF($L48="","",INDEX('①企画一覧・審査'!$T$6:$T$205,$L48))</f>
        <v/>
      </c>
      <c r="I48" s="84">
        <f>IF($L48="","",INDEX('①企画一覧・審査'!$U$6:$U$205,$L48)&amp;"")</f>
        <v/>
      </c>
      <c r="J48" s="93">
        <f>IF($L48="","",INDEX('①企画一覧・審査'!$F$6:$F$205,$L48)&amp;"")</f>
        <v/>
      </c>
      <c r="L48">
        <f>IF(A48="","",MATCH(LARGE('①企画一覧・審査'!$W$6:$W$205,31),'①企画一覧・審査'!$W$6:$W$205,0))</f>
        <v/>
      </c>
    </row>
    <row r="49" ht="30" customHeight="1" s="35">
      <c r="A49" s="84">
        <f>IF(COUNT('①企画一覧・審査'!$W$6:$W$205)&lt;32,"",32)</f>
        <v/>
      </c>
      <c r="B49" s="84">
        <f>IF($L49="","",INDEX('①企画一覧・審査'!$B$6:$B$205,$L49)&amp;"")</f>
        <v/>
      </c>
      <c r="C49" s="93">
        <f>IF($L49="","",INDEX('①企画一覧・審査'!$C$6:$C$205,$L49)&amp;"")</f>
        <v/>
      </c>
      <c r="D49" s="93">
        <f>IF($L49="","",INDEX('①企画一覧・審査'!$I$6:$I$205,$L49)&amp;"")</f>
        <v/>
      </c>
      <c r="E49" s="84">
        <f>IF($L49="","",INDEX('①企画一覧・審査'!$Q$6:$Q$205,$L49))</f>
        <v/>
      </c>
      <c r="F49" s="84">
        <f>IF($L49="","",INDEX('①企画一覧・審査'!$R$6:$R$205,$L49))</f>
        <v/>
      </c>
      <c r="G49" s="84">
        <f>IF($L49="","",INDEX('①企画一覧・審査'!$S$6:$S$205,$L49))</f>
        <v/>
      </c>
      <c r="H49" s="84">
        <f>IF($L49="","",INDEX('①企画一覧・審査'!$T$6:$T$205,$L49))</f>
        <v/>
      </c>
      <c r="I49" s="84">
        <f>IF($L49="","",INDEX('①企画一覧・審査'!$U$6:$U$205,$L49)&amp;"")</f>
        <v/>
      </c>
      <c r="J49" s="93">
        <f>IF($L49="","",INDEX('①企画一覧・審査'!$F$6:$F$205,$L49)&amp;"")</f>
        <v/>
      </c>
      <c r="L49">
        <f>IF(A49="","",MATCH(LARGE('①企画一覧・審査'!$W$6:$W$205,32),'①企画一覧・審査'!$W$6:$W$205,0))</f>
        <v/>
      </c>
    </row>
    <row r="50" ht="30" customHeight="1" s="35">
      <c r="A50" s="84">
        <f>IF(COUNT('①企画一覧・審査'!$W$6:$W$205)&lt;33,"",33)</f>
        <v/>
      </c>
      <c r="B50" s="84">
        <f>IF($L50="","",INDEX('①企画一覧・審査'!$B$6:$B$205,$L50)&amp;"")</f>
        <v/>
      </c>
      <c r="C50" s="93">
        <f>IF($L50="","",INDEX('①企画一覧・審査'!$C$6:$C$205,$L50)&amp;"")</f>
        <v/>
      </c>
      <c r="D50" s="93">
        <f>IF($L50="","",INDEX('①企画一覧・審査'!$I$6:$I$205,$L50)&amp;"")</f>
        <v/>
      </c>
      <c r="E50" s="84">
        <f>IF($L50="","",INDEX('①企画一覧・審査'!$Q$6:$Q$205,$L50))</f>
        <v/>
      </c>
      <c r="F50" s="84">
        <f>IF($L50="","",INDEX('①企画一覧・審査'!$R$6:$R$205,$L50))</f>
        <v/>
      </c>
      <c r="G50" s="84">
        <f>IF($L50="","",INDEX('①企画一覧・審査'!$S$6:$S$205,$L50))</f>
        <v/>
      </c>
      <c r="H50" s="84">
        <f>IF($L50="","",INDEX('①企画一覧・審査'!$T$6:$T$205,$L50))</f>
        <v/>
      </c>
      <c r="I50" s="84">
        <f>IF($L50="","",INDEX('①企画一覧・審査'!$U$6:$U$205,$L50)&amp;"")</f>
        <v/>
      </c>
      <c r="J50" s="93">
        <f>IF($L50="","",INDEX('①企画一覧・審査'!$F$6:$F$205,$L50)&amp;"")</f>
        <v/>
      </c>
      <c r="L50">
        <f>IF(A50="","",MATCH(LARGE('①企画一覧・審査'!$W$6:$W$205,33),'①企画一覧・審査'!$W$6:$W$205,0))</f>
        <v/>
      </c>
    </row>
    <row r="51" ht="30" customHeight="1" s="35">
      <c r="A51" s="84">
        <f>IF(COUNT('①企画一覧・審査'!$W$6:$W$205)&lt;34,"",34)</f>
        <v/>
      </c>
      <c r="B51" s="84">
        <f>IF($L51="","",INDEX('①企画一覧・審査'!$B$6:$B$205,$L51)&amp;"")</f>
        <v/>
      </c>
      <c r="C51" s="93">
        <f>IF($L51="","",INDEX('①企画一覧・審査'!$C$6:$C$205,$L51)&amp;"")</f>
        <v/>
      </c>
      <c r="D51" s="93">
        <f>IF($L51="","",INDEX('①企画一覧・審査'!$I$6:$I$205,$L51)&amp;"")</f>
        <v/>
      </c>
      <c r="E51" s="84">
        <f>IF($L51="","",INDEX('①企画一覧・審査'!$Q$6:$Q$205,$L51))</f>
        <v/>
      </c>
      <c r="F51" s="84">
        <f>IF($L51="","",INDEX('①企画一覧・審査'!$R$6:$R$205,$L51))</f>
        <v/>
      </c>
      <c r="G51" s="84">
        <f>IF($L51="","",INDEX('①企画一覧・審査'!$S$6:$S$205,$L51))</f>
        <v/>
      </c>
      <c r="H51" s="84">
        <f>IF($L51="","",INDEX('①企画一覧・審査'!$T$6:$T$205,$L51))</f>
        <v/>
      </c>
      <c r="I51" s="84">
        <f>IF($L51="","",INDEX('①企画一覧・審査'!$U$6:$U$205,$L51)&amp;"")</f>
        <v/>
      </c>
      <c r="J51" s="93">
        <f>IF($L51="","",INDEX('①企画一覧・審査'!$F$6:$F$205,$L51)&amp;"")</f>
        <v/>
      </c>
      <c r="L51">
        <f>IF(A51="","",MATCH(LARGE('①企画一覧・審査'!$W$6:$W$205,34),'①企画一覧・審査'!$W$6:$W$205,0))</f>
        <v/>
      </c>
    </row>
    <row r="52" ht="30" customHeight="1" s="35">
      <c r="A52" s="84">
        <f>IF(COUNT('①企画一覧・審査'!$W$6:$W$205)&lt;35,"",35)</f>
        <v/>
      </c>
      <c r="B52" s="84">
        <f>IF($L52="","",INDEX('①企画一覧・審査'!$B$6:$B$205,$L52)&amp;"")</f>
        <v/>
      </c>
      <c r="C52" s="93">
        <f>IF($L52="","",INDEX('①企画一覧・審査'!$C$6:$C$205,$L52)&amp;"")</f>
        <v/>
      </c>
      <c r="D52" s="93">
        <f>IF($L52="","",INDEX('①企画一覧・審査'!$I$6:$I$205,$L52)&amp;"")</f>
        <v/>
      </c>
      <c r="E52" s="84">
        <f>IF($L52="","",INDEX('①企画一覧・審査'!$Q$6:$Q$205,$L52))</f>
        <v/>
      </c>
      <c r="F52" s="84">
        <f>IF($L52="","",INDEX('①企画一覧・審査'!$R$6:$R$205,$L52))</f>
        <v/>
      </c>
      <c r="G52" s="84">
        <f>IF($L52="","",INDEX('①企画一覧・審査'!$S$6:$S$205,$L52))</f>
        <v/>
      </c>
      <c r="H52" s="84">
        <f>IF($L52="","",INDEX('①企画一覧・審査'!$T$6:$T$205,$L52))</f>
        <v/>
      </c>
      <c r="I52" s="84">
        <f>IF($L52="","",INDEX('①企画一覧・審査'!$U$6:$U$205,$L52)&amp;"")</f>
        <v/>
      </c>
      <c r="J52" s="93">
        <f>IF($L52="","",INDEX('①企画一覧・審査'!$F$6:$F$205,$L52)&amp;"")</f>
        <v/>
      </c>
      <c r="L52">
        <f>IF(A52="","",MATCH(LARGE('①企画一覧・審査'!$W$6:$W$205,35),'①企画一覧・審査'!$W$6:$W$205,0))</f>
        <v/>
      </c>
    </row>
    <row r="53" ht="30" customHeight="1" s="35">
      <c r="A53" s="84">
        <f>IF(COUNT('①企画一覧・審査'!$W$6:$W$205)&lt;36,"",36)</f>
        <v/>
      </c>
      <c r="B53" s="84">
        <f>IF($L53="","",INDEX('①企画一覧・審査'!$B$6:$B$205,$L53)&amp;"")</f>
        <v/>
      </c>
      <c r="C53" s="93">
        <f>IF($L53="","",INDEX('①企画一覧・審査'!$C$6:$C$205,$L53)&amp;"")</f>
        <v/>
      </c>
      <c r="D53" s="93">
        <f>IF($L53="","",INDEX('①企画一覧・審査'!$I$6:$I$205,$L53)&amp;"")</f>
        <v/>
      </c>
      <c r="E53" s="84">
        <f>IF($L53="","",INDEX('①企画一覧・審査'!$Q$6:$Q$205,$L53))</f>
        <v/>
      </c>
      <c r="F53" s="84">
        <f>IF($L53="","",INDEX('①企画一覧・審査'!$R$6:$R$205,$L53))</f>
        <v/>
      </c>
      <c r="G53" s="84">
        <f>IF($L53="","",INDEX('①企画一覧・審査'!$S$6:$S$205,$L53))</f>
        <v/>
      </c>
      <c r="H53" s="84">
        <f>IF($L53="","",INDEX('①企画一覧・審査'!$T$6:$T$205,$L53))</f>
        <v/>
      </c>
      <c r="I53" s="84">
        <f>IF($L53="","",INDEX('①企画一覧・審査'!$U$6:$U$205,$L53)&amp;"")</f>
        <v/>
      </c>
      <c r="J53" s="93">
        <f>IF($L53="","",INDEX('①企画一覧・審査'!$F$6:$F$205,$L53)&amp;"")</f>
        <v/>
      </c>
      <c r="L53">
        <f>IF(A53="","",MATCH(LARGE('①企画一覧・審査'!$W$6:$W$205,36),'①企画一覧・審査'!$W$6:$W$205,0))</f>
        <v/>
      </c>
    </row>
    <row r="54" ht="30" customHeight="1" s="35">
      <c r="A54" s="84">
        <f>IF(COUNT('①企画一覧・審査'!$W$6:$W$205)&lt;37,"",37)</f>
        <v/>
      </c>
      <c r="B54" s="84">
        <f>IF($L54="","",INDEX('①企画一覧・審査'!$B$6:$B$205,$L54)&amp;"")</f>
        <v/>
      </c>
      <c r="C54" s="93">
        <f>IF($L54="","",INDEX('①企画一覧・審査'!$C$6:$C$205,$L54)&amp;"")</f>
        <v/>
      </c>
      <c r="D54" s="93">
        <f>IF($L54="","",INDEX('①企画一覧・審査'!$I$6:$I$205,$L54)&amp;"")</f>
        <v/>
      </c>
      <c r="E54" s="84">
        <f>IF($L54="","",INDEX('①企画一覧・審査'!$Q$6:$Q$205,$L54))</f>
        <v/>
      </c>
      <c r="F54" s="84">
        <f>IF($L54="","",INDEX('①企画一覧・審査'!$R$6:$R$205,$L54))</f>
        <v/>
      </c>
      <c r="G54" s="84">
        <f>IF($L54="","",INDEX('①企画一覧・審査'!$S$6:$S$205,$L54))</f>
        <v/>
      </c>
      <c r="H54" s="84">
        <f>IF($L54="","",INDEX('①企画一覧・審査'!$T$6:$T$205,$L54))</f>
        <v/>
      </c>
      <c r="I54" s="84">
        <f>IF($L54="","",INDEX('①企画一覧・審査'!$U$6:$U$205,$L54)&amp;"")</f>
        <v/>
      </c>
      <c r="J54" s="93">
        <f>IF($L54="","",INDEX('①企画一覧・審査'!$F$6:$F$205,$L54)&amp;"")</f>
        <v/>
      </c>
      <c r="L54">
        <f>IF(A54="","",MATCH(LARGE('①企画一覧・審査'!$W$6:$W$205,37),'①企画一覧・審査'!$W$6:$W$205,0))</f>
        <v/>
      </c>
    </row>
    <row r="55" ht="30" customHeight="1" s="35">
      <c r="A55" s="84">
        <f>IF(COUNT('①企画一覧・審査'!$W$6:$W$205)&lt;38,"",38)</f>
        <v/>
      </c>
      <c r="B55" s="84">
        <f>IF($L55="","",INDEX('①企画一覧・審査'!$B$6:$B$205,$L55)&amp;"")</f>
        <v/>
      </c>
      <c r="C55" s="93">
        <f>IF($L55="","",INDEX('①企画一覧・審査'!$C$6:$C$205,$L55)&amp;"")</f>
        <v/>
      </c>
      <c r="D55" s="93">
        <f>IF($L55="","",INDEX('①企画一覧・審査'!$I$6:$I$205,$L55)&amp;"")</f>
        <v/>
      </c>
      <c r="E55" s="84">
        <f>IF($L55="","",INDEX('①企画一覧・審査'!$Q$6:$Q$205,$L55))</f>
        <v/>
      </c>
      <c r="F55" s="84">
        <f>IF($L55="","",INDEX('①企画一覧・審査'!$R$6:$R$205,$L55))</f>
        <v/>
      </c>
      <c r="G55" s="84">
        <f>IF($L55="","",INDEX('①企画一覧・審査'!$S$6:$S$205,$L55))</f>
        <v/>
      </c>
      <c r="H55" s="84">
        <f>IF($L55="","",INDEX('①企画一覧・審査'!$T$6:$T$205,$L55))</f>
        <v/>
      </c>
      <c r="I55" s="84">
        <f>IF($L55="","",INDEX('①企画一覧・審査'!$U$6:$U$205,$L55)&amp;"")</f>
        <v/>
      </c>
      <c r="J55" s="93">
        <f>IF($L55="","",INDEX('①企画一覧・審査'!$F$6:$F$205,$L55)&amp;"")</f>
        <v/>
      </c>
      <c r="L55">
        <f>IF(A55="","",MATCH(LARGE('①企画一覧・審査'!$W$6:$W$205,38),'①企画一覧・審査'!$W$6:$W$205,0))</f>
        <v/>
      </c>
    </row>
    <row r="56" ht="30" customHeight="1" s="35">
      <c r="A56" s="84">
        <f>IF(COUNT('①企画一覧・審査'!$W$6:$W$205)&lt;39,"",39)</f>
        <v/>
      </c>
      <c r="B56" s="84">
        <f>IF($L56="","",INDEX('①企画一覧・審査'!$B$6:$B$205,$L56)&amp;"")</f>
        <v/>
      </c>
      <c r="C56" s="93">
        <f>IF($L56="","",INDEX('①企画一覧・審査'!$C$6:$C$205,$L56)&amp;"")</f>
        <v/>
      </c>
      <c r="D56" s="93">
        <f>IF($L56="","",INDEX('①企画一覧・審査'!$I$6:$I$205,$L56)&amp;"")</f>
        <v/>
      </c>
      <c r="E56" s="84">
        <f>IF($L56="","",INDEX('①企画一覧・審査'!$Q$6:$Q$205,$L56))</f>
        <v/>
      </c>
      <c r="F56" s="84">
        <f>IF($L56="","",INDEX('①企画一覧・審査'!$R$6:$R$205,$L56))</f>
        <v/>
      </c>
      <c r="G56" s="84">
        <f>IF($L56="","",INDEX('①企画一覧・審査'!$S$6:$S$205,$L56))</f>
        <v/>
      </c>
      <c r="H56" s="84">
        <f>IF($L56="","",INDEX('①企画一覧・審査'!$T$6:$T$205,$L56))</f>
        <v/>
      </c>
      <c r="I56" s="84">
        <f>IF($L56="","",INDEX('①企画一覧・審査'!$U$6:$U$205,$L56)&amp;"")</f>
        <v/>
      </c>
      <c r="J56" s="93">
        <f>IF($L56="","",INDEX('①企画一覧・審査'!$F$6:$F$205,$L56)&amp;"")</f>
        <v/>
      </c>
      <c r="L56">
        <f>IF(A56="","",MATCH(LARGE('①企画一覧・審査'!$W$6:$W$205,39),'①企画一覧・審査'!$W$6:$W$205,0))</f>
        <v/>
      </c>
    </row>
    <row r="57" ht="30" customHeight="1" s="35">
      <c r="A57" s="84">
        <f>IF(COUNT('①企画一覧・審査'!$W$6:$W$205)&lt;40,"",40)</f>
        <v/>
      </c>
      <c r="B57" s="84">
        <f>IF($L57="","",INDEX('①企画一覧・審査'!$B$6:$B$205,$L57)&amp;"")</f>
        <v/>
      </c>
      <c r="C57" s="93">
        <f>IF($L57="","",INDEX('①企画一覧・審査'!$C$6:$C$205,$L57)&amp;"")</f>
        <v/>
      </c>
      <c r="D57" s="93">
        <f>IF($L57="","",INDEX('①企画一覧・審査'!$I$6:$I$205,$L57)&amp;"")</f>
        <v/>
      </c>
      <c r="E57" s="84">
        <f>IF($L57="","",INDEX('①企画一覧・審査'!$Q$6:$Q$205,$L57))</f>
        <v/>
      </c>
      <c r="F57" s="84">
        <f>IF($L57="","",INDEX('①企画一覧・審査'!$R$6:$R$205,$L57))</f>
        <v/>
      </c>
      <c r="G57" s="84">
        <f>IF($L57="","",INDEX('①企画一覧・審査'!$S$6:$S$205,$L57))</f>
        <v/>
      </c>
      <c r="H57" s="84">
        <f>IF($L57="","",INDEX('①企画一覧・審査'!$T$6:$T$205,$L57))</f>
        <v/>
      </c>
      <c r="I57" s="84">
        <f>IF($L57="","",INDEX('①企画一覧・審査'!$U$6:$U$205,$L57)&amp;"")</f>
        <v/>
      </c>
      <c r="J57" s="93">
        <f>IF($L57="","",INDEX('①企画一覧・審査'!$F$6:$F$205,$L57)&amp;"")</f>
        <v/>
      </c>
      <c r="L57">
        <f>IF(A57="","",MATCH(LARGE('①企画一覧・審査'!$W$6:$W$205,40),'①企画一覧・審査'!$W$6:$W$205,0))</f>
        <v/>
      </c>
    </row>
  </sheetData>
  <mergeCells count="19">
    <mergeCell ref="D4:J4"/>
    <mergeCell ref="A12:C12"/>
    <mergeCell ref="A6:B6"/>
    <mergeCell ref="D5:J5"/>
    <mergeCell ref="A14:C14"/>
    <mergeCell ref="F9:H9"/>
    <mergeCell ref="A10:C10"/>
    <mergeCell ref="A1:J1"/>
    <mergeCell ref="A13:C13"/>
    <mergeCell ref="A5:B5"/>
    <mergeCell ref="D6:J6"/>
    <mergeCell ref="A9:C9"/>
    <mergeCell ref="A15:C15"/>
    <mergeCell ref="F11:H11"/>
    <mergeCell ref="A4:B4"/>
    <mergeCell ref="F10:H10"/>
    <mergeCell ref="A11:C11"/>
    <mergeCell ref="F12:H12"/>
    <mergeCell ref="A2:J2"/>
  </mergeCells>
  <conditionalFormatting sqref="A18:J57">
    <cfRule type="expression" priority="1" dxfId="8">
      <formula>AND($A18&lt;&gt;"",$A18&lt;=$C$6)</formula>
    </cfRule>
  </conditionalFormatting>
  <dataValidations count="3">
    <dataValidation sqref="C4" showDropDown="0" showInputMessage="0" showErrorMessage="0" allowBlank="0" type="list">
      <formula1>"総合,ワクワク,手軽さ,確信度"</formula1>
    </dataValidation>
    <dataValidation sqref="C5" showDropDown="0" showInputMessage="0" showErrorMessage="0" allowBlank="0" type="list">
      <formula1>"すべて,本命,実験,転換"</formula1>
    </dataValidation>
    <dataValidation sqref="C6" showDropDown="0" showInputMessage="0" showErrorMessage="0" allowBlank="0" type="whole" operator="between">
      <formula1>1</formula1>
      <formula2>30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16" customWidth="1" style="35" min="1" max="1"/>
    <col width="60" customWidth="1" style="35" min="2" max="2"/>
    <col width="50" customWidth="1" style="35" min="3" max="3"/>
  </cols>
  <sheetData>
    <row r="1">
      <c r="A1" s="73" t="inlineStr">
        <is>
          <t>STEP4 審査ガイド（○△×の付け方）</t>
        </is>
      </c>
    </row>
    <row r="2" ht="32" customHeight="1" s="35">
      <c r="A2" s="74" t="inlineStr">
        <is>
          <t>コツ：1本ずつ「なぜ○と言えるか」を一言で説明できない項目は○にしない。迷ったら△にして、審査メモに「何を直せば○になるか」を書く。全部○の企画ばかりになったら、基準が甘いサイン。</t>
        </is>
      </c>
    </row>
    <row r="4">
      <c r="A4" s="79" t="inlineStr">
        <is>
          <t>チェック</t>
        </is>
      </c>
      <c r="B4" s="79" t="inlineStr">
        <is>
          <t>○にしてよい条件（このチャンネル用の具体基準）</t>
        </is>
      </c>
      <c r="C4" s="79" t="inlineStr">
        <is>
          <t>△／× の目安</t>
        </is>
      </c>
    </row>
    <row r="5" ht="44" customHeight="1" s="35">
      <c r="A5" s="94" t="inlineStr">
        <is>
          <t>①実現可能性</t>
        </is>
      </c>
      <c r="B5" s="93" t="inlineStr">
        <is>
          <t>撮影・編集の時間、出演者（受講生・ゲスト）の許可、素材（答案・模試音源）が今すでに手元にある or 2週間以内に揃う</t>
        </is>
      </c>
      <c r="C5" s="93" t="inlineStr">
        <is>
          <t>△：協力者の許可待ち ／ ×：素材や協力者のあてがない</t>
        </is>
      </c>
    </row>
    <row r="6" ht="44" customHeight="1" s="35">
      <c r="A6" s="94" t="inlineStr">
        <is>
          <t>②新規視聴者</t>
        </is>
      </c>
      <c r="B6" s="93" t="inlineStr">
        <is>
          <t>チャンネル名と顔を隠し、タイトルとサムネだけでもIELTS学習者がクリックすると言い切れる（STEP1のアウトライアーと同じ“型”がある）</t>
        </is>
      </c>
      <c r="C6" s="93" t="inlineStr">
        <is>
          <t>△：内輪ネタ・前提知識が必要 ／ ×：自分を知っている人しか興味を持たない</t>
        </is>
      </c>
    </row>
    <row r="7" ht="44" customHeight="1" s="35">
      <c r="A7" s="94" t="inlineStr">
        <is>
          <t>③既存視聴者</t>
        </is>
      </c>
      <c r="B7" s="93" t="inlineStr">
        <is>
          <t>今の視聴者（IELTS学習者・大学院留学検討者）の8割以上が見たいと思う</t>
        </is>
      </c>
      <c r="C7" s="93" t="inlineStr">
        <is>
          <t>△：一部の層（例：Task1だけ）向け ／ ×：今の視聴者と関係が薄い</t>
        </is>
      </c>
    </row>
    <row r="8" ht="44" customHeight="1" s="35">
      <c r="A8" s="94" t="inlineStr">
        <is>
          <t>④再生ポテンシャル</t>
        </is>
      </c>
      <c r="B8" s="93" t="inlineStr">
        <is>
          <t>Long 3,000再生／Shorts 10,000再生（STEP1のキラー定義）に届くと本気で信じられる。※転換枠は「相談・申込への導線になるか」で判定</t>
        </is>
      </c>
      <c r="C8" s="93" t="inlineStr">
        <is>
          <t>△：根拠が自チャンネル内だけ ／ ×：自分でも届くと思えない</t>
        </is>
      </c>
    </row>
    <row r="9" ht="44" customHeight="1" s="35">
      <c r="A9" s="94" t="inlineStr">
        <is>
          <t>⑤ブランド親和性</t>
        </is>
      </c>
      <c r="B9" s="93" t="inlineStr">
        <is>
          <t>「英語環境ゼロからIELTS・大学院へ」「添削700件の実績」というチャンネルの軸を強める</t>
        </is>
      </c>
      <c r="C9" s="93" t="inlineStr">
        <is>
          <t>△：軸から少しずれる ／ ×：バズ狙いだけで軸と無関係</t>
        </is>
      </c>
    </row>
    <row r="10" ht="44" customHeight="1" s="35">
      <c r="A10" s="94" t="inlineStr">
        <is>
          <t>⑥パッケージ化</t>
        </is>
      </c>
      <c r="B10" s="93" t="inlineStr">
        <is>
          <t>クリックしたくなるタイトルとサムネ案が一覧に書けていて、1秒で内容が伝わる</t>
        </is>
      </c>
      <c r="C10" s="93" t="inlineStr">
        <is>
          <t>△：タイトルはあるがサムネが浮かばない ／ ×：どちらも浮かばない → 企画ごと見直し</t>
        </is>
      </c>
    </row>
    <row r="12">
      <c r="A12" s="92" t="inlineStr">
        <is>
          <t>STEP5 採点の目安</t>
        </is>
      </c>
    </row>
    <row r="13">
      <c r="A13" s="94" t="inlineStr">
        <is>
          <t>ワクワク</t>
        </is>
      </c>
      <c r="B13" s="93" t="inlineStr">
        <is>
          <t>1＝義務感で作る ／ 10＝今すぐ撮りたい</t>
        </is>
      </c>
      <c r="C13" s="89" t="n"/>
    </row>
    <row r="14">
      <c r="A14" s="94" t="inlineStr">
        <is>
          <t>労力</t>
        </is>
      </c>
      <c r="B14" s="93" t="inlineStr">
        <is>
          <t>1＝撮って出しで半日 ／ 10＝数週間・協力者多数（低いほど楽）</t>
        </is>
      </c>
      <c r="C14" s="89" t="n"/>
    </row>
    <row r="15">
      <c r="A15" s="94" t="inlineStr">
        <is>
          <t>確信度</t>
        </is>
      </c>
      <c r="B15" s="93" t="inlineStr">
        <is>
          <t>1＝根拠なし ／ 5＝自チャンネル内で当たり ／ 8以上＝外部の小規模チャンネルでアウトライアーあり</t>
        </is>
      </c>
      <c r="C15" s="89" t="n"/>
    </row>
    <row r="16">
      <c r="A16" s="94" t="inlineStr">
        <is>
          <t>合計</t>
        </is>
      </c>
      <c r="B16" s="93" t="inlineStr">
        <is>
          <t>ワクワク＋(11−労力)＋確信度（最大30点）</t>
        </is>
      </c>
      <c r="C16" s="89" t="n"/>
    </row>
  </sheetData>
  <mergeCells count="5">
    <mergeCell ref="B13:C13"/>
    <mergeCell ref="B16:C16"/>
    <mergeCell ref="B15:C15"/>
    <mergeCell ref="B14:C14"/>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Q96"/>
  <sheetViews>
    <sheetView showGridLines="0" workbookViewId="0">
      <pane ySplit="1" topLeftCell="A2" activePane="bottomLeft" state="frozen"/>
      <selection pane="bottomLeft" activeCell="B3" sqref="B3"/>
    </sheetView>
  </sheetViews>
  <sheetFormatPr baseColWidth="8" defaultColWidth="14.43" defaultRowHeight="15" customHeight="1"/>
  <cols>
    <col width="34" customWidth="1" style="35" min="1" max="1"/>
    <col width="28" customWidth="1" style="35" min="2" max="2"/>
    <col width="34" customWidth="1" style="35" min="3" max="4"/>
    <col width="30" customWidth="1" style="35" min="5" max="5"/>
    <col width="12" customWidth="1" style="35" min="6" max="8"/>
    <col width="14" customWidth="1" style="35" min="9" max="9"/>
    <col width="16" customWidth="1" style="35" min="10" max="10"/>
    <col width="9" customWidth="1" style="35" min="11" max="12"/>
    <col width="12" customWidth="1" style="35" min="13" max="13"/>
    <col width="10" customWidth="1" style="35" min="14" max="16"/>
    <col width="62" customWidth="1" style="35" min="17" max="26"/>
  </cols>
  <sheetData>
    <row r="1" ht="27.75" customHeight="1" s="35">
      <c r="A1" s="1" t="inlineStr">
        <is>
          <t>最強のYouTube企画の作り方 ── 4ステップ方程式</t>
        </is>
      </c>
    </row>
    <row r="2" ht="48" customHeight="1" s="35">
      <c r="A2" s="36" t="inlineStr">
        <is>
          <t>核心：動画が伸びるかを決める最大の要因は、タイトルでもサムネでもクオリティでもなく「企画の根底にあるアイデア」。
方程式：  ① トピック（何を） × ② フォーマット（どのように） ＝ ベースアイデア  ＋ ③ アングル（切り口）  →  ④ 6つの基準で選別  →  企画候補リスト → 優先順位を付けて制作</t>
        </is>
      </c>
    </row>
    <row r="4" ht="21.75" customHeight="1" s="35">
      <c r="A4" s="37" t="inlineStr">
        <is>
          <t>STEP 1　キラー・トピック（この動画は何についてのものか？）</t>
        </is>
      </c>
    </row>
    <row r="5">
      <c r="A5" s="6" t="inlineStr">
        <is>
          <t>手順</t>
        </is>
      </c>
      <c r="B5" s="6" t="inlineStr">
        <is>
          <t>やること</t>
        </is>
      </c>
      <c r="C5" s="38" t="n"/>
      <c r="D5" s="39" t="n"/>
      <c r="E5" s="6" t="inlineStr">
        <is>
          <t>ポイント・基準</t>
        </is>
      </c>
      <c r="F5" s="38" t="n"/>
      <c r="G5" s="38" t="n"/>
      <c r="H5" s="38" t="n"/>
      <c r="I5" s="38" t="n"/>
      <c r="J5" s="39" t="n"/>
    </row>
    <row r="6" ht="45" customHeight="1" s="35">
      <c r="A6" s="10" t="inlineStr">
        <is>
          <t>1. 目標を決める</t>
        </is>
      </c>
      <c r="B6" s="17" t="inlineStr">
        <is>
          <t>目標再生回数を決める（例：「100万回再生されるか？されないなら作る意味は？」）</t>
        </is>
      </c>
      <c r="C6" s="38" t="n"/>
      <c r="D6" s="39" t="n"/>
      <c r="E6" s="17" t="inlineStr">
        <is>
          <t>トピック選びを間違えると、台本を書く前から失敗が決まる</t>
        </is>
      </c>
      <c r="F6" s="38" t="n"/>
      <c r="G6" s="38" t="n"/>
      <c r="H6" s="38" t="n"/>
      <c r="I6" s="38" t="n"/>
      <c r="J6" s="39" t="n"/>
    </row>
    <row r="7" ht="45" customHeight="1" s="35">
      <c r="A7" s="10" t="inlineStr">
        <is>
          <t>2. 実績を検索</t>
        </is>
      </c>
      <c r="B7" s="17" t="inlineStr">
        <is>
          <t>そのトピックで最も人気の動画を検索し、目標以上の再生数の動画が何本あるか確認</t>
        </is>
      </c>
      <c r="C7" s="38" t="n"/>
      <c r="D7" s="39" t="n"/>
      <c r="E7" s="17" t="inlineStr">
        <is>
          <t>過去の成功例ゼロ＝絶対ダメではない。実験枠は一定数キープしてOK</t>
        </is>
      </c>
      <c r="F7" s="38" t="n"/>
      <c r="G7" s="38" t="n"/>
      <c r="H7" s="38" t="n"/>
      <c r="I7" s="38" t="n"/>
      <c r="J7" s="39" t="n"/>
    </row>
    <row r="8" ht="45" customHeight="1" s="35">
      <c r="A8" s="10" t="inlineStr">
        <is>
          <t>3. アウトライアーを探す</t>
        </is>
      </c>
      <c r="B8" s="17" t="inlineStr">
        <is>
          <t>チャンネル平均を大きく上回った動画（例：普段1万回→1本だけ10万回）を探す</t>
        </is>
      </c>
      <c r="C8" s="38" t="n"/>
      <c r="D8" s="39" t="n"/>
      <c r="E8" s="17" t="inlineStr">
        <is>
          <t>大物は「親近感バイアス」で数字が盛られる。小規模チャンネルの当たり動画こそ「知名度なしでも伸びる」証拠</t>
        </is>
      </c>
      <c r="F8" s="38" t="n"/>
      <c r="G8" s="38" t="n"/>
      <c r="H8" s="38" t="n"/>
      <c r="I8" s="38" t="n"/>
      <c r="J8" s="39" t="n"/>
    </row>
    <row r="9" ht="45" customHeight="1" s="35">
      <c r="A9" s="10" t="inlineStr">
        <is>
          <t>4-A. 手動で探す</t>
        </is>
      </c>
      <c r="B9" s="17" t="inlineStr">
        <is>
          <t>検索→チャンネルページで前後の動画と再生数を比較、を繰り返す</t>
        </is>
      </c>
      <c r="C9" s="38" t="n"/>
      <c r="D9" s="39" t="n"/>
      <c r="E9" s="17" t="inlineStr">
        <is>
          <t>・無料Chrome拡張「1of10」で倍率を表示
・公開2週間未満の動画は除外
・認証マークなし（登録者10万人未満）を優先</t>
        </is>
      </c>
      <c r="F9" s="38" t="n"/>
      <c r="G9" s="38" t="n"/>
      <c r="H9" s="38" t="n"/>
      <c r="I9" s="38" t="n"/>
      <c r="J9" s="39" t="n"/>
    </row>
    <row r="10" ht="45" customHeight="1" s="35">
      <c r="A10" s="10" t="inlineStr">
        <is>
          <t>4-B. ツールで探す</t>
        </is>
      </c>
      <c r="B10" s="17" t="inlineStr">
        <is>
          <t>1of10でフィルター検索</t>
        </is>
      </c>
      <c r="C10" s="38" t="n"/>
      <c r="D10" s="39" t="n"/>
      <c r="E10" s="17" t="inlineStr">
        <is>
          <t>フィルター例：再生倍率3倍以上／再生10万回以上／登録者50万人未満</t>
        </is>
      </c>
      <c r="F10" s="38" t="n"/>
      <c r="G10" s="38" t="n"/>
      <c r="H10" s="38" t="n"/>
      <c r="I10" s="38" t="n"/>
      <c r="J10" s="39" t="n"/>
    </row>
    <row r="11" ht="45" customHeight="1" s="35">
      <c r="A11" s="10" t="inlineStr">
        <is>
          <t>5. 判定</t>
        </is>
      </c>
      <c r="B11" s="17" t="inlineStr">
        <is>
          <t>関連アウトライアーが見つかり、目標超えの動画も十分ある → STEP2へ</t>
        </is>
      </c>
      <c r="C11" s="38" t="n"/>
      <c r="D11" s="39" t="n"/>
      <c r="E11" s="17" t="inlineStr">
        <is>
          <t>アウトライアーが皆無 or 目標超えが少ない → 別トピックを検討。「90%伸びる確信」が持てたら次へ</t>
        </is>
      </c>
      <c r="F11" s="38" t="n"/>
      <c r="G11" s="38" t="n"/>
      <c r="H11" s="38" t="n"/>
      <c r="I11" s="38" t="n"/>
      <c r="J11" s="39" t="n"/>
    </row>
    <row r="13" ht="21.75" customHeight="1" s="35">
      <c r="A13" s="40" t="inlineStr">
        <is>
          <t>STEP 2　キラー・フォーマット（どのように見せるか？）　トピック × フォーマット ＝ ベースアイデア</t>
        </is>
      </c>
    </row>
    <row r="14">
      <c r="A14" s="6" t="inlineStr">
        <is>
          <t>フォーマット</t>
        </is>
      </c>
      <c r="B14" s="6" t="inlineStr">
        <is>
          <t>視聴者がクリックする理由</t>
        </is>
      </c>
      <c r="C14" s="38" t="n"/>
      <c r="D14" s="38" t="n"/>
      <c r="E14" s="39" t="n"/>
      <c r="F14" s="6" t="inlineStr">
        <is>
          <t>例（トピック：ハンバーガー）</t>
        </is>
      </c>
      <c r="G14" s="38" t="n"/>
      <c r="H14" s="38" t="n"/>
      <c r="I14" s="38" t="n"/>
      <c r="J14" s="39" t="n"/>
    </row>
    <row r="15" ht="30" customHeight="1" s="35">
      <c r="A15" s="10" t="inlineStr">
        <is>
          <t>チュートリアル</t>
        </is>
      </c>
      <c r="B15" s="17" t="inlineStr">
        <is>
          <t>望む結果・スキルを自分で身につけたい</t>
        </is>
      </c>
      <c r="C15" s="38" t="n"/>
      <c r="D15" s="38" t="n"/>
      <c r="E15" s="39" t="n"/>
      <c r="F15" s="17" t="inlineStr">
        <is>
          <t>ハンバーガーの作り方</t>
        </is>
      </c>
      <c r="G15" s="38" t="n"/>
      <c r="H15" s="38" t="n"/>
      <c r="I15" s="38" t="n"/>
      <c r="J15" s="39" t="n"/>
    </row>
    <row r="16" ht="30" customHeight="1" s="35">
      <c r="A16" s="10" t="inlineStr">
        <is>
          <t>チャレンジ</t>
        </is>
      </c>
      <c r="B16" s="17" t="inlineStr">
        <is>
          <t>見たことのない体験を疑似体験したい。結果・苦闘・サプライズを見届けたい</t>
        </is>
      </c>
      <c r="C16" s="38" t="n"/>
      <c r="D16" s="38" t="n"/>
      <c r="E16" s="39" t="n"/>
      <c r="F16" s="17" t="inlineStr">
        <is>
          <t>○○縛りでバーガーを作ってみた</t>
        </is>
      </c>
      <c r="G16" s="38" t="n"/>
      <c r="H16" s="38" t="n"/>
      <c r="I16" s="38" t="n"/>
      <c r="J16" s="39" t="n"/>
    </row>
    <row r="17" ht="30" customHeight="1" s="35">
      <c r="A17" s="10" t="inlineStr">
        <is>
          <t>解説・考察</t>
        </is>
      </c>
      <c r="B17" s="17" t="inlineStr">
        <is>
          <t>答えのわからない疑問＝「好奇心の空白」を埋めたい</t>
        </is>
      </c>
      <c r="C17" s="38" t="n"/>
      <c r="D17" s="38" t="n"/>
      <c r="E17" s="39" t="n"/>
      <c r="F17" s="17" t="inlineStr">
        <is>
          <t>なぜアメリカのバーガーは美味いのか？</t>
        </is>
      </c>
      <c r="G17" s="38" t="n"/>
      <c r="H17" s="38" t="n"/>
      <c r="I17" s="38" t="n"/>
      <c r="J17" s="39" t="n"/>
    </row>
    <row r="18" ht="30" customHeight="1" s="35">
      <c r="A18" s="10" t="inlineStr">
        <is>
          <t>コメンタリー</t>
        </is>
      </c>
      <c r="B18" s="17" t="inlineStr">
        <is>
          <t>特定の人の意見・視点が欲しい／ドラマ（論争・ゴシップ）が見たい</t>
        </is>
      </c>
      <c r="C18" s="38" t="n"/>
      <c r="D18" s="38" t="n"/>
      <c r="E18" s="39" t="n"/>
      <c r="F18" s="17" t="inlineStr">
        <is>
          <t>話題のバーガー店を本音レビュー</t>
        </is>
      </c>
      <c r="G18" s="38" t="n"/>
      <c r="H18" s="38" t="n"/>
      <c r="I18" s="38" t="n"/>
      <c r="J18" s="39" t="n"/>
    </row>
    <row r="19" ht="30" customHeight="1" s="35">
      <c r="A19" s="10" t="inlineStr">
        <is>
          <t>Vlog</t>
        </is>
      </c>
      <c r="B19" s="17" t="inlineStr">
        <is>
          <t>他人の生活を覗き、個人的につながりたい／別の人生を疑似体験したい</t>
        </is>
      </c>
      <c r="C19" s="38" t="n"/>
      <c r="D19" s="38" t="n"/>
      <c r="E19" s="39" t="n"/>
      <c r="F19" s="17" t="inlineStr">
        <is>
          <t>バーガー屋で働く1日</t>
        </is>
      </c>
      <c r="G19" s="38" t="n"/>
      <c r="H19" s="38" t="n"/>
      <c r="I19" s="38" t="n"/>
      <c r="J19" s="39" t="n"/>
    </row>
    <row r="20" ht="30" customHeight="1" s="35">
      <c r="A20" s="10" t="inlineStr">
        <is>
          <t>インタビュー</t>
        </is>
      </c>
      <c r="B20" s="17" t="inlineStr">
        <is>
          <t>他では聞けない深い・限定的な話を聞きたい</t>
        </is>
      </c>
      <c r="C20" s="38" t="n"/>
      <c r="D20" s="38" t="n"/>
      <c r="E20" s="39" t="n"/>
      <c r="F20" s="17" t="inlineStr">
        <is>
          <t>ミシュランシェフに理想のバーガーを聞く</t>
        </is>
      </c>
      <c r="G20" s="38" t="n"/>
      <c r="H20" s="38" t="n"/>
      <c r="I20" s="38" t="n"/>
      <c r="J20" s="39" t="n"/>
    </row>
    <row r="21" ht="30" customHeight="1" s="35">
      <c r="A21" s="41" t="inlineStr">
        <is>
          <t>■ フォーマット選びの問い：「なぜ視聴者はこの動画をクリックしたくなるのか？」「どんな価値を届けたいか？」＋自分のスキル＋YouTube上の既存動画の飽和度</t>
        </is>
      </c>
    </row>
    <row r="22" ht="57.75" customHeight="1" s="35">
      <c r="A22" s="41" t="inlineStr">
        <is>
          <t>■ 埋もれないための方法は2つだけ：
　① 圧倒的に優れる（タイトル・サムネ・実行クオリティで上回る。例：MrBeastはゲーム内の電車衝突ネタを“本物”で実行）
　② 圧倒的に違う ← 一般人はこちらが現実的。最有力手段＝「フォーマットの組み合わせ」</t>
        </is>
      </c>
    </row>
    <row r="23" ht="57.75" customHeight="1" s="35">
      <c r="A23" s="41" t="inlineStr">
        <is>
          <t>■ 組み合わせ例：Ryan Trahan ペニーシリーズ（チャレンジ×デイリーVlog → 計3.1億回再生）／Life of Riza（チュートリアル×映画風Vlog）／Hot Ones（インタビュー×激辛チャレンジ）／Mark Rober（チャレンジ×解説×コメンタリー）／Cleo Abram（解説×Vlog×インタビュー）
■ 迷ったら：教育したい → チュートリアル・解説を混ぜる／個人的につながりたい → Vlog・コメンタリーを混ぜる</t>
        </is>
      </c>
    </row>
    <row r="24" ht="15.75" customHeight="1" s="35"/>
    <row r="25" ht="21.75" customHeight="1" s="35">
      <c r="A25" s="42" t="inlineStr">
        <is>
          <t>STEP 3　キラー・アングル（切り口＝ベースアイデアを面白くするスパイス）</t>
        </is>
      </c>
    </row>
    <row r="26" ht="30" customHeight="1" s="35">
      <c r="A26" s="36" t="inlineStr">
        <is>
          <t>例：ベースアイデア「ハンバーガーを作る×チャレンジ」（退屈）→「世界最大のバーガーを作ってみた」「100年分の歴代バーガーを作ってみた」「素人vsプロ、違いが分かる？」</t>
        </is>
      </c>
    </row>
    <row r="27" ht="15.75" customHeight="1" s="35">
      <c r="A27" s="15" t="inlineStr">
        <is>
          <t>#</t>
        </is>
      </c>
      <c r="B27" s="15" t="inlineStr">
        <is>
          <t>アングル</t>
        </is>
      </c>
      <c r="C27" s="15" t="inlineStr">
        <is>
          <t>効く理由（心理）</t>
        </is>
      </c>
      <c r="D27" s="38" t="n"/>
      <c r="E27" s="39" t="n"/>
      <c r="F27" s="15" t="inlineStr">
        <is>
          <t>例</t>
        </is>
      </c>
      <c r="G27" s="38" t="n"/>
      <c r="H27" s="38" t="n"/>
      <c r="I27" s="38" t="n"/>
      <c r="J27" s="39" t="n"/>
    </row>
    <row r="28" ht="30" customHeight="1" s="35">
      <c r="A28" s="10" t="n">
        <v>1</v>
      </c>
      <c r="B28" s="17" t="inlineStr">
        <is>
          <t>最上級</t>
        </is>
      </c>
      <c r="C28" s="17" t="inlineStr">
        <is>
          <t>最大・最安・最高額など。新奇なものに本能的に惹かれる</t>
        </is>
      </c>
      <c r="D28" s="38" t="n"/>
      <c r="E28" s="39" t="n"/>
      <c r="F28" s="17" t="inlineStr">
        <is>
          <t>世界最大のバーガー</t>
        </is>
      </c>
      <c r="G28" s="38" t="n"/>
      <c r="H28" s="38" t="n"/>
      <c r="I28" s="38" t="n"/>
      <c r="J28" s="39" t="n"/>
    </row>
    <row r="29" ht="30" customHeight="1" s="35">
      <c r="A29" s="10" t="n">
        <v>2</v>
      </c>
      <c r="B29" s="17" t="inlineStr">
        <is>
          <t>ステークス：お金</t>
        </is>
      </c>
      <c r="C29" s="17" t="inlineStr">
        <is>
          <t>失う/得る可能性がサスペンスを生む。お金は誰にとっても重要</t>
        </is>
      </c>
      <c r="D29" s="38" t="n"/>
      <c r="E29" s="39" t="n"/>
      <c r="F29" s="17" t="inlineStr">
        <is>
          <t>1万円 vs 10万円のバーガー</t>
        </is>
      </c>
      <c r="G29" s="38" t="n"/>
      <c r="H29" s="38" t="n"/>
      <c r="I29" s="38" t="n"/>
      <c r="J29" s="39" t="n"/>
    </row>
    <row r="30" ht="30" customHeight="1" s="35">
      <c r="A30" s="10" t="n">
        <v>3</v>
      </c>
      <c r="B30" s="17" t="inlineStr">
        <is>
          <t>ステークス：時間制限</t>
        </is>
      </c>
      <c r="C30" s="17" t="inlineStr">
        <is>
          <t>厳しい制限時間で緊張感が生まれる</t>
        </is>
      </c>
      <c r="D30" s="38" t="n"/>
      <c r="E30" s="39" t="n"/>
      <c r="F30" s="17" t="inlineStr">
        <is>
          <t>10分でバーガーを作れるか？</t>
        </is>
      </c>
      <c r="G30" s="38" t="n"/>
      <c r="H30" s="38" t="n"/>
      <c r="I30" s="38" t="n"/>
      <c r="J30" s="39" t="n"/>
    </row>
    <row r="31" ht="30" customHeight="1" s="35">
      <c r="A31" s="10" t="n">
        <v>4</v>
      </c>
      <c r="B31" s="17" t="inlineStr">
        <is>
          <t>長期コミット（時間）</t>
        </is>
      </c>
      <c r="C31" s="17" t="inlineStr">
        <is>
          <t>投入努力バイアス：努力が多いほど価値が高く見える</t>
        </is>
      </c>
      <c r="D31" s="38" t="n"/>
      <c r="E31" s="39" t="n"/>
      <c r="F31" s="17" t="inlineStr">
        <is>
          <t>100日かけて究極のバーガーを作る</t>
        </is>
      </c>
      <c r="G31" s="38" t="n"/>
      <c r="H31" s="38" t="n"/>
      <c r="I31" s="38" t="n"/>
      <c r="J31" s="39" t="n"/>
    </row>
    <row r="32" ht="30" customHeight="1" s="35">
      <c r="A32" s="10" t="n">
        <v>5</v>
      </c>
      <c r="B32" s="17" t="inlineStr">
        <is>
          <t>網羅的（コンプリート）</t>
        </is>
      </c>
      <c r="C32" s="17" t="inlineStr">
        <is>
          <t>全バリエーション・必要情報すべてを約束し好奇心を刺激</t>
        </is>
      </c>
      <c r="D32" s="38" t="n"/>
      <c r="E32" s="39" t="n"/>
      <c r="F32" s="17" t="inlineStr">
        <is>
          <t>全チェーン店のバーガーを食べ比べ</t>
        </is>
      </c>
      <c r="G32" s="38" t="n"/>
      <c r="H32" s="38" t="n"/>
      <c r="I32" s="38" t="n"/>
      <c r="J32" s="39" t="n"/>
    </row>
    <row r="33" ht="30" customHeight="1" s="35">
      <c r="A33" s="10" t="n">
        <v>6</v>
      </c>
      <c r="B33" s="17" t="inlineStr">
        <is>
          <t>明確なリスト（数字）</t>
        </is>
      </c>
      <c r="C33" s="17" t="inlineStr">
        <is>
          <t>整理された馴染みの構造で、価値を効率よく約束</t>
        </is>
      </c>
      <c r="D33" s="38" t="n"/>
      <c r="E33" s="39" t="n"/>
      <c r="F33" s="17" t="inlineStr">
        <is>
          <t>失敗しないバーガーのコツ7選</t>
        </is>
      </c>
      <c r="G33" s="38" t="n"/>
      <c r="H33" s="38" t="n"/>
      <c r="I33" s="38" t="n"/>
      <c r="J33" s="39" t="n"/>
    </row>
    <row r="34" ht="30" customHeight="1" s="35">
      <c r="A34" s="10" t="n">
        <v>7</v>
      </c>
      <c r="B34" s="17" t="inlineStr">
        <is>
          <t>親近感</t>
        </is>
      </c>
      <c r="C34" s="17" t="inlineStr">
        <is>
          <t>著名人・人気ブランド・トレンド・人気作品に脳が惹かれる</t>
        </is>
      </c>
      <c r="D34" s="38" t="n"/>
      <c r="E34" s="39" t="n"/>
      <c r="F34" s="17" t="inlineStr">
        <is>
          <t>マクドナルドの再現バーガー</t>
        </is>
      </c>
      <c r="G34" s="38" t="n"/>
      <c r="H34" s="38" t="n"/>
      <c r="I34" s="38" t="n"/>
      <c r="J34" s="39" t="n"/>
    </row>
    <row r="35" ht="30" customHeight="1" s="35">
      <c r="A35" s="10" t="n">
        <v>8</v>
      </c>
      <c r="B35" s="17" t="inlineStr">
        <is>
          <t>トピック＋ひねり</t>
        </is>
      </c>
      <c r="C35" s="17" t="inlineStr">
        <is>
          <t>馴染み×意外性のコントラストで新鮮さが生まれる</t>
        </is>
      </c>
      <c r="D35" s="38" t="n"/>
      <c r="E35" s="39" t="n"/>
      <c r="F35" s="17" t="inlineStr">
        <is>
          <t>給食の材料だけでバーガー</t>
        </is>
      </c>
      <c r="G35" s="38" t="n"/>
      <c r="H35" s="38" t="n"/>
      <c r="I35" s="38" t="n"/>
      <c r="J35" s="39" t="n"/>
    </row>
    <row r="36" ht="30" customHeight="1" s="35">
      <c r="A36" s="10" t="n">
        <v>9</v>
      </c>
      <c r="B36" s="17" t="inlineStr">
        <is>
          <t>比較</t>
        </is>
      </c>
      <c r="C36" s="17" t="inlineStr">
        <is>
          <t>並べることでコントラストが生まれる。検討中のもの・未体験のものが強い</t>
        </is>
      </c>
      <c r="D36" s="38" t="n"/>
      <c r="E36" s="39" t="n"/>
      <c r="F36" s="17" t="inlineStr">
        <is>
          <t>素人 vs プロのバーガー</t>
        </is>
      </c>
      <c r="G36" s="38" t="n"/>
      <c r="H36" s="38" t="n"/>
      <c r="I36" s="38" t="n"/>
      <c r="J36" s="39" t="n"/>
    </row>
    <row r="37" ht="30" customHeight="1" s="35">
      <c r="A37" s="10" t="n">
        <v>10</v>
      </c>
      <c r="B37" s="17" t="inlineStr">
        <is>
          <t>変身・変化</t>
        </is>
      </c>
      <c r="C37" s="17" t="inlineStr">
        <is>
          <t>ビフォーアフターとA→Bの過程を見たい欲求</t>
        </is>
      </c>
      <c r="D37" s="38" t="n"/>
      <c r="E37" s="39" t="n"/>
      <c r="F37" s="17" t="inlineStr">
        <is>
          <t>0円から最高級バーガーへ</t>
        </is>
      </c>
      <c r="G37" s="38" t="n"/>
      <c r="H37" s="38" t="n"/>
      <c r="I37" s="38" t="n"/>
      <c r="J37" s="39" t="n"/>
    </row>
    <row r="38" ht="45" customHeight="1" s="35">
      <c r="A38" s="41" t="inlineStr">
        <is>
          <t>■ アングルは組み合わせOK（MrBeast：比較×お金／Safiya Nygaard：網羅×親近感／Jordan Welch：時間×変化）。ただし詰め込みすぎ注意。ブランドとストーリーを引き立てる1〜2個に絞る。
■ 新しいアングルは1of10でアウトライアーを眺め、自分のニッチ内外で何が効いているかを見て探す。</t>
        </is>
      </c>
    </row>
    <row r="39" ht="15.75" customHeight="1" s="35"/>
    <row r="40" ht="21.75" customHeight="1" s="35">
      <c r="A40" s="43" t="inlineStr">
        <is>
          <t>STEP 4　キラー・基準（6つのチェック）── 1つでも「いいえ」なら修正 or ボツ</t>
        </is>
      </c>
    </row>
    <row r="41" ht="15.75" customHeight="1" s="35">
      <c r="A41" s="19" t="inlineStr">
        <is>
          <t>#</t>
        </is>
      </c>
      <c r="B41" s="19" t="inlineStr">
        <is>
          <t>チェック項目</t>
        </is>
      </c>
      <c r="C41" s="39" t="n"/>
      <c r="D41" s="19" t="inlineStr">
        <is>
          <t>問い</t>
        </is>
      </c>
      <c r="E41" s="38" t="n"/>
      <c r="F41" s="38" t="n"/>
      <c r="G41" s="38" t="n"/>
      <c r="H41" s="38" t="n"/>
      <c r="I41" s="38" t="n"/>
      <c r="J41" s="39" t="n"/>
    </row>
    <row r="42" ht="30" customHeight="1" s="35">
      <c r="A42" s="10" t="n">
        <v>1</v>
      </c>
      <c r="B42" s="17" t="inlineStr">
        <is>
          <t>実現可能性</t>
        </is>
      </c>
      <c r="C42" s="39" t="n"/>
      <c r="D42" s="17" t="inlineStr">
        <is>
          <t>このアイデアを実際に実行できるか？（予算・時間・スキル）</t>
        </is>
      </c>
      <c r="E42" s="38" t="n"/>
      <c r="F42" s="38" t="n"/>
      <c r="G42" s="38" t="n"/>
      <c r="H42" s="38" t="n"/>
      <c r="I42" s="38" t="n"/>
      <c r="J42" s="39" t="n"/>
    </row>
    <row r="43" ht="30" customHeight="1" s="35">
      <c r="A43" s="10" t="n">
        <v>2</v>
      </c>
      <c r="B43" s="17" t="inlineStr">
        <is>
          <t>新規視聴者の関心</t>
        </is>
      </c>
      <c r="C43" s="39" t="n"/>
      <c r="D43" s="17" t="inlineStr">
        <is>
          <t>あなたを全く知らない人でも興味を持つか？（持たないなら伸びる可能性は極めて低い）</t>
        </is>
      </c>
      <c r="E43" s="38" t="n"/>
      <c r="F43" s="38" t="n"/>
      <c r="G43" s="38" t="n"/>
      <c r="H43" s="38" t="n"/>
      <c r="I43" s="38" t="n"/>
      <c r="J43" s="39" t="n"/>
    </row>
    <row r="44" ht="30" customHeight="1" s="35">
      <c r="A44" s="10" t="n">
        <v>3</v>
      </c>
      <c r="B44" s="17" t="inlineStr">
        <is>
          <t>既存視聴者の関心</t>
        </is>
      </c>
      <c r="C44" s="39" t="n"/>
      <c r="D44" s="17" t="inlineStr">
        <is>
          <t>既存視聴者の80%以上が興味を持つか？（コアなコミュニティを忘れない）</t>
        </is>
      </c>
      <c r="E44" s="38" t="n"/>
      <c r="F44" s="38" t="n"/>
      <c r="G44" s="38" t="n"/>
      <c r="H44" s="38" t="n"/>
      <c r="I44" s="38" t="n"/>
      <c r="J44" s="39" t="n"/>
    </row>
    <row r="45" ht="30" customHeight="1" s="35">
      <c r="A45" s="10" t="n">
        <v>4</v>
      </c>
      <c r="B45" s="17" t="inlineStr">
        <is>
          <t>再生ポテンシャル</t>
        </is>
      </c>
      <c r="C45" s="39" t="n"/>
      <c r="D45" s="17" t="inlineStr">
        <is>
          <t>目標再生数に届く力があると信じられるか？（通常はSTEP1の検証で答えが出る）</t>
        </is>
      </c>
      <c r="E45" s="38" t="n"/>
      <c r="F45" s="38" t="n"/>
      <c r="G45" s="38" t="n"/>
      <c r="H45" s="38" t="n"/>
      <c r="I45" s="38" t="n"/>
      <c r="J45" s="39" t="n"/>
    </row>
    <row r="46" ht="30" customHeight="1" s="35">
      <c r="A46" s="10" t="n">
        <v>5</v>
      </c>
      <c r="B46" s="17" t="inlineStr">
        <is>
          <t>ブランドとの親和性</t>
        </is>
      </c>
      <c r="C46" s="39" t="n"/>
      <c r="D46" s="17" t="inlineStr">
        <is>
          <t>チャンネルの使命・ビジョンに合っているか？（バズだけを追わない）</t>
        </is>
      </c>
      <c r="E46" s="38" t="n"/>
      <c r="F46" s="38" t="n"/>
      <c r="G46" s="38" t="n"/>
      <c r="H46" s="38" t="n"/>
      <c r="I46" s="38" t="n"/>
      <c r="J46" s="39" t="n"/>
    </row>
    <row r="47" ht="30" customHeight="1" s="35">
      <c r="A47" s="10" t="n">
        <v>6</v>
      </c>
      <c r="B47" s="17" t="inlineStr">
        <is>
          <t>パッケージ化のしやすさ</t>
        </is>
      </c>
      <c r="C47" s="39" t="n"/>
      <c r="D47" s="17" t="inlineStr">
        <is>
          <t>クリックしたくなるタイトルとサムネが思い浮かぶか？（浮かばなければ白紙に戻すことも）</t>
        </is>
      </c>
      <c r="E47" s="38" t="n"/>
      <c r="F47" s="38" t="n"/>
      <c r="G47" s="38" t="n"/>
      <c r="H47" s="38" t="n"/>
      <c r="I47" s="38" t="n"/>
      <c r="J47" s="39" t="n"/>
    </row>
    <row r="48" ht="15.75" customHeight="1" s="35"/>
    <row r="49" ht="21.75" customHeight="1" s="35">
      <c r="A49" s="44" t="inlineStr">
        <is>
          <t>STEP 5　候補リストから選ぶ（各1〜10点で評価）</t>
        </is>
      </c>
    </row>
    <row r="50" ht="15.75" customHeight="1" s="35">
      <c r="A50" s="22" t="inlineStr">
        <is>
          <t>評価軸</t>
        </is>
      </c>
      <c r="B50" s="22" t="inlineStr">
        <is>
          <t>内容</t>
        </is>
      </c>
      <c r="C50" s="38" t="n"/>
      <c r="D50" s="38" t="n"/>
      <c r="E50" s="39" t="n"/>
      <c r="F50" s="22" t="inlineStr">
        <is>
          <t>こんな時はこれを優先</t>
        </is>
      </c>
      <c r="G50" s="38" t="n"/>
      <c r="H50" s="38" t="n"/>
      <c r="I50" s="38" t="n"/>
      <c r="J50" s="39" t="n"/>
    </row>
    <row r="51" ht="21.75" customHeight="1" s="35">
      <c r="A51" s="10" t="inlineStr">
        <is>
          <t>ワクワク度</t>
        </is>
      </c>
      <c r="B51" s="17" t="inlineStr">
        <is>
          <t>自分がどれだけワクワクしているか</t>
        </is>
      </c>
      <c r="C51" s="38" t="n"/>
      <c r="D51" s="38" t="n"/>
      <c r="E51" s="39" t="n"/>
      <c r="F51" s="17" t="inlineStr">
        <is>
          <t>インスピレーションが欲しい時</t>
        </is>
      </c>
      <c r="G51" s="38" t="n"/>
      <c r="H51" s="38" t="n"/>
      <c r="I51" s="38" t="n"/>
      <c r="J51" s="39" t="n"/>
    </row>
    <row r="52" ht="21.75" customHeight="1" s="35">
      <c r="A52" s="10" t="inlineStr">
        <is>
          <t>労力</t>
        </is>
      </c>
      <c r="B52" s="17" t="inlineStr">
        <is>
          <t>実行にどれだけ労力がかかるか（1＝楽、10＝大変）</t>
        </is>
      </c>
      <c r="C52" s="38" t="n"/>
      <c r="D52" s="38" t="n"/>
      <c r="E52" s="39" t="n"/>
      <c r="F52" s="17" t="inlineStr">
        <is>
          <t>少し息抜きしたい時 → 労力が最も低いもの</t>
        </is>
      </c>
      <c r="G52" s="38" t="n"/>
      <c r="H52" s="38" t="n"/>
      <c r="I52" s="38" t="n"/>
      <c r="J52" s="39" t="n"/>
    </row>
    <row r="53" ht="21.75" customHeight="1" s="35">
      <c r="A53" s="10" t="inlineStr">
        <is>
          <t>確信度</t>
        </is>
      </c>
      <c r="B53" s="17" t="inlineStr">
        <is>
          <t>成果にどれだけ確信があるか（過去の成功例＝証拠が多いほど高い）</t>
        </is>
      </c>
      <c r="C53" s="38" t="n"/>
      <c r="D53" s="38" t="n"/>
      <c r="E53" s="39" t="n"/>
      <c r="F53" s="17" t="inlineStr">
        <is>
          <t>どうしてもヒットが必要な時</t>
        </is>
      </c>
      <c r="G53" s="38" t="n"/>
      <c r="H53" s="38" t="n"/>
      <c r="I53" s="38" t="n"/>
      <c r="J53" s="39" t="n"/>
    </row>
    <row r="54" ht="15.75" customHeight="1" s="35"/>
    <row r="55" ht="21.75" customHeight="1" s="35">
      <c r="A55" s="45" t="inlineStr">
        <is>
          <t>企画ワークシート（ここに記入）</t>
        </is>
      </c>
    </row>
    <row r="56" ht="30" customHeight="1" s="35">
      <c r="A56" s="36" t="inlineStr">
        <is>
          <t>記入方法：黄色セルに入力。チェック欄は「○」か「×」を選択。判定・合計点は自動計算（合計＝ワクワク＋(11−労力)＋確信度、最大30点）。1行目は記入例です。</t>
        </is>
      </c>
    </row>
    <row r="57" ht="15.75" customHeight="1" s="35">
      <c r="A57" s="25" t="inlineStr">
        <is>
          <t>企画名</t>
        </is>
      </c>
      <c r="B57" s="25" t="inlineStr">
        <is>
          <t>トピック</t>
        </is>
      </c>
      <c r="C57" s="25" t="inlineStr">
        <is>
          <t>フォーマット（組み合わせ）</t>
        </is>
      </c>
      <c r="D57" s="25" t="inlineStr">
        <is>
          <t>アングル（1〜2個）</t>
        </is>
      </c>
      <c r="E57" s="25" t="inlineStr">
        <is>
          <t>想定タイトル／サムネ案</t>
        </is>
      </c>
      <c r="F57" s="25" t="inlineStr">
        <is>
          <t>①実現</t>
        </is>
      </c>
      <c r="G57" s="25" t="inlineStr">
        <is>
          <t>②新規</t>
        </is>
      </c>
      <c r="H57" s="25" t="inlineStr">
        <is>
          <t>③既存</t>
        </is>
      </c>
      <c r="I57" s="25" t="inlineStr">
        <is>
          <t>④再生</t>
        </is>
      </c>
      <c r="J57" s="25" t="inlineStr">
        <is>
          <t>⑤ブランド</t>
        </is>
      </c>
      <c r="K57" s="25" t="inlineStr">
        <is>
          <t>⑥パッケージ</t>
        </is>
      </c>
      <c r="L57" s="25" t="inlineStr">
        <is>
          <t>判定</t>
        </is>
      </c>
      <c r="M57" s="25" t="inlineStr">
        <is>
          <t>ワクワク</t>
        </is>
      </c>
      <c r="N57" s="25" t="inlineStr">
        <is>
          <t>労力</t>
        </is>
      </c>
      <c r="O57" s="25" t="inlineStr">
        <is>
          <t>確信度</t>
        </is>
      </c>
      <c r="P57" s="25" t="inlineStr">
        <is>
          <t>合計点</t>
        </is>
      </c>
      <c r="Q57" s="46" t="inlineStr">
        <is>
          <t>区分・メモ</t>
        </is>
      </c>
    </row>
    <row r="58" ht="31.5" customHeight="1" s="35">
      <c r="A58" s="26" t="inlineStr">
        <is>
          <t>IELTS 0→7.0の全記録</t>
        </is>
      </c>
      <c r="B58" s="26" t="inlineStr">
        <is>
          <t>IELTS対策</t>
        </is>
      </c>
      <c r="C58" s="26" t="inlineStr">
        <is>
          <t>チャレンジ×Vlog</t>
        </is>
      </c>
      <c r="D58" s="26" t="inlineStr">
        <is>
          <t>時間（期限）×変身・変化</t>
        </is>
      </c>
      <c r="E58" s="26" t="inlineStr">
        <is>
          <t>「90日でIELTS 5.5→7.0に挑戦した結果」／ビフォーアフターのスコア表</t>
        </is>
      </c>
      <c r="F58" s="27" t="inlineStr">
        <is>
          <t>○</t>
        </is>
      </c>
      <c r="G58" s="27" t="inlineStr">
        <is>
          <t>○</t>
        </is>
      </c>
      <c r="H58" s="27" t="inlineStr">
        <is>
          <t>○</t>
        </is>
      </c>
      <c r="I58" s="27" t="inlineStr">
        <is>
          <t>○</t>
        </is>
      </c>
      <c r="J58" s="27" t="inlineStr">
        <is>
          <t>○</t>
        </is>
      </c>
      <c r="K58" s="27" t="inlineStr">
        <is>
          <t>○</t>
        </is>
      </c>
      <c r="L58" s="28">
        <f>IF(COUNTA(F58:K58)=0,"",IF(COUNTIF(F58:K58,"○")=6,"候補リスト入り",IF(COUNTA(F58:K58)&lt;6,"未記入あり","修正 or ボツ")))</f>
        <v/>
      </c>
      <c r="M58" s="26" t="n">
        <v>8</v>
      </c>
      <c r="N58" s="26" t="n">
        <v>7</v>
      </c>
      <c r="O58" s="26" t="n">
        <v>6</v>
      </c>
      <c r="P58" s="29">
        <f>IF(COUNT(M58:O58)&lt;3,"",M58+(11-N58)+O58)</f>
        <v/>
      </c>
    </row>
    <row r="59" ht="19.5" customHeight="1" s="35">
      <c r="A59" s="47" t="inlineStr">
        <is>
          <t>【STEP2本命】受講生のスピーキング模試を全部見せる＋フィードバック解説</t>
        </is>
      </c>
      <c r="B59" s="48" t="inlineStr">
        <is>
          <t>IELTS Speaking</t>
        </is>
      </c>
      <c r="C59" s="48" t="inlineStr">
        <is>
          <t>チュートリアル×インタビュー（模試通し＋解説）</t>
        </is>
      </c>
      <c r="D59" s="48" t="inlineStr">
        <is>
          <t>変身・変化 × 親近感</t>
        </is>
      </c>
      <c r="E59" s="49" t="inlineStr">
        <is>
          <t>「Band 6.0の受講生が3週間で7.0を取るまで（模試を全公開）」／スコア表のビフォーアフター</t>
        </is>
      </c>
      <c r="F59" s="50" t="inlineStr">
        <is>
          <t>○</t>
        </is>
      </c>
      <c r="G59" s="50" t="inlineStr">
        <is>
          <t>○</t>
        </is>
      </c>
      <c r="H59" s="50" t="inlineStr">
        <is>
          <t>○</t>
        </is>
      </c>
      <c r="I59" s="50" t="inlineStr">
        <is>
          <t>○</t>
        </is>
      </c>
      <c r="J59" s="50" t="inlineStr">
        <is>
          <t>○</t>
        </is>
      </c>
      <c r="K59" s="50" t="inlineStr">
        <is>
          <t>○</t>
        </is>
      </c>
      <c r="L59" s="51">
        <f>IF(COUNTA(F59:K59)=0,"",IF(COUNTIF(F59:K59,"○")=6,"候補リスト入り",IF(COUNTA(F59:K59)&lt;6,"未記入あり","修正 or ボツ")))</f>
        <v/>
      </c>
      <c r="M59" s="52" t="n">
        <v>8</v>
      </c>
      <c r="N59" s="52" t="n">
        <v>8</v>
      </c>
      <c r="O59" s="52" t="n">
        <v>9</v>
      </c>
      <c r="P59" s="53">
        <f>IF(COUNT(M59:O59)&lt;3,"",M59+(11-N59)+O59)</f>
        <v/>
      </c>
      <c r="Q59" s="54" t="inlineStr">
        <is>
          <t>STEP1通過（Speaking・模試＋フィードバック解説型が繰り返し当たっている）。根拠：ORIENT ACADEMY 58x／76,246再生／登録1,610人</t>
        </is>
      </c>
    </row>
    <row r="60" ht="19.5" customHeight="1" s="35">
      <c r="A60" s="47" t="inlineStr">
        <is>
          <t>【STEP2本命】Part1〜3 通し模試（ゲスト受験者）</t>
        </is>
      </c>
      <c r="B60" s="48" t="inlineStr">
        <is>
          <t>IELTS Speaking</t>
        </is>
      </c>
      <c r="C60" s="48" t="inlineStr">
        <is>
          <t>チャレンジ×インタビュー</t>
        </is>
      </c>
      <c r="D60" s="48" t="inlineStr">
        <is>
          <t>網羅的（コンプリート）× 比較</t>
        </is>
      </c>
      <c r="E60" s="49" t="inlineStr">
        <is>
          <t>「Part1〜3を最初から最後まで通しで受けてみた」／Band別に並べた比較サムネ</t>
        </is>
      </c>
      <c r="F60" s="50" t="inlineStr">
        <is>
          <t>○</t>
        </is>
      </c>
      <c r="G60" s="50" t="inlineStr">
        <is>
          <t>○</t>
        </is>
      </c>
      <c r="H60" s="50" t="inlineStr">
        <is>
          <t>○</t>
        </is>
      </c>
      <c r="I60" s="50" t="inlineStr">
        <is>
          <t>○</t>
        </is>
      </c>
      <c r="J60" s="50" t="inlineStr">
        <is>
          <t>○</t>
        </is>
      </c>
      <c r="K60" s="50" t="inlineStr">
        <is>
          <t>○</t>
        </is>
      </c>
      <c r="L60" s="51">
        <f>IF(COUNTA(F60:K60)=0,"",IF(COUNTIF(F60:K60,"○")=6,"候補リスト入り",IF(COUNTA(F60:K60)&lt;6,"未記入あり","修正 or ボツ")))</f>
        <v/>
      </c>
      <c r="M60" s="52" t="n">
        <v>7</v>
      </c>
      <c r="N60" s="52" t="n">
        <v>8</v>
      </c>
      <c r="O60" s="52" t="n">
        <v>9</v>
      </c>
      <c r="P60" s="53">
        <f>IF(COUNT(M60:O60)&lt;3,"",M60+(11-N60)+O60)</f>
        <v/>
      </c>
      <c r="Q60" s="54" t="inlineStr">
        <is>
          <t>STEP1通過。根拠：BBC GLOBAL EDUCATION 6.9x／11,926再生／登録40,400人（21日前）</t>
        </is>
      </c>
    </row>
    <row r="61" ht="19.5" customHeight="1" s="35">
      <c r="A61" s="47" t="inlineStr">
        <is>
          <t>【STEP2本命】スコアが伸びない回答を1つずつ採点・改善</t>
        </is>
      </c>
      <c r="B61" s="48" t="inlineStr">
        <is>
          <t>IELTS Speaking</t>
        </is>
      </c>
      <c r="C61" s="48" t="inlineStr">
        <is>
          <t>チュートリアル×コメンタリー</t>
        </is>
      </c>
      <c r="D61" s="48" t="inlineStr">
        <is>
          <t>比較（悪い回答 vs 改善回答）</t>
        </is>
      </c>
      <c r="E61" s="49" t="inlineStr">
        <is>
          <t>「この回答、なぜ6.0なのか？」／実際の解答を赤入れして見せる</t>
        </is>
      </c>
      <c r="F61" s="50" t="inlineStr">
        <is>
          <t>○</t>
        </is>
      </c>
      <c r="G61" s="50" t="inlineStr">
        <is>
          <t>○</t>
        </is>
      </c>
      <c r="H61" s="50" t="inlineStr">
        <is>
          <t>○</t>
        </is>
      </c>
      <c r="I61" s="50" t="inlineStr">
        <is>
          <t>○</t>
        </is>
      </c>
      <c r="J61" s="50" t="inlineStr">
        <is>
          <t>○</t>
        </is>
      </c>
      <c r="K61" s="50" t="inlineStr">
        <is>
          <t>○</t>
        </is>
      </c>
      <c r="L61" s="51">
        <f>IF(COUNTA(F61:K61)=0,"",IF(COUNTIF(F61:K61,"○")=6,"候補リスト入り",IF(COUNTA(F61:K61)&lt;6,"未記入あり","修正 or ボツ")))</f>
        <v/>
      </c>
      <c r="M61" s="52" t="n">
        <v>7</v>
      </c>
      <c r="N61" s="52" t="n">
        <v>5</v>
      </c>
      <c r="O61" s="52" t="n">
        <v>9</v>
      </c>
      <c r="P61" s="53">
        <f>IF(COUNT(M61:O61)&lt;3,"",M61+(11-N61)+O61)</f>
        <v/>
      </c>
      <c r="Q61" s="54" t="inlineStr">
        <is>
          <t>STEP1通過（フィードバック解説が当たり型の核）。添削700件の実績が参入障壁として機能</t>
        </is>
      </c>
    </row>
    <row r="62" ht="19.5" customHeight="1" s="35">
      <c r="A62" s="47" t="inlineStr">
        <is>
          <t>【STEP2本命】言い換え（Paraphrasing）マスター</t>
        </is>
      </c>
      <c r="B62" s="48" t="inlineStr">
        <is>
          <t>IELTS Writing</t>
        </is>
      </c>
      <c r="C62" s="48" t="inlineStr">
        <is>
          <t>チュートリアル（×リスト）</t>
        </is>
      </c>
      <c r="D62" s="48" t="inlineStr">
        <is>
          <t>明確なリスト（数字）× 網羅的</t>
        </is>
      </c>
      <c r="E62" s="49" t="inlineStr">
        <is>
          <t>「IELTS言い換え術：Band 7+のための5つの戦略」／Before-Afterの文比較</t>
        </is>
      </c>
      <c r="F62" s="50" t="inlineStr">
        <is>
          <t>○</t>
        </is>
      </c>
      <c r="G62" s="50" t="inlineStr">
        <is>
          <t>○</t>
        </is>
      </c>
      <c r="H62" s="50" t="inlineStr">
        <is>
          <t>○</t>
        </is>
      </c>
      <c r="I62" s="50" t="inlineStr">
        <is>
          <t>○</t>
        </is>
      </c>
      <c r="J62" s="50" t="inlineStr">
        <is>
          <t>○</t>
        </is>
      </c>
      <c r="K62" s="50" t="inlineStr">
        <is>
          <t>○</t>
        </is>
      </c>
      <c r="L62" s="51">
        <f>IF(COUNTA(F62:K62)=0,"",IF(COUNTIF(F62:K62,"○")=6,"候補リスト入り",IF(COUNTA(F62:K62)&lt;6,"未記入あり","修正 or ボツ")))</f>
        <v/>
      </c>
      <c r="M62" s="52" t="n">
        <v>8</v>
      </c>
      <c r="N62" s="52" t="n">
        <v>4</v>
      </c>
      <c r="O62" s="52" t="n">
        <v>9</v>
      </c>
      <c r="P62" s="53">
        <f>IF(COUNT(M62:O62)&lt;3,"",M62+(11-N62)+O62)</f>
        <v/>
      </c>
      <c r="Q62" s="54" t="inlineStr">
        <is>
          <t>STEP1通過。根拠：Paraphrasing Masterclass &gt;100x／117,729再生／登録8,670人（Speaking・Writing共通の最大アウトライアー）</t>
        </is>
      </c>
    </row>
    <row r="63" ht="19.5" customHeight="1" s="35">
      <c r="A63" s="47" t="inlineStr">
        <is>
          <t>【STEP2本命】ライティングの「設計図」（Cohesion &amp; Coherence）</t>
        </is>
      </c>
      <c r="B63" s="48" t="inlineStr">
        <is>
          <t>IELTS Writing</t>
        </is>
      </c>
      <c r="C63" s="48" t="inlineStr">
        <is>
          <t>チュートリアル</t>
        </is>
      </c>
      <c r="D63" s="48" t="inlineStr">
        <is>
          <t>明確なリスト（数字）× 変身・変化</t>
        </is>
      </c>
      <c r="E63" s="49" t="inlineStr">
        <is>
          <t>「文章のつながりを設計する」／構成図で示すBefore-After</t>
        </is>
      </c>
      <c r="F63" s="50" t="inlineStr">
        <is>
          <t>○</t>
        </is>
      </c>
      <c r="G63" s="50" t="inlineStr">
        <is>
          <t>○</t>
        </is>
      </c>
      <c r="H63" s="50" t="inlineStr">
        <is>
          <t>○</t>
        </is>
      </c>
      <c r="I63" s="50" t="inlineStr">
        <is>
          <t>○</t>
        </is>
      </c>
      <c r="J63" s="50" t="inlineStr">
        <is>
          <t>○</t>
        </is>
      </c>
      <c r="K63" s="50" t="inlineStr">
        <is>
          <t>○</t>
        </is>
      </c>
      <c r="L63" s="51">
        <f>IF(COUNTA(F63:K63)=0,"",IF(COUNTIF(F63:K63,"○")=6,"候補リスト入り",IF(COUNTA(F63:K63)&lt;6,"未記入あり","修正 or ボツ")))</f>
        <v/>
      </c>
      <c r="M63" s="52" t="n">
        <v>7</v>
      </c>
      <c r="N63" s="52" t="n">
        <v>5</v>
      </c>
      <c r="O63" s="52" t="n">
        <v>9</v>
      </c>
      <c r="P63" s="53">
        <f>IF(COUNT(M63:O63)&lt;3,"",M63+(11-N63)+O63)</f>
        <v/>
      </c>
      <c r="Q63" s="54" t="inlineStr">
        <is>
          <t>STEP1通過。根拠：Writing Flow 9.6x／30,860再生、What Makes Writing Good 8.8x／28,279再生（いずれも設計図型レッスン）</t>
        </is>
      </c>
    </row>
    <row r="64" ht="19.5" customHeight="1" s="35">
      <c r="A64" s="47" t="inlineStr">
        <is>
          <t>【STEP2本命】Task1 地図問題はこの1つの公式だけ</t>
        </is>
      </c>
      <c r="B64" s="48" t="inlineStr">
        <is>
          <t>IELTS Writing Task1</t>
        </is>
      </c>
      <c r="C64" s="48" t="inlineStr">
        <is>
          <t>チュートリアル</t>
        </is>
      </c>
      <c r="D64" s="48" t="inlineStr">
        <is>
          <t>明確なリスト（数字）× トピック＋ひねり</t>
        </is>
      </c>
      <c r="E64" s="49" t="inlineStr">
        <is>
          <t>「地図問題はこの1つの公式で書ける」／図解サムネ</t>
        </is>
      </c>
      <c r="F64" s="50" t="inlineStr">
        <is>
          <t>○</t>
        </is>
      </c>
      <c r="G64" s="50" t="inlineStr">
        <is>
          <t>○</t>
        </is>
      </c>
      <c r="H64" s="50" t="inlineStr">
        <is>
          <t>○</t>
        </is>
      </c>
      <c r="I64" s="50" t="inlineStr">
        <is>
          <t>○</t>
        </is>
      </c>
      <c r="J64" s="50" t="inlineStr">
        <is>
          <t>○</t>
        </is>
      </c>
      <c r="K64" s="50" t="inlineStr">
        <is>
          <t>○</t>
        </is>
      </c>
      <c r="L64" s="51">
        <f>IF(COUNTA(F64:K64)=0,"",IF(COUNTIF(F64:K64,"○")=6,"候補リスト入り",IF(COUNTA(F64:K64)&lt;6,"未記入あり","修正 or ボツ")))</f>
        <v/>
      </c>
      <c r="M64" s="52" t="n">
        <v>6</v>
      </c>
      <c r="N64" s="52" t="n">
        <v>4</v>
      </c>
      <c r="O64" s="52" t="n">
        <v>8</v>
      </c>
      <c r="P64" s="53">
        <f>IF(COUNT(M64:O64)&lt;3,"",M64+(11-N64)+O64)</f>
        <v/>
      </c>
      <c r="Q64" s="54" t="inlineStr">
        <is>
          <t>STEP1通過。根拠：IELTS Writing Task 1 Academic: One Simple Formula for Maps 2.3x／11,155再生</t>
        </is>
      </c>
    </row>
    <row r="65" ht="19.5" customHeight="1" s="35">
      <c r="A65" s="47" t="inlineStr">
        <is>
          <t>【STEP2本命】30日でBand 4→8.5の変化ストーリー</t>
        </is>
      </c>
      <c r="B65" s="48" t="inlineStr">
        <is>
          <t>IELTS全体</t>
        </is>
      </c>
      <c r="C65" s="48" t="inlineStr">
        <is>
          <t>チャレンジ×Vlog</t>
        </is>
      </c>
      <c r="D65" s="48" t="inlineStr">
        <is>
          <t>長期コミット（時間）× 変身・変化</t>
        </is>
      </c>
      <c r="E65" s="49" t="inlineStr">
        <is>
          <t>「30日でBand 4→8.5を取った全記録」／Day別のスコア推移</t>
        </is>
      </c>
      <c r="F65" s="50" t="inlineStr">
        <is>
          <t>○</t>
        </is>
      </c>
      <c r="G65" s="50" t="inlineStr">
        <is>
          <t>○</t>
        </is>
      </c>
      <c r="H65" s="50" t="inlineStr">
        <is>
          <t>○</t>
        </is>
      </c>
      <c r="I65" s="50" t="inlineStr">
        <is>
          <t>○</t>
        </is>
      </c>
      <c r="J65" s="50" t="inlineStr">
        <is>
          <t>○</t>
        </is>
      </c>
      <c r="K65" s="50" t="inlineStr">
        <is>
          <t>○</t>
        </is>
      </c>
      <c r="L65" s="51">
        <f>IF(COUNTA(F65:K65)=0,"",IF(COUNTIF(F65:K65,"○")=6,"候補リスト入り",IF(COUNTA(F65:K65)&lt;6,"未記入あり","修正 or ボツ")))</f>
        <v/>
      </c>
      <c r="M65" s="52" t="n">
        <v>9</v>
      </c>
      <c r="N65" s="52" t="n">
        <v>9</v>
      </c>
      <c r="O65" s="52" t="n">
        <v>8</v>
      </c>
      <c r="P65" s="53">
        <f>IF(COUNT(M65:O65)&lt;3,"",M65+(11-N65)+O65)</f>
        <v/>
      </c>
      <c r="Q65" s="54" t="inlineStr">
        <is>
          <t>STEP1通過。根拠：Simran IELTS 112.65倍／登録3,860人＝『知名度なしでも伸びる』の直接証拠</t>
        </is>
      </c>
    </row>
    <row r="66" ht="19.5" customHeight="1" s="35">
      <c r="A66" s="47" t="inlineStr">
        <is>
          <t>【実験枠】日本語「IELTS勉強法」の実験1本</t>
        </is>
      </c>
      <c r="B66" s="48" t="inlineStr">
        <is>
          <t>IELTS 勉強法（日本語）</t>
        </is>
      </c>
      <c r="C66" s="48" t="inlineStr">
        <is>
          <t>チュートリアル×Vlog</t>
        </is>
      </c>
      <c r="D66" s="48" t="inlineStr">
        <is>
          <t>親近感</t>
        </is>
      </c>
      <c r="E66" s="49" t="inlineStr">
        <is>
          <t>「英語環境ゼロの私が実際にやったIELTS勉強法」／手元の教材を並べる</t>
        </is>
      </c>
      <c r="F66" s="50" t="inlineStr">
        <is>
          <t>○</t>
        </is>
      </c>
      <c r="G66" s="50" t="inlineStr">
        <is>
          <t>○</t>
        </is>
      </c>
      <c r="H66" s="50" t="inlineStr">
        <is>
          <t>○</t>
        </is>
      </c>
      <c r="I66" s="50" t="inlineStr">
        <is>
          <t>○</t>
        </is>
      </c>
      <c r="J66" s="50" t="inlineStr">
        <is>
          <t>○</t>
        </is>
      </c>
      <c r="K66" s="50" t="inlineStr">
        <is>
          <t>○</t>
        </is>
      </c>
      <c r="L66" s="51">
        <f>IF(COUNTA(F66:K66)=0,"",IF(COUNTIF(F66:K66,"○")=6,"候補リスト入り",IF(COUNTA(F66:K66)&lt;6,"未記入あり","修正 or ボツ")))</f>
        <v/>
      </c>
      <c r="M66" s="52" t="n">
        <v>6</v>
      </c>
      <c r="N66" s="52" t="n">
        <v>3</v>
      </c>
      <c r="O66" s="52" t="n">
        <v>4</v>
      </c>
      <c r="P66" s="53">
        <f>IF(COUNT(M66:O66)&lt;3,"",M66+(11-N66)+O66)</f>
        <v/>
      </c>
      <c r="Q66" s="54" t="inlineStr">
        <is>
          <t>STEP1は実績ゼロ（アウトライヤー索引に関連結果なし）。英語クエリで再検索が必要。フレームワーク通り実験枠として1本だけキープ</t>
        </is>
      </c>
    </row>
    <row r="67" ht="19.5" customHeight="1" s="35">
      <c r="A67" s="47" t="inlineStr">
        <is>
          <t>【実験枠】30代・アラサーの年齢不安</t>
        </is>
      </c>
      <c r="B67" s="48" t="inlineStr">
        <is>
          <t>社会人の大学院留学</t>
        </is>
      </c>
      <c r="C67" s="48" t="inlineStr">
        <is>
          <t>解説×Vlog</t>
        </is>
      </c>
      <c r="D67" s="48" t="inlineStr">
        <is>
          <t>親近感 × 比較</t>
        </is>
      </c>
      <c r="E67" s="49" t="inlineStr">
        <is>
          <t>「30代で大学院留学して後悔しなかった理由」／20代との比較</t>
        </is>
      </c>
      <c r="F67" s="50" t="inlineStr">
        <is>
          <t>○</t>
        </is>
      </c>
      <c r="G67" s="50" t="inlineStr">
        <is>
          <t>○</t>
        </is>
      </c>
      <c r="H67" s="50" t="inlineStr">
        <is>
          <t>○</t>
        </is>
      </c>
      <c r="I67" s="50" t="inlineStr">
        <is>
          <t>○</t>
        </is>
      </c>
      <c r="J67" s="50" t="inlineStr">
        <is>
          <t>○</t>
        </is>
      </c>
      <c r="K67" s="50" t="inlineStr">
        <is>
          <t>○</t>
        </is>
      </c>
      <c r="L67" s="51">
        <f>IF(COUNTA(F67:K67)=0,"",IF(COUNTIF(F67:K67,"○")=6,"候補リスト入り",IF(COUNTA(F67:K67)&lt;6,"未記入あり","修正 or ボツ")))</f>
        <v/>
      </c>
      <c r="M67" s="52" t="n">
        <v>8</v>
      </c>
      <c r="N67" s="52" t="n">
        <v>3</v>
      </c>
      <c r="O67" s="52" t="n">
        <v>7</v>
      </c>
      <c r="P67" s="53">
        <f>IF(COUNT(M67:O67)&lt;3,"",M67+(11-N67)+O67)</f>
        <v/>
      </c>
      <c r="Q67" s="54" t="inlineStr">
        <is>
          <t>自チャンネル最大アウトライアー1,942回（中央値の約6倍）だが、今回のSTEP1では外部検証が未実施。次回は英語クエリでの検証が必要</t>
        </is>
      </c>
    </row>
    <row r="68" ht="19.5" customHeight="1" s="35">
      <c r="A68" s="47" t="inlineStr">
        <is>
          <t>【転換枠】条件付きオファーの逆算スケジュール</t>
        </is>
      </c>
      <c r="B68" s="48" t="inlineStr">
        <is>
          <t>条件付き合格</t>
        </is>
      </c>
      <c r="C68" s="48" t="inlineStr">
        <is>
          <t>チュートリアル×解説</t>
        </is>
      </c>
      <c r="D68" s="48" t="inlineStr">
        <is>
          <t>ステークス：時間制限</t>
        </is>
      </c>
      <c r="E68" s="49" t="inlineStr">
        <is>
          <t>「条件付きオファーの期限に間に合わなかったら？」／逆算カレンダー</t>
        </is>
      </c>
      <c r="F68" s="50" t="inlineStr">
        <is>
          <t>○</t>
        </is>
      </c>
      <c r="G68" s="50" t="inlineStr">
        <is>
          <t>○</t>
        </is>
      </c>
      <c r="H68" s="50" t="inlineStr">
        <is>
          <t>○</t>
        </is>
      </c>
      <c r="I68" s="55" t="inlineStr">
        <is>
          <t>×</t>
        </is>
      </c>
      <c r="J68" s="50" t="inlineStr">
        <is>
          <t>○</t>
        </is>
      </c>
      <c r="K68" s="50" t="inlineStr">
        <is>
          <t>○</t>
        </is>
      </c>
      <c r="L68" s="51">
        <f>IF(COUNTA(F68:K68)=0,"",IF(COUNTIF(F68:K68,"○")=6,"候補リスト入り",IF(COUNTA(F68:K68)&lt;6,"未記入あり","修正 or ボツ")))</f>
        <v/>
      </c>
      <c r="M68" s="52" t="n">
        <v>6</v>
      </c>
      <c r="N68" s="52" t="n">
        <v>4</v>
      </c>
      <c r="O68" s="52" t="n">
        <v>5</v>
      </c>
      <c r="P68" s="53">
        <f>IF(COUNT(M68:O68)&lt;3,"",M68+(11-N68)+O68)</f>
        <v/>
      </c>
      <c r="Q68" s="54" t="inlineStr">
        <is>
          <t>STEP1でキラー失格（大学院準備は目標超えが少なく、未知チャンネルが跳ねた例がない）。キラー枠ではなく相談・コーチングへのコンバージョン枠として維持</t>
        </is>
      </c>
    </row>
    <row r="69" ht="19.5" customHeight="1" s="35">
      <c r="A69" s="47" t="inlineStr">
        <is>
          <t>【転換枠】留学費用を全部公開</t>
        </is>
      </c>
      <c r="B69" s="48" t="inlineStr">
        <is>
          <t>留学費用・資金計画</t>
        </is>
      </c>
      <c r="C69" s="48" t="inlineStr">
        <is>
          <t>解説×Vlog</t>
        </is>
      </c>
      <c r="D69" s="48" t="inlineStr">
        <is>
          <t>ステークス：お金 × 網羅的</t>
        </is>
      </c>
      <c r="E69" s="49" t="inlineStr">
        <is>
          <t>「ロンドンで大学院に通った実際の総額を全部出す」／内訳の一覧</t>
        </is>
      </c>
      <c r="F69" s="50" t="inlineStr">
        <is>
          <t>○</t>
        </is>
      </c>
      <c r="G69" s="50" t="inlineStr">
        <is>
          <t>○</t>
        </is>
      </c>
      <c r="H69" s="50" t="inlineStr">
        <is>
          <t>○</t>
        </is>
      </c>
      <c r="I69" s="55" t="inlineStr">
        <is>
          <t>×</t>
        </is>
      </c>
      <c r="J69" s="50" t="inlineStr">
        <is>
          <t>○</t>
        </is>
      </c>
      <c r="K69" s="50" t="inlineStr">
        <is>
          <t>○</t>
        </is>
      </c>
      <c r="L69" s="51">
        <f>IF(COUNTA(F69:K69)=0,"",IF(COUNTIF(F69:K69,"○")=6,"候補リスト入り",IF(COUNTA(F69:K69)&lt;6,"未記入あり","修正 or ボツ")))</f>
        <v/>
      </c>
      <c r="M69" s="52" t="n">
        <v>7</v>
      </c>
      <c r="N69" s="52" t="n">
        <v>4</v>
      </c>
      <c r="O69" s="52" t="n">
        <v>5</v>
      </c>
      <c r="P69" s="53">
        <f>IF(COUNT(M69:O69)&lt;3,"",M69+(11-N69)+O69)</f>
        <v/>
      </c>
      <c r="Q69" s="54" t="inlineStr">
        <is>
          <t>転換枠。STEP1のD判定に従いキラーにはしない（転換・信頼構築用）</t>
        </is>
      </c>
    </row>
    <row r="70" ht="19.5" customHeight="1" s="35">
      <c r="A70" s="47" t="inlineStr">
        <is>
          <t>【転換枠】出願書類を全部見せる</t>
        </is>
      </c>
      <c r="B70" s="48" t="inlineStr">
        <is>
          <t>大学院出願</t>
        </is>
      </c>
      <c r="C70" s="48" t="inlineStr">
        <is>
          <t>チュートリアル×解説</t>
        </is>
      </c>
      <c r="D70" s="48" t="inlineStr">
        <is>
          <t>網羅的（コンプリート）</t>
        </is>
      </c>
      <c r="E70" s="49" t="inlineStr">
        <is>
          <t>「イギリス大学院の出願書類、ゼロから完成まで全部見せる」</t>
        </is>
      </c>
      <c r="F70" s="50" t="inlineStr">
        <is>
          <t>○</t>
        </is>
      </c>
      <c r="G70" s="50" t="inlineStr">
        <is>
          <t>○</t>
        </is>
      </c>
      <c r="H70" s="50" t="inlineStr">
        <is>
          <t>○</t>
        </is>
      </c>
      <c r="I70" s="55" t="inlineStr">
        <is>
          <t>×</t>
        </is>
      </c>
      <c r="J70" s="50" t="inlineStr">
        <is>
          <t>○</t>
        </is>
      </c>
      <c r="K70" s="50" t="inlineStr">
        <is>
          <t>○</t>
        </is>
      </c>
      <c r="L70" s="51">
        <f>IF(COUNTA(F70:K70)=0,"",IF(COUNTIF(F70:K70,"○")=6,"候補リスト入り",IF(COUNTA(F70:K70)&lt;6,"未記入あり","修正 or ボツ")))</f>
        <v/>
      </c>
      <c r="M70" s="52" t="n">
        <v>6</v>
      </c>
      <c r="N70" s="52" t="n">
        <v>6</v>
      </c>
      <c r="O70" s="52" t="n">
        <v>5</v>
      </c>
      <c r="P70" s="53">
        <f>IF(COUNT(M70:O70)&lt;3,"",M70+(11-N70)+O70)</f>
        <v/>
      </c>
      <c r="Q70" s="54" t="inlineStr">
        <is>
          <t>転換枠。同上。志望動機書系は反応があるため転換導線として残す</t>
        </is>
      </c>
    </row>
    <row r="71" ht="19.5" customHeight="1" s="35">
      <c r="A71" s="30" t="n"/>
      <c r="B71" s="30" t="n"/>
      <c r="C71" s="30" t="n"/>
      <c r="D71" s="30" t="n"/>
      <c r="E71" s="30" t="n"/>
      <c r="F71" s="31" t="n"/>
      <c r="G71" s="31" t="n"/>
      <c r="H71" s="31" t="n"/>
      <c r="I71" s="31" t="n"/>
      <c r="J71" s="31" t="n"/>
      <c r="K71" s="31" t="n"/>
      <c r="L71" s="32">
        <f>IF(COUNTA(F71:K71)=0,"",IF(COUNTIF(F71:K71,"○")=6,"候補リスト入り",IF(COUNTA(F71:K71)&lt;6,"未記入あり","修正 or ボツ")))</f>
        <v/>
      </c>
      <c r="M71" s="30" t="n"/>
      <c r="N71" s="30" t="n"/>
      <c r="O71" s="30" t="n"/>
      <c r="P71" s="33">
        <f>IF(COUNT(M71:O71)&lt;3,"",M71+(11-N71)+O71)</f>
        <v/>
      </c>
    </row>
    <row r="72" ht="19.5" customHeight="1" s="35">
      <c r="A72" s="30" t="n"/>
      <c r="B72" s="30" t="n"/>
      <c r="C72" s="30" t="n"/>
      <c r="D72" s="30" t="n"/>
      <c r="E72" s="30" t="n"/>
      <c r="F72" s="31" t="n"/>
      <c r="G72" s="31" t="n"/>
      <c r="H72" s="31" t="n"/>
      <c r="I72" s="31" t="n"/>
      <c r="J72" s="31" t="n"/>
      <c r="K72" s="31" t="n"/>
      <c r="L72" s="32">
        <f>IF(COUNTA(F72:K72)=0,"",IF(COUNTIF(F72:K72,"○")=6,"候補リスト入り",IF(COUNTA(F72:K72)&lt;6,"未記入あり","修正 or ボツ")))</f>
        <v/>
      </c>
      <c r="M72" s="30" t="n"/>
      <c r="N72" s="30" t="n"/>
      <c r="O72" s="30" t="n"/>
      <c r="P72" s="33">
        <f>IF(COUNT(M72:O72)&lt;3,"",M72+(11-N72)+O72)</f>
        <v/>
      </c>
    </row>
    <row r="73" ht="19.5" customHeight="1" s="35">
      <c r="A73" s="30" t="n"/>
      <c r="B73" s="30" t="n"/>
      <c r="C73" s="30" t="n"/>
      <c r="D73" s="30" t="n"/>
      <c r="E73" s="30" t="n"/>
      <c r="F73" s="31" t="n"/>
      <c r="G73" s="31" t="n"/>
      <c r="H73" s="31" t="n"/>
      <c r="I73" s="31" t="n"/>
      <c r="J73" s="31" t="n"/>
      <c r="K73" s="31" t="n"/>
      <c r="L73" s="32">
        <f>IF(COUNTA(F73:K73)=0,"",IF(COUNTIF(F73:K73,"○")=6,"候補リスト入り",IF(COUNTA(F73:K73)&lt;6,"未記入あり","修正 or ボツ")))</f>
        <v/>
      </c>
      <c r="M73" s="30" t="n"/>
      <c r="N73" s="30" t="n"/>
      <c r="O73" s="30" t="n"/>
      <c r="P73" s="33">
        <f>IF(COUNT(M73:O73)&lt;3,"",M73+(11-N73)+O73)</f>
        <v/>
      </c>
    </row>
    <row r="74" ht="15.75" customHeight="1" s="35"/>
    <row r="75" ht="21.75" customHeight="1" s="35">
      <c r="A75" s="66" t="inlineStr">
        <is>
          <t>【STEP2本命】Part 2の1分間メモ、全部見せる</t>
        </is>
      </c>
      <c r="B75" s="67" t="inlineStr">
        <is>
          <t>IELTS Speaking</t>
        </is>
      </c>
      <c r="C75" s="67" t="inlineStr">
        <is>
          <t>チュートリアル×リスト</t>
        </is>
      </c>
      <c r="D75" s="67" t="inlineStr">
        <is>
          <t>明確なリスト（数字）× 親近感</t>
        </is>
      </c>
      <c r="E75" s="54" t="inlineStr">
        <is>
          <t>「Part 2の1分間メモ、全部見せます」／実際のメモ用紙を写す</t>
        </is>
      </c>
      <c r="F75" s="68" t="inlineStr">
        <is>
          <t>○</t>
        </is>
      </c>
      <c r="G75" s="68" t="inlineStr">
        <is>
          <t>○</t>
        </is>
      </c>
      <c r="H75" s="68" t="inlineStr">
        <is>
          <t>○</t>
        </is>
      </c>
      <c r="I75" s="68" t="inlineStr">
        <is>
          <t>○</t>
        </is>
      </c>
      <c r="J75" s="68" t="inlineStr">
        <is>
          <t>○</t>
        </is>
      </c>
      <c r="K75" s="68" t="inlineStr">
        <is>
          <t>○</t>
        </is>
      </c>
      <c r="L75" s="69">
        <f>IF(COUNTA(F75:K75)=0,"",IF(COUNTIF(F75:K75,"○")=6,"候補リスト入り",IF(COUNTA(F75:K75)&lt;6,"未記入あり","修正 or ボツ")))</f>
        <v/>
      </c>
      <c r="M75" s="70" t="n">
        <v>7</v>
      </c>
      <c r="N75" s="70" t="n">
        <v>4</v>
      </c>
      <c r="O75" s="70" t="n">
        <v>8</v>
      </c>
      <c r="P75" s="71">
        <f>IF(COUNT(M75:O75)&lt;3,"",M75+(11-N75)+O75)</f>
        <v/>
      </c>
      <c r="Q75" s="54" t="inlineStr">
        <is>
          <t>STEP1通過（Speaking）。メモの取り方は誰も見せていない空白領域。添削データが根拠になる</t>
        </is>
      </c>
    </row>
    <row r="76" ht="60" customHeight="1" s="35">
      <c r="A76" s="66" t="inlineStr">
        <is>
          <t>【STEP2本命】同じ質問に Band 5.5 と Band 8.0 が答えたら</t>
        </is>
      </c>
      <c r="B76" s="67" t="inlineStr">
        <is>
          <t>IELTS Speaking</t>
        </is>
      </c>
      <c r="C76" s="67" t="inlineStr">
        <is>
          <t>比較×インタビュー</t>
        </is>
      </c>
      <c r="D76" s="67" t="inlineStr">
        <is>
          <t>比較</t>
        </is>
      </c>
      <c r="E76" s="54" t="inlineStr">
        <is>
          <t>「同じ質問に、5.5の人と8.0の人が答えたら」／2人の回答を並べる</t>
        </is>
      </c>
      <c r="F76" s="68" t="inlineStr">
        <is>
          <t>○</t>
        </is>
      </c>
      <c r="G76" s="68" t="inlineStr">
        <is>
          <t>○</t>
        </is>
      </c>
      <c r="H76" s="68" t="inlineStr">
        <is>
          <t>○</t>
        </is>
      </c>
      <c r="I76" s="68" t="inlineStr">
        <is>
          <t>○</t>
        </is>
      </c>
      <c r="J76" s="68" t="inlineStr">
        <is>
          <t>○</t>
        </is>
      </c>
      <c r="K76" s="68" t="inlineStr">
        <is>
          <t>○</t>
        </is>
      </c>
      <c r="L76" s="69">
        <f>IF(COUNTA(F76:K76)=0,"",IF(COUNTIF(F76:K76,"○")=6,"候補リスト入り",IF(COUNTA(F76:K76)&lt;6,"未記入あり","修正 or ボツ")))</f>
        <v/>
      </c>
      <c r="M76" s="70" t="n">
        <v>8</v>
      </c>
      <c r="N76" s="70" t="n">
        <v>6</v>
      </c>
      <c r="O76" s="70" t="n">
        <v>9</v>
      </c>
      <c r="P76" s="71">
        <f>IF(COUNT(M76:O76)&lt;3,"",M76+(11-N76)+O76)</f>
        <v/>
      </c>
      <c r="Q76" s="54" t="inlineStr">
        <is>
          <t>STEP1通過。Nepal BBC型（Band違い比較）と同型。比較は基準値が明確になり強い</t>
        </is>
      </c>
    </row>
    <row r="77" ht="15.75" customHeight="1" s="35">
      <c r="A77" s="66" t="inlineStr">
        <is>
          <t>【STEP2本命】答えに詰まった瞬間のリカバリー</t>
        </is>
      </c>
      <c r="B77" s="67" t="inlineStr">
        <is>
          <t>IELTS Speaking</t>
        </is>
      </c>
      <c r="C77" s="67" t="inlineStr">
        <is>
          <t>チュートリアル×コメンタリー</t>
        </is>
      </c>
      <c r="D77" s="67" t="inlineStr">
        <is>
          <t>トピック＋ひねり × 親近感</t>
        </is>
      </c>
      <c r="E77" s="54" t="inlineStr">
        <is>
          <t>「沈黙した瞬間、何を言えばいいのか」／本番の詰まりを再現</t>
        </is>
      </c>
      <c r="F77" s="68" t="inlineStr">
        <is>
          <t>○</t>
        </is>
      </c>
      <c r="G77" s="68" t="inlineStr">
        <is>
          <t>○</t>
        </is>
      </c>
      <c r="H77" s="68" t="inlineStr">
        <is>
          <t>○</t>
        </is>
      </c>
      <c r="I77" s="68" t="inlineStr">
        <is>
          <t>○</t>
        </is>
      </c>
      <c r="J77" s="68" t="inlineStr">
        <is>
          <t>○</t>
        </is>
      </c>
      <c r="K77" s="68" t="inlineStr">
        <is>
          <t>○</t>
        </is>
      </c>
      <c r="L77" s="69">
        <f>IF(COUNTA(F77:K77)=0,"",IF(COUNTIF(F77:K77,"○")=6,"候補リスト入り",IF(COUNTA(F77:K77)&lt;6,"未記入あり","修正 or ボツ")))</f>
        <v/>
      </c>
      <c r="M77" s="70" t="n">
        <v>7</v>
      </c>
      <c r="N77" s="70" t="n">
        <v>4</v>
      </c>
      <c r="O77" s="70" t="n">
        <v>8</v>
      </c>
      <c r="P77" s="71">
        <f>IF(COUNT(M77:O77)&lt;3,"",M77+(11-N77)+O77)</f>
        <v/>
      </c>
      <c r="Q77" s="54" t="inlineStr">
        <is>
          <t>受講生が実際に詰まる場面＝生々しい。模試＋FB型の一部として切り出し可能</t>
        </is>
      </c>
    </row>
    <row r="78" ht="15.75" customHeight="1" s="35">
      <c r="A78" s="66" t="inlineStr">
        <is>
          <t>【STEP2本命】頻出50問を1本で全部</t>
        </is>
      </c>
      <c r="B78" s="67" t="inlineStr">
        <is>
          <t>IELTS Speaking</t>
        </is>
      </c>
      <c r="C78" s="67" t="inlineStr">
        <is>
          <t>チュートリアル</t>
        </is>
      </c>
      <c r="D78" s="67" t="inlineStr">
        <is>
          <t>網羅的（コンプリート）</t>
        </is>
      </c>
      <c r="E78" s="54" t="inlineStr">
        <is>
          <t>「IELTSスピーキング頻出50問、全部答えます」／問題リストを敷き詰めたサムネ</t>
        </is>
      </c>
      <c r="F78" s="68" t="inlineStr">
        <is>
          <t>○</t>
        </is>
      </c>
      <c r="G78" s="68" t="inlineStr">
        <is>
          <t>○</t>
        </is>
      </c>
      <c r="H78" s="68" t="inlineStr">
        <is>
          <t>○</t>
        </is>
      </c>
      <c r="I78" s="68" t="inlineStr">
        <is>
          <t>○</t>
        </is>
      </c>
      <c r="J78" s="68" t="inlineStr">
        <is>
          <t>○</t>
        </is>
      </c>
      <c r="K78" s="68" t="inlineStr">
        <is>
          <t>○</t>
        </is>
      </c>
      <c r="L78" s="69">
        <f>IF(COUNTA(F78:K78)=0,"",IF(COUNTIF(F78:K78,"○")=6,"候補リスト入り",IF(COUNTA(F78:K78)&lt;6,"未記入あり","修正 or ボツ")))</f>
        <v/>
      </c>
      <c r="M78" s="70" t="n">
        <v>7</v>
      </c>
      <c r="N78" s="70" t="n">
        <v>7</v>
      </c>
      <c r="O78" s="70" t="n">
        <v>7</v>
      </c>
      <c r="P78" s="71">
        <f>IF(COUNT(M78:O78)&lt;3,"",M78+(11-N78)+O78)</f>
        <v/>
      </c>
      <c r="Q78" s="54" t="inlineStr">
        <is>
          <t>網羅型は保存されやすい。外部の『完全攻略1時間』型（417万回）と同系</t>
        </is>
      </c>
    </row>
    <row r="79" ht="15.75" customHeight="1" s="35">
      <c r="A79" s="66" t="inlineStr">
        <is>
          <t>【STEP2本命】3週間で伸びる人と伸びない人の練習の違い</t>
        </is>
      </c>
      <c r="B79" s="67" t="inlineStr">
        <is>
          <t>IELTS Speaking</t>
        </is>
      </c>
      <c r="C79" s="67" t="inlineStr">
        <is>
          <t>比較×Vlog</t>
        </is>
      </c>
      <c r="D79" s="67" t="inlineStr">
        <is>
          <t>比較</t>
        </is>
      </c>
      <c r="E79" s="54" t="inlineStr">
        <is>
          <t>「3週間で伸びる人と伸びない人、練習の何が違ったか」</t>
        </is>
      </c>
      <c r="F79" s="68" t="inlineStr">
        <is>
          <t>○</t>
        </is>
      </c>
      <c r="G79" s="68" t="inlineStr">
        <is>
          <t>○</t>
        </is>
      </c>
      <c r="H79" s="68" t="inlineStr">
        <is>
          <t>○</t>
        </is>
      </c>
      <c r="I79" s="68" t="inlineStr">
        <is>
          <t>○</t>
        </is>
      </c>
      <c r="J79" s="68" t="inlineStr">
        <is>
          <t>○</t>
        </is>
      </c>
      <c r="K79" s="68" t="inlineStr">
        <is>
          <t>○</t>
        </is>
      </c>
      <c r="L79" s="69">
        <f>IF(COUNTA(F79:K79)=0,"",IF(COUNTIF(F79:K79,"○")=6,"候補リスト入り",IF(COUNTA(F79:K79)&lt;6,"未記入あり","修正 or ボツ")))</f>
        <v/>
      </c>
      <c r="M79" s="70" t="n">
        <v>8</v>
      </c>
      <c r="N79" s="70" t="n">
        <v>5</v>
      </c>
      <c r="O79" s="70" t="n">
        <v>9</v>
      </c>
      <c r="P79" s="71">
        <f>IF(COUNT(M79:O79)&lt;3,"",M79+(11-N79)+O79)</f>
        <v/>
      </c>
      <c r="Q79" s="54" t="inlineStr">
        <is>
          <t>STEP1通過。受講生事例は自分の柱Bの勝ち型（639回・561回で実証）</t>
        </is>
      </c>
    </row>
    <row r="80" ht="15.75" customHeight="1" s="35">
      <c r="A80" s="66" t="inlineStr">
        <is>
          <t>【STEP2本命】自分の回答を採点官の基準で採点してみた</t>
        </is>
      </c>
      <c r="B80" s="67" t="inlineStr">
        <is>
          <t>IELTS Speaking</t>
        </is>
      </c>
      <c r="C80" s="67" t="inlineStr">
        <is>
          <t>コメンタリー</t>
        </is>
      </c>
      <c r="D80" s="67" t="inlineStr">
        <is>
          <t>トピック＋ひねり</t>
        </is>
      </c>
      <c r="E80" s="54" t="inlineStr">
        <is>
          <t>「自分の回答を、採点官の基準で採点してみた」</t>
        </is>
      </c>
      <c r="F80" s="68" t="inlineStr">
        <is>
          <t>○</t>
        </is>
      </c>
      <c r="G80" s="68" t="inlineStr">
        <is>
          <t>○</t>
        </is>
      </c>
      <c r="H80" s="68" t="inlineStr">
        <is>
          <t>○</t>
        </is>
      </c>
      <c r="I80" s="68" t="inlineStr">
        <is>
          <t>○</t>
        </is>
      </c>
      <c r="J80" s="68" t="inlineStr">
        <is>
          <t>○</t>
        </is>
      </c>
      <c r="K80" s="68" t="inlineStr">
        <is>
          <t>○</t>
        </is>
      </c>
      <c r="L80" s="69">
        <f>IF(COUNTA(F80:K80)=0,"",IF(COUNTIF(F80:K80,"○")=6,"候補リスト入り",IF(COUNTA(F80:K80)&lt;6,"未記入あり","修正 or ボツ")))</f>
        <v/>
      </c>
      <c r="M80" s="70" t="n">
        <v>7</v>
      </c>
      <c r="N80" s="70" t="n">
        <v>4</v>
      </c>
      <c r="O80" s="70" t="n">
        <v>8</v>
      </c>
      <c r="P80" s="71">
        <f>IF(COUNT(M80:O80)&lt;3,"",M80+(11-N80)+O80)</f>
        <v/>
      </c>
      <c r="Q80" s="54" t="inlineStr">
        <is>
          <t>権威×自己開示。他では見にくい切り口で差別化できる</t>
        </is>
      </c>
    </row>
    <row r="81" ht="15.75" customHeight="1" s="35">
      <c r="A81" s="66" t="inlineStr">
        <is>
          <t>【STEP2本命】発音だけ直したらスコアは変わるのか検証</t>
        </is>
      </c>
      <c r="B81" s="67" t="inlineStr">
        <is>
          <t>IELTS Speaking</t>
        </is>
      </c>
      <c r="C81" s="67" t="inlineStr">
        <is>
          <t>チャレンジ×解説</t>
        </is>
      </c>
      <c r="D81" s="67" t="inlineStr">
        <is>
          <t>トピック＋ひねり × 比較</t>
        </is>
      </c>
      <c r="E81" s="54" t="inlineStr">
        <is>
          <t>「発音だけ直したらスコアは変わるのか、実験した」</t>
        </is>
      </c>
      <c r="F81" s="68" t="inlineStr">
        <is>
          <t>○</t>
        </is>
      </c>
      <c r="G81" s="68" t="inlineStr">
        <is>
          <t>○</t>
        </is>
      </c>
      <c r="H81" s="68" t="inlineStr">
        <is>
          <t>○</t>
        </is>
      </c>
      <c r="I81" s="68" t="inlineStr">
        <is>
          <t>○</t>
        </is>
      </c>
      <c r="J81" s="68" t="inlineStr">
        <is>
          <t>○</t>
        </is>
      </c>
      <c r="K81" s="68" t="inlineStr">
        <is>
          <t>○</t>
        </is>
      </c>
      <c r="L81" s="69">
        <f>IF(COUNTA(F81:K81)=0,"",IF(COUNTIF(F81:K81,"○")=6,"候補リスト入り",IF(COUNTA(F81:K81)&lt;6,"未記入あり","修正 or ボツ")))</f>
        <v/>
      </c>
      <c r="M81" s="70" t="n">
        <v>8</v>
      </c>
      <c r="N81" s="70" t="n">
        <v>7</v>
      </c>
      <c r="O81" s="70" t="n">
        <v>7</v>
      </c>
      <c r="P81" s="71">
        <f>IF(COUNT(M81:O81)&lt;3,"",M81+(11-N81)+O81)</f>
        <v/>
      </c>
      <c r="Q81" s="54" t="inlineStr">
        <is>
          <t>検証型＝好奇心の空白を埋める。自分で実験できるのが強み</t>
        </is>
      </c>
    </row>
    <row r="82" ht="15.75" customHeight="1" s="35">
      <c r="A82" s="66" t="inlineStr">
        <is>
          <t>【STEP2本命】当日の朝から会場まで全部見せる</t>
        </is>
      </c>
      <c r="B82" s="67" t="inlineStr">
        <is>
          <t>IELTS Speaking</t>
        </is>
      </c>
      <c r="C82" s="67" t="inlineStr">
        <is>
          <t>Vlog</t>
        </is>
      </c>
      <c r="D82" s="67" t="inlineStr">
        <is>
          <t>親近感 × ステークス：時間制限</t>
        </is>
      </c>
      <c r="E82" s="54" t="inlineStr">
        <is>
          <t>「IELTSスピーキング当日、朝から会場まで全部見せる」</t>
        </is>
      </c>
      <c r="F82" s="68" t="inlineStr">
        <is>
          <t>○</t>
        </is>
      </c>
      <c r="G82" s="68" t="inlineStr">
        <is>
          <t>○</t>
        </is>
      </c>
      <c r="H82" s="68" t="inlineStr">
        <is>
          <t>○</t>
        </is>
      </c>
      <c r="I82" s="68" t="inlineStr">
        <is>
          <t>○</t>
        </is>
      </c>
      <c r="J82" s="68" t="inlineStr">
        <is>
          <t>○</t>
        </is>
      </c>
      <c r="K82" s="68" t="inlineStr">
        <is>
          <t>○</t>
        </is>
      </c>
      <c r="L82" s="69">
        <f>IF(COUNTA(F82:K82)=0,"",IF(COUNTIF(F82:K82,"○")=6,"候補リスト入り",IF(COUNTA(F82:K82)&lt;6,"未記入あり","修正 or ボツ")))</f>
        <v/>
      </c>
      <c r="M82" s="70" t="n">
        <v>7</v>
      </c>
      <c r="N82" s="70" t="n">
        <v>5</v>
      </c>
      <c r="O82" s="70" t="n">
        <v>7</v>
      </c>
      <c r="P82" s="71">
        <f>IF(COUNT(M82:O82)&lt;3,"",M82+(11-N82)+O82)</f>
        <v/>
      </c>
      <c r="Q82" s="54" t="inlineStr">
        <is>
          <t>親近感×希少な一次情報。受験直前層に刺さる</t>
        </is>
      </c>
    </row>
    <row r="83" ht="15.75" customHeight="1" s="35">
      <c r="A83" s="66" t="inlineStr">
        <is>
          <t>【STEP2本命】言い換え表現100を1本に</t>
        </is>
      </c>
      <c r="B83" s="67" t="inlineStr">
        <is>
          <t>IELTS Writing</t>
        </is>
      </c>
      <c r="C83" s="67" t="inlineStr">
        <is>
          <t>チュートリアル</t>
        </is>
      </c>
      <c r="D83" s="67" t="inlineStr">
        <is>
          <t>網羅的（コンプリート）</t>
        </is>
      </c>
      <c r="E83" s="54" t="inlineStr">
        <is>
          <t>「IELTS言い換え表現100、これ1本で全部」／Before-Afterの一覧</t>
        </is>
      </c>
      <c r="F83" s="68" t="inlineStr">
        <is>
          <t>○</t>
        </is>
      </c>
      <c r="G83" s="68" t="inlineStr">
        <is>
          <t>○</t>
        </is>
      </c>
      <c r="H83" s="68" t="inlineStr">
        <is>
          <t>○</t>
        </is>
      </c>
      <c r="I83" s="68" t="inlineStr">
        <is>
          <t>○</t>
        </is>
      </c>
      <c r="J83" s="68" t="inlineStr">
        <is>
          <t>○</t>
        </is>
      </c>
      <c r="K83" s="68" t="inlineStr">
        <is>
          <t>○</t>
        </is>
      </c>
      <c r="L83" s="69">
        <f>IF(COUNTA(F83:K83)=0,"",IF(COUNTIF(F83:K83,"○")=6,"候補リスト入り",IF(COUNTA(F83:K83)&lt;6,"未記入あり","修正 or ボツ")))</f>
        <v/>
      </c>
      <c r="M83" s="70" t="n">
        <v>7</v>
      </c>
      <c r="N83" s="70" t="n">
        <v>7</v>
      </c>
      <c r="O83" s="70" t="n">
        <v>8</v>
      </c>
      <c r="P83" s="71">
        <f>IF(COUNT(M83:O83)&lt;3,"",M83+(11-N83)+O83)</f>
        <v/>
      </c>
      <c r="Q83" s="54" t="inlineStr">
        <is>
          <t>★STEP1最大アウトライアー（Paraphrasing Masterclass 806.27倍）の網羅版</t>
        </is>
      </c>
    </row>
    <row r="84" ht="15.75" customHeight="1" s="35">
      <c r="A84" s="66" t="inlineStr">
        <is>
          <t>【STEP2本命】同じお題で6.0の答案と8.0の答案を並べる</t>
        </is>
      </c>
      <c r="B84" s="67" t="inlineStr">
        <is>
          <t>IELTS Writing</t>
        </is>
      </c>
      <c r="C84" s="67" t="inlineStr">
        <is>
          <t>比較×チュートリアル</t>
        </is>
      </c>
      <c r="D84" s="67" t="inlineStr">
        <is>
          <t>比較</t>
        </is>
      </c>
      <c r="E84" s="54" t="inlineStr">
        <is>
          <t>「同じお題で、6.0の答案と8.0の答案を並べてみた」</t>
        </is>
      </c>
      <c r="F84" s="68" t="inlineStr">
        <is>
          <t>○</t>
        </is>
      </c>
      <c r="G84" s="68" t="inlineStr">
        <is>
          <t>○</t>
        </is>
      </c>
      <c r="H84" s="68" t="inlineStr">
        <is>
          <t>○</t>
        </is>
      </c>
      <c r="I84" s="68" t="inlineStr">
        <is>
          <t>○</t>
        </is>
      </c>
      <c r="J84" s="68" t="inlineStr">
        <is>
          <t>○</t>
        </is>
      </c>
      <c r="K84" s="68" t="inlineStr">
        <is>
          <t>○</t>
        </is>
      </c>
      <c r="L84" s="69">
        <f>IF(COUNTA(F84:K84)=0,"",IF(COUNTIF(F84:K84,"○")=6,"候補リスト入り",IF(COUNTA(F84:K84)&lt;6,"未記入あり","修正 or ボツ")))</f>
        <v/>
      </c>
      <c r="M84" s="70" t="n">
        <v>8</v>
      </c>
      <c r="N84" s="70" t="n">
        <v>5</v>
      </c>
      <c r="O84" s="70" t="n">
        <v>9</v>
      </c>
      <c r="P84" s="71">
        <f>IF(COUNT(M84:O84)&lt;3,"",M84+(11-N84)+O84)</f>
        <v/>
      </c>
      <c r="Q84" s="54" t="inlineStr">
        <is>
          <t>STEP1通過。Band違い比較のWriting版。差が一目で見える</t>
        </is>
      </c>
    </row>
    <row r="85" ht="15.75" customHeight="1" s="35">
      <c r="A85" s="66" t="inlineStr">
        <is>
          <t>【STEP2本命】Task 2はこの1つの型だけで書ける</t>
        </is>
      </c>
      <c r="B85" s="67" t="inlineStr">
        <is>
          <t>IELTS Writing</t>
        </is>
      </c>
      <c r="C85" s="67" t="inlineStr">
        <is>
          <t>チュートリアル</t>
        </is>
      </c>
      <c r="D85" s="67" t="inlineStr">
        <is>
          <t>明確なリスト（数字）× トピック＋ひねり</t>
        </is>
      </c>
      <c r="E85" s="54" t="inlineStr">
        <is>
          <t>「Task 2はこの1つの型だけで書ける」／型の図解</t>
        </is>
      </c>
      <c r="F85" s="68" t="inlineStr">
        <is>
          <t>○</t>
        </is>
      </c>
      <c r="G85" s="68" t="inlineStr">
        <is>
          <t>○</t>
        </is>
      </c>
      <c r="H85" s="68" t="inlineStr">
        <is>
          <t>○</t>
        </is>
      </c>
      <c r="I85" s="68" t="inlineStr">
        <is>
          <t>○</t>
        </is>
      </c>
      <c r="J85" s="68" t="inlineStr">
        <is>
          <t>○</t>
        </is>
      </c>
      <c r="K85" s="68" t="inlineStr">
        <is>
          <t>○</t>
        </is>
      </c>
      <c r="L85" s="69">
        <f>IF(COUNTA(F85:K85)=0,"",IF(COUNTIF(F85:K85,"○")=6,"候補リスト入り",IF(COUNTA(F85:K85)&lt;6,"未記入あり","修正 or ボツ")))</f>
        <v/>
      </c>
      <c r="M85" s="70" t="n">
        <v>7</v>
      </c>
      <c r="N85" s="70" t="n">
        <v>4</v>
      </c>
      <c r="O85" s="70" t="n">
        <v>8</v>
      </c>
      <c r="P85" s="71">
        <f>IF(COUNT(M85:O85)&lt;3,"",M85+(11-N85)+O85)</f>
        <v/>
      </c>
      <c r="Q85" s="54" t="inlineStr">
        <is>
          <t>既存の『テンプレ逆効果』（234回）と対になる。少ない型で済ませるメッセージは支持されやすい</t>
        </is>
      </c>
    </row>
    <row r="86" ht="15.75" customHeight="1" s="35">
      <c r="A86" s="66" t="inlineStr">
        <is>
          <t>【STEP2本命】受講生の答案をその場で赤入れ添削</t>
        </is>
      </c>
      <c r="B86" s="67" t="inlineStr">
        <is>
          <t>IELTS Writing</t>
        </is>
      </c>
      <c r="C86" s="67" t="inlineStr">
        <is>
          <t>チュートリアル×コメンタリー</t>
        </is>
      </c>
      <c r="D86" s="67" t="inlineStr">
        <is>
          <t>変身・変化 × 比較</t>
        </is>
      </c>
      <c r="E86" s="54" t="inlineStr">
        <is>
          <t>「受講生の答案をその場で赤入れしてみた」／赤入れのビフォーアフター</t>
        </is>
      </c>
      <c r="F86" s="68" t="inlineStr">
        <is>
          <t>○</t>
        </is>
      </c>
      <c r="G86" s="68" t="inlineStr">
        <is>
          <t>○</t>
        </is>
      </c>
      <c r="H86" s="68" t="inlineStr">
        <is>
          <t>○</t>
        </is>
      </c>
      <c r="I86" s="68" t="inlineStr">
        <is>
          <t>○</t>
        </is>
      </c>
      <c r="J86" s="68" t="inlineStr">
        <is>
          <t>○</t>
        </is>
      </c>
      <c r="K86" s="68" t="inlineStr">
        <is>
          <t>○</t>
        </is>
      </c>
      <c r="L86" s="69">
        <f>IF(COUNTA(F86:K86)=0,"",IF(COUNTIF(F86:K86,"○")=6,"候補リスト入り",IF(COUNTA(F86:K86)&lt;6,"未記入あり","修正 or ボツ")))</f>
        <v/>
      </c>
      <c r="M86" s="70" t="n">
        <v>8</v>
      </c>
      <c r="N86" s="70" t="n">
        <v>5</v>
      </c>
      <c r="O86" s="70" t="n">
        <v>9</v>
      </c>
      <c r="P86" s="71">
        <f>IF(COUNT(M86:O86)&lt;3,"",M86+(11-N86)+O86)</f>
        <v/>
      </c>
      <c r="Q86" s="54" t="inlineStr">
        <is>
          <t>添削700件が参入障壁。変化が視覚で見える最も強い形</t>
        </is>
      </c>
    </row>
    <row r="87" ht="15.75" customHeight="1" s="35">
      <c r="A87" s="66" t="inlineStr">
        <is>
          <t>【STEP2本命】減点されるミスを全部集める</t>
        </is>
      </c>
      <c r="B87" s="67" t="inlineStr">
        <is>
          <t>IELTS Writing</t>
        </is>
      </c>
      <c r="C87" s="67" t="inlineStr">
        <is>
          <t>チュートリアル</t>
        </is>
      </c>
      <c r="D87" s="67" t="inlineStr">
        <is>
          <t>網羅的（コンプリート）× 明確なリスト</t>
        </is>
      </c>
      <c r="E87" s="54" t="inlineStr">
        <is>
          <t>「IELTSライティングで減点されるミス、全部集めました」</t>
        </is>
      </c>
      <c r="F87" s="68" t="inlineStr">
        <is>
          <t>○</t>
        </is>
      </c>
      <c r="G87" s="68" t="inlineStr">
        <is>
          <t>○</t>
        </is>
      </c>
      <c r="H87" s="68" t="inlineStr">
        <is>
          <t>○</t>
        </is>
      </c>
      <c r="I87" s="68" t="inlineStr">
        <is>
          <t>○</t>
        </is>
      </c>
      <c r="J87" s="68" t="inlineStr">
        <is>
          <t>○</t>
        </is>
      </c>
      <c r="K87" s="68" t="inlineStr">
        <is>
          <t>○</t>
        </is>
      </c>
      <c r="L87" s="69">
        <f>IF(COUNTA(F87:K87)=0,"",IF(COUNTIF(F87:K87,"○")=6,"候補リスト入り",IF(COUNTA(F87:K87)&lt;6,"未記入あり","修正 or ボツ")))</f>
        <v/>
      </c>
      <c r="M87" s="70" t="n">
        <v>7</v>
      </c>
      <c r="N87" s="70" t="n">
        <v>6</v>
      </c>
      <c r="O87" s="70" t="n">
        <v>8</v>
      </c>
      <c r="P87" s="71">
        <f>IF(COUNT(M87:O87)&lt;3,"",M87+(11-N87)+O87)</f>
        <v/>
      </c>
      <c r="Q87" s="54" t="inlineStr">
        <is>
          <t>失敗回避型は保存される。添削データと相性が良い</t>
        </is>
      </c>
    </row>
    <row r="88" ht="15.75" customHeight="1" s="35">
      <c r="A88" s="66" t="inlineStr">
        <is>
          <t>【STEP2本命】本番60分の時間配分を実演</t>
        </is>
      </c>
      <c r="B88" s="67" t="inlineStr">
        <is>
          <t>IELTS Writing</t>
        </is>
      </c>
      <c r="C88" s="67" t="inlineStr">
        <is>
          <t>チュートリアル×チャレンジ</t>
        </is>
      </c>
      <c r="D88" s="67" t="inlineStr">
        <is>
          <t>ステークス：時間制限</t>
        </is>
      </c>
      <c r="E88" s="54" t="inlineStr">
        <is>
          <t>「本番60分、時間配分を全部実演する」／60分を可視化</t>
        </is>
      </c>
      <c r="F88" s="68" t="inlineStr">
        <is>
          <t>○</t>
        </is>
      </c>
      <c r="G88" s="68" t="inlineStr">
        <is>
          <t>○</t>
        </is>
      </c>
      <c r="H88" s="68" t="inlineStr">
        <is>
          <t>○</t>
        </is>
      </c>
      <c r="I88" s="68" t="inlineStr">
        <is>
          <t>○</t>
        </is>
      </c>
      <c r="J88" s="68" t="inlineStr">
        <is>
          <t>○</t>
        </is>
      </c>
      <c r="K88" s="68" t="inlineStr">
        <is>
          <t>○</t>
        </is>
      </c>
      <c r="L88" s="69">
        <f>IF(COUNTA(F88:K88)=0,"",IF(COUNTIF(F88:K88,"○")=6,"候補リスト入り",IF(COUNTA(F88:K88)&lt;6,"未記入あり","修正 or ボツ")))</f>
        <v/>
      </c>
      <c r="M88" s="70" t="n">
        <v>7</v>
      </c>
      <c r="N88" s="70" t="n">
        <v>5</v>
      </c>
      <c r="O88" s="70" t="n">
        <v>8</v>
      </c>
      <c r="P88" s="71">
        <f>IF(COUNT(M88:O88)&lt;3,"",M88+(11-N88)+O88)</f>
        <v/>
      </c>
      <c r="Q88" s="54" t="inlineStr">
        <is>
          <t>時間制限は緊張感を生む。実際に実演できるのがYukoさんの強み</t>
        </is>
      </c>
    </row>
    <row r="89" ht="15.75" customHeight="1" s="35">
      <c r="A89" s="66" t="inlineStr">
        <is>
          <t>【STEP2本命】Task 1の数値の書き方だけで足りる</t>
        </is>
      </c>
      <c r="B89" s="67" t="inlineStr">
        <is>
          <t>IELTS Writing</t>
        </is>
      </c>
      <c r="C89" s="67" t="inlineStr">
        <is>
          <t>チュートリアル</t>
        </is>
      </c>
      <c r="D89" s="67" t="inlineStr">
        <is>
          <t>明確なリスト（数字）× トピック＋ひねり</t>
        </is>
      </c>
      <c r="E89" s="54" t="inlineStr">
        <is>
          <t>「Task 1の数値、この書き方だけで足りる」</t>
        </is>
      </c>
      <c r="F89" s="68" t="inlineStr">
        <is>
          <t>○</t>
        </is>
      </c>
      <c r="G89" s="68" t="inlineStr">
        <is>
          <t>○</t>
        </is>
      </c>
      <c r="H89" s="68" t="inlineStr">
        <is>
          <t>○</t>
        </is>
      </c>
      <c r="I89" s="68" t="inlineStr">
        <is>
          <t>○</t>
        </is>
      </c>
      <c r="J89" s="68" t="inlineStr">
        <is>
          <t>○</t>
        </is>
      </c>
      <c r="K89" s="68" t="inlineStr">
        <is>
          <t>○</t>
        </is>
      </c>
      <c r="L89" s="69">
        <f>IF(COUNTA(F89:K89)=0,"",IF(COUNTIF(F89:K89,"○")=6,"候補リスト入り",IF(COUNTA(F89:K89)&lt;6,"未記入あり","修正 or ボツ")))</f>
        <v/>
      </c>
      <c r="M89" s="70" t="n">
        <v>6</v>
      </c>
      <c r="N89" s="70" t="n">
        <v>4</v>
      </c>
      <c r="O89" s="70" t="n">
        <v>8</v>
      </c>
      <c r="P89" s="71">
        <f>IF(COUNT(M89:O89)&lt;3,"",M89+(11-N89)+O89)</f>
        <v/>
      </c>
      <c r="Q89" s="54" t="inlineStr">
        <is>
          <t>地図問題（2.3x）と同系。Task1は部分攻略が刺さる</t>
        </is>
      </c>
    </row>
    <row r="90" ht="15.75" customHeight="1" s="35">
      <c r="A90" s="66" t="inlineStr">
        <is>
          <t>【STEP2本命】テンプレを捨てて自力で書けるようになるまで</t>
        </is>
      </c>
      <c r="B90" s="67" t="inlineStr">
        <is>
          <t>IELTS Writing</t>
        </is>
      </c>
      <c r="C90" s="67" t="inlineStr">
        <is>
          <t>Vlog×チュートリアル</t>
        </is>
      </c>
      <c r="D90" s="67" t="inlineStr">
        <is>
          <t>長期コミット（時間）× 変身・変化</t>
        </is>
      </c>
      <c r="E90" s="54" t="inlineStr">
        <is>
          <t>「テンプレを捨てて、自力で書けるようになるまでの記録」</t>
        </is>
      </c>
      <c r="F90" s="68" t="inlineStr">
        <is>
          <t>○</t>
        </is>
      </c>
      <c r="G90" s="68" t="inlineStr">
        <is>
          <t>○</t>
        </is>
      </c>
      <c r="H90" s="68" t="inlineStr">
        <is>
          <t>○</t>
        </is>
      </c>
      <c r="I90" s="68" t="inlineStr">
        <is>
          <t>○</t>
        </is>
      </c>
      <c r="J90" s="68" t="inlineStr">
        <is>
          <t>○</t>
        </is>
      </c>
      <c r="K90" s="68" t="inlineStr">
        <is>
          <t>○</t>
        </is>
      </c>
      <c r="L90" s="69">
        <f>IF(COUNTA(F90:K90)=0,"",IF(COUNTIF(F90:K90,"○")=6,"候補リスト入り",IF(COUNTA(F90:K90)&lt;6,"未記入あり","修正 or ボツ")))</f>
        <v/>
      </c>
      <c r="M90" s="70" t="n">
        <v>8</v>
      </c>
      <c r="N90" s="70" t="n">
        <v>8</v>
      </c>
      <c r="O90" s="70" t="n">
        <v>8</v>
      </c>
      <c r="P90" s="71">
        <f>IF(COUNT(M90:O90)&lt;3,"",M90+(11-N90)+O90)</f>
        <v/>
      </c>
      <c r="Q90" s="54" t="inlineStr">
        <is>
          <t>変化×時間。外部『30日で4→8.5』（112.65倍）と同型の長期記録</t>
        </is>
      </c>
    </row>
    <row r="91" ht="15.75" customHeight="1" s="35">
      <c r="A91" s="66" t="inlineStr">
        <is>
          <t>【STEP2本命】過去問1年分を全部解く</t>
        </is>
      </c>
      <c r="B91" s="67" t="inlineStr">
        <is>
          <t>IELTS Writing</t>
        </is>
      </c>
      <c r="C91" s="67" t="inlineStr">
        <is>
          <t>チャレンジ</t>
        </is>
      </c>
      <c r="D91" s="67" t="inlineStr">
        <is>
          <t>網羅的（コンプリート）× 長期コミット（時間）</t>
        </is>
      </c>
      <c r="E91" s="54" t="inlineStr">
        <is>
          <t>「IELTSライティング過去問1年分、全部解いてみた」</t>
        </is>
      </c>
      <c r="F91" s="68" t="inlineStr">
        <is>
          <t>○</t>
        </is>
      </c>
      <c r="G91" s="68" t="inlineStr">
        <is>
          <t>○</t>
        </is>
      </c>
      <c r="H91" s="68" t="inlineStr">
        <is>
          <t>○</t>
        </is>
      </c>
      <c r="I91" s="68" t="inlineStr">
        <is>
          <t>○</t>
        </is>
      </c>
      <c r="J91" s="68" t="inlineStr">
        <is>
          <t>○</t>
        </is>
      </c>
      <c r="K91" s="68" t="inlineStr">
        <is>
          <t>○</t>
        </is>
      </c>
      <c r="L91" s="69">
        <f>IF(COUNTA(F91:K91)=0,"",IF(COUNTIF(F91:K91,"○")=6,"候補リスト入り",IF(COUNTA(F91:K91)&lt;6,"未記入あり","修正 or ボツ")))</f>
        <v/>
      </c>
      <c r="M91" s="70" t="n">
        <v>7</v>
      </c>
      <c r="N91" s="70" t="n">
        <v>9</v>
      </c>
      <c r="O91" s="70" t="n">
        <v>7</v>
      </c>
      <c r="P91" s="71">
        <f>IF(COUNT(M91:O91)&lt;3,"",M91+(11-N91)+O91)</f>
        <v/>
      </c>
      <c r="Q91" s="54" t="inlineStr">
        <is>
          <t>網羅×時間。再生数よりも信頼構築と保存に効く（転換にも寄与）</t>
        </is>
      </c>
    </row>
    <row r="92" ht="15.75" customHeight="1" s="35">
      <c r="A92" s="66" t="inlineStr">
        <is>
          <t>【STEP2本命】添削700件で見えた「伸びる答案」の共通点</t>
        </is>
      </c>
      <c r="B92" s="67" t="inlineStr">
        <is>
          <t>IELTS Writing</t>
        </is>
      </c>
      <c r="C92" s="67" t="inlineStr">
        <is>
          <t>コメンタリー</t>
        </is>
      </c>
      <c r="D92" s="67" t="inlineStr">
        <is>
          <t>比較 × 網羅的（コンプリート）</t>
        </is>
      </c>
      <c r="E92" s="54" t="inlineStr">
        <is>
          <t>「添削700件で見えた、伸びる答案の共通点5つ」</t>
        </is>
      </c>
      <c r="F92" s="68" t="inlineStr">
        <is>
          <t>○</t>
        </is>
      </c>
      <c r="G92" s="68" t="inlineStr">
        <is>
          <t>○</t>
        </is>
      </c>
      <c r="H92" s="68" t="inlineStr">
        <is>
          <t>○</t>
        </is>
      </c>
      <c r="I92" s="68" t="inlineStr">
        <is>
          <t>○</t>
        </is>
      </c>
      <c r="J92" s="68" t="inlineStr">
        <is>
          <t>○</t>
        </is>
      </c>
      <c r="K92" s="68" t="inlineStr">
        <is>
          <t>○</t>
        </is>
      </c>
      <c r="L92" s="69">
        <f>IF(COUNTA(F92:K92)=0,"",IF(COUNTIF(F92:K92,"○")=6,"候補リスト入り",IF(COUNTA(F92:K92)&lt;6,"未記入あり","修正 or ボツ")))</f>
        <v/>
      </c>
      <c r="M92" s="70" t="n">
        <v>8</v>
      </c>
      <c r="N92" s="70" t="n">
        <v>4</v>
      </c>
      <c r="O92" s="70" t="n">
        <v>9</v>
      </c>
      <c r="P92" s="71">
        <f>IF(COUNT(M92:O92)&lt;3,"",M92+(11-N92)+O92)</f>
        <v/>
      </c>
      <c r="Q92" s="54" t="inlineStr">
        <is>
          <t>実績数字が最強の参入障壁。既存の『700件で判明』（242回）を発展させる</t>
        </is>
      </c>
    </row>
    <row r="93" ht="15.75" customHeight="1" s="35">
      <c r="A93" s="66" t="inlineStr">
        <is>
          <t>【実験枠】Shorts：1分で覚える言い換え</t>
        </is>
      </c>
      <c r="B93" s="67" t="inlineStr">
        <is>
          <t>IELTS Speaking／Writing</t>
        </is>
      </c>
      <c r="C93" s="67" t="inlineStr">
        <is>
          <t>チュートリアル（Shorts）</t>
        </is>
      </c>
      <c r="D93" s="67" t="inlineStr">
        <is>
          <t>明確なリスト（数字）</t>
        </is>
      </c>
      <c r="E93" s="54" t="inlineStr">
        <is>
          <t>「1分で覚えるIELTS言い換え」／1テーマ1カット</t>
        </is>
      </c>
      <c r="F93" s="68" t="inlineStr">
        <is>
          <t>○</t>
        </is>
      </c>
      <c r="G93" s="68" t="inlineStr">
        <is>
          <t>○</t>
        </is>
      </c>
      <c r="H93" s="68" t="inlineStr">
        <is>
          <t>○</t>
        </is>
      </c>
      <c r="I93" s="68" t="inlineStr">
        <is>
          <t>○</t>
        </is>
      </c>
      <c r="J93" s="68" t="inlineStr">
        <is>
          <t>○</t>
        </is>
      </c>
      <c r="K93" s="68" t="inlineStr">
        <is>
          <t>○</t>
        </is>
      </c>
      <c r="L93" s="69">
        <f>IF(COUNTA(F93:K93)=0,"",IF(COUNTIF(F93:K93,"○")=6,"候補リスト入り",IF(COUNTA(F93:K93)&lt;6,"未記入あり","修正 or ボツ")))</f>
        <v/>
      </c>
      <c r="M93" s="70" t="n">
        <v>7</v>
      </c>
      <c r="N93" s="70" t="n">
        <v>3</v>
      </c>
      <c r="O93" s="70" t="n">
        <v>6</v>
      </c>
      <c r="P93" s="71">
        <f>IF(COUNT(M93:O93)&lt;3,"",M93+(11-N93)+O93)</f>
        <v/>
      </c>
      <c r="Q93" s="54" t="inlineStr">
        <is>
          <t>Shorts平均1,572はLong平均331の約4.7倍。キラー定義はShorts10,000超。Shorts側のアウトライアー検証は未実施のため実験枠</t>
        </is>
      </c>
    </row>
    <row r="94" ht="15.75" customHeight="1" s="35">
      <c r="A94" s="66" t="inlineStr">
        <is>
          <t>【転換枠】受講生の合格体験談</t>
        </is>
      </c>
      <c r="B94" s="67" t="inlineStr">
        <is>
          <t>大学院進学</t>
        </is>
      </c>
      <c r="C94" s="67" t="inlineStr">
        <is>
          <t>インタビュー</t>
        </is>
      </c>
      <c r="D94" s="67" t="inlineStr">
        <is>
          <t>親近感 × 変身・変化</t>
        </is>
      </c>
      <c r="E94" s="54" t="inlineStr">
        <is>
          <t>「英語環境ゼロから大学院に合格した受講生の話」</t>
        </is>
      </c>
      <c r="F94" s="68" t="inlineStr">
        <is>
          <t>○</t>
        </is>
      </c>
      <c r="G94" s="68" t="inlineStr">
        <is>
          <t>○</t>
        </is>
      </c>
      <c r="H94" s="68" t="inlineStr">
        <is>
          <t>○</t>
        </is>
      </c>
      <c r="I94" s="72" t="inlineStr">
        <is>
          <t>×</t>
        </is>
      </c>
      <c r="J94" s="68" t="inlineStr">
        <is>
          <t>○</t>
        </is>
      </c>
      <c r="K94" s="68" t="inlineStr">
        <is>
          <t>○</t>
        </is>
      </c>
      <c r="L94" s="69">
        <f>IF(COUNTA(F94:K94)=0,"",IF(COUNTIF(F94:K94,"○")=6,"候補リスト入り",IF(COUNTA(F94:K94)&lt;6,"未記入あり","修正 or ボツ")))</f>
        <v/>
      </c>
      <c r="M94" s="70" t="n">
        <v>6</v>
      </c>
      <c r="N94" s="70" t="n">
        <v>4</v>
      </c>
      <c r="O94" s="70" t="n">
        <v>5</v>
      </c>
      <c r="P94" s="71">
        <f>IF(COUNT(M94:O94)&lt;3,"",M94+(11-N94)+O94)</f>
        <v/>
      </c>
      <c r="Q94" s="54" t="inlineStr">
        <is>
          <t>転換枠。STEP1のD判定に従いキラーにはしないが、コーチング導線として最も強い</t>
        </is>
      </c>
    </row>
    <row r="95" ht="15.75" customHeight="1" s="35">
      <c r="A95" s="56" t="inlineStr">
        <is>
          <t>最後に：公式に縛られすぎない</t>
        </is>
      </c>
    </row>
    <row r="96" ht="15.75" customHeight="1" s="35">
      <c r="A96" s="41" t="inlineStr">
        <is>
          <t>この方程式は「リスクを減らすゲーム」。ただし最もヒットした企画の中には、誰もやったことのないハイリスクな企画もある。
すべての動画がバズを狙う必要はない。既存視聴者と深くつながる動画、ただ作りたいから作る動画の余白も残す。ワクワクするなら条件を満たさなくても作ってみる。
企画が決まったら次は「パッケージング（タイトル・サムネイル）」。どんな名企画もクリックされなければ見てもらえない。</t>
        </is>
      </c>
    </row>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mergeCells count="88">
    <mergeCell ref="B11:D11"/>
    <mergeCell ref="A23:J23"/>
    <mergeCell ref="C31:E31"/>
    <mergeCell ref="E9:J9"/>
    <mergeCell ref="F19:J19"/>
    <mergeCell ref="E11:J11"/>
    <mergeCell ref="F36:J36"/>
    <mergeCell ref="F18:J18"/>
    <mergeCell ref="F33:J33"/>
    <mergeCell ref="B6:D6"/>
    <mergeCell ref="A49:J49"/>
    <mergeCell ref="F17:J17"/>
    <mergeCell ref="F31:J31"/>
    <mergeCell ref="C34:E34"/>
    <mergeCell ref="B14:E14"/>
    <mergeCell ref="A55:J55"/>
    <mergeCell ref="D47:J47"/>
    <mergeCell ref="E8:J8"/>
    <mergeCell ref="A95:J95"/>
    <mergeCell ref="B41:C41"/>
    <mergeCell ref="E10:J10"/>
    <mergeCell ref="B8:D8"/>
    <mergeCell ref="A4:J4"/>
    <mergeCell ref="A38:J38"/>
    <mergeCell ref="B51:E51"/>
    <mergeCell ref="A96:J96"/>
    <mergeCell ref="A13:J13"/>
    <mergeCell ref="B10:D10"/>
    <mergeCell ref="B50:E50"/>
    <mergeCell ref="A40:J40"/>
    <mergeCell ref="F51:J51"/>
    <mergeCell ref="B16:E16"/>
    <mergeCell ref="B9:D9"/>
    <mergeCell ref="F35:J35"/>
    <mergeCell ref="F50:J50"/>
    <mergeCell ref="C32:E32"/>
    <mergeCell ref="B18:E18"/>
    <mergeCell ref="B5:D5"/>
    <mergeCell ref="A25:J25"/>
    <mergeCell ref="C33:E33"/>
    <mergeCell ref="B53:E53"/>
    <mergeCell ref="A2:J2"/>
    <mergeCell ref="C35:E35"/>
    <mergeCell ref="F14:J14"/>
    <mergeCell ref="F29:J29"/>
    <mergeCell ref="A22:J22"/>
    <mergeCell ref="B15:E15"/>
    <mergeCell ref="B43:C43"/>
    <mergeCell ref="C36:E36"/>
    <mergeCell ref="F15:J15"/>
    <mergeCell ref="B42:C42"/>
    <mergeCell ref="F32:J32"/>
    <mergeCell ref="D46:J46"/>
    <mergeCell ref="B44:C44"/>
    <mergeCell ref="C28:E28"/>
    <mergeCell ref="C37:E37"/>
    <mergeCell ref="B52:E52"/>
    <mergeCell ref="C30:E30"/>
    <mergeCell ref="F27:J27"/>
    <mergeCell ref="F52:J52"/>
    <mergeCell ref="B17:E17"/>
    <mergeCell ref="F37:J37"/>
    <mergeCell ref="D41:J41"/>
    <mergeCell ref="A56:J56"/>
    <mergeCell ref="E5:J5"/>
    <mergeCell ref="B45:C45"/>
    <mergeCell ref="B19:E19"/>
    <mergeCell ref="D43:J43"/>
    <mergeCell ref="F53:J53"/>
    <mergeCell ref="B47:C47"/>
    <mergeCell ref="F34:J34"/>
    <mergeCell ref="F16:J16"/>
    <mergeCell ref="B46:C46"/>
    <mergeCell ref="D42:J42"/>
    <mergeCell ref="B20:E20"/>
    <mergeCell ref="E6:J6"/>
    <mergeCell ref="F30:J30"/>
    <mergeCell ref="C27:E27"/>
    <mergeCell ref="D44:J44"/>
    <mergeCell ref="F20:J20"/>
    <mergeCell ref="E7:J7"/>
    <mergeCell ref="A1:J1"/>
    <mergeCell ref="D45:J45"/>
    <mergeCell ref="F28:J28"/>
    <mergeCell ref="B7:D7"/>
    <mergeCell ref="A21:J21"/>
    <mergeCell ref="A26:J26"/>
    <mergeCell ref="C29:E29"/>
  </mergeCells>
  <dataValidations count="2">
    <dataValidation sqref="M58:O73" showDropDown="0" showInputMessage="0" showErrorMessage="0" allowBlank="1" type="decimal">
      <formula1>1.0</formula1>
      <formula2>10.0</formula2>
    </dataValidation>
    <dataValidation sqref="F58:K73" showDropDown="0" showInputMessage="0" showErrorMessage="0" allowBlank="1" type="list">
      <formula1>"○,×"</formula1>
    </dataValidation>
  </dataValidations>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6" customWidth="1" style="35" min="1" max="1"/>
    <col width="62" customWidth="1" style="35" min="2" max="2"/>
    <col width="18" customWidth="1" style="35" min="3" max="3"/>
    <col width="12" customWidth="1" style="35" min="4" max="4"/>
    <col width="12" customWidth="1" style="35" min="5" max="5"/>
    <col width="10" customWidth="1" style="35" min="6" max="6"/>
    <col width="30" customWidth="1" style="35" min="7" max="7"/>
  </cols>
  <sheetData>
    <row r="1">
      <c r="A1" s="57" t="inlineStr">
        <is>
          <t>STEP1 アウトライアーリサーチ結果（キラー・トピック判定）</t>
        </is>
      </c>
    </row>
    <row r="2">
      <c r="A2" s="58" t="inlineStr">
        <is>
          <t>実施：2026-09-25／出典：ゆうこさんによる外部アウトライアーリサーチ</t>
        </is>
      </c>
    </row>
    <row r="4">
      <c r="A4" s="59" t="inlineStr">
        <is>
          <t>■ 自チャンネル基準値</t>
        </is>
      </c>
    </row>
    <row r="5">
      <c r="A5" s="60" t="inlineStr">
        <is>
          <t>登録者数</t>
        </is>
      </c>
      <c r="B5" s="61" t="inlineStr">
        <is>
          <t>720</t>
        </is>
      </c>
    </row>
    <row r="6">
      <c r="A6" s="60" t="inlineStr">
        <is>
          <t>Long 平均再生</t>
        </is>
      </c>
      <c r="B6" s="61" t="inlineStr">
        <is>
          <t>331</t>
        </is>
      </c>
    </row>
    <row r="7">
      <c r="A7" s="60" t="inlineStr">
        <is>
          <t>Shorts 平均再生</t>
        </is>
      </c>
      <c r="B7" s="61" t="inlineStr">
        <is>
          <t>1,572</t>
        </is>
      </c>
    </row>
    <row r="8">
      <c r="A8" s="60" t="inlineStr">
        <is>
          <t>直近90日 Long TOP</t>
        </is>
      </c>
      <c r="B8" s="61" t="inlineStr">
        <is>
          <t>625再生（82.8再生／日）</t>
        </is>
      </c>
    </row>
    <row r="10">
      <c r="A10" s="59" t="inlineStr">
        <is>
          <t>■ キラー定義</t>
        </is>
      </c>
    </row>
    <row r="11">
      <c r="A11" s="62" t="inlineStr">
        <is>
          <t>Long：3,000再生超え（平均の約9倍）／Shorts：10,000再生超え（平均の約6倍）</t>
        </is>
      </c>
    </row>
    <row r="13">
      <c r="A13" s="59" t="inlineStr">
        <is>
          <t>■ アウトライアー一覧</t>
        </is>
      </c>
    </row>
    <row r="14">
      <c r="A14" s="63" t="inlineStr">
        <is>
          <t>トピック</t>
        </is>
      </c>
      <c r="B14" s="63" t="inlineStr">
        <is>
          <t>動画</t>
        </is>
      </c>
      <c r="C14" s="63" t="inlineStr">
        <is>
          <t>倍率（原文表記）</t>
        </is>
      </c>
      <c r="D14" s="63" t="inlineStr">
        <is>
          <t>累計再生</t>
        </is>
      </c>
      <c r="E14" s="63" t="inlineStr">
        <is>
          <t>登録者</t>
        </is>
      </c>
      <c r="F14" s="63" t="inlineStr">
        <is>
          <t>公開</t>
        </is>
      </c>
      <c r="G14" s="63" t="inlineStr">
        <is>
          <t>採用区分</t>
        </is>
      </c>
    </row>
    <row r="15">
      <c r="A15" s="60" t="inlineStr">
        <is>
          <t>Speaking</t>
        </is>
      </c>
      <c r="B15" s="62" t="inlineStr">
        <is>
          <t>IELTS Speaking Band 7.5 ｜ ORIENT ACADEMY</t>
        </is>
      </c>
      <c r="C15" s="61" t="inlineStr">
        <is>
          <t>58x ／ 58.09倍</t>
        </is>
      </c>
      <c r="D15" s="61" t="n">
        <v>76246</v>
      </c>
      <c r="E15" s="61" t="n">
        <v>1610</v>
      </c>
      <c r="F15" s="61" t="inlineStr">
        <is>
          <t>95日前</t>
        </is>
      </c>
      <c r="G15" s="61" t="inlineStr">
        <is>
          <t>本命（小規模で58倍）</t>
        </is>
      </c>
    </row>
    <row r="16">
      <c r="A16" s="60" t="inlineStr">
        <is>
          <t>Speaking</t>
        </is>
      </c>
      <c r="B16" s="62" t="inlineStr">
        <is>
          <t>IELTS Paraphrasing Masterclass ｜ 5 Powerful Strategies for Band 7+ Writing &amp; Speaking</t>
        </is>
      </c>
      <c r="C16" s="61" t="inlineStr">
        <is>
          <t>&gt;100x ／ 806.27倍</t>
        </is>
      </c>
      <c r="D16" s="61" t="n">
        <v>117729</v>
      </c>
      <c r="E16" s="61" t="n">
        <v>8670</v>
      </c>
      <c r="F16" s="61" t="inlineStr">
        <is>
          <t>62日前</t>
        </is>
      </c>
      <c r="G16" s="61" t="inlineStr">
        <is>
          <t>★最優先（Speaking/Writing共通）</t>
        </is>
      </c>
    </row>
    <row r="17">
      <c r="A17" s="60" t="inlineStr">
        <is>
          <t>Speaking</t>
        </is>
      </c>
      <c r="B17" s="62" t="inlineStr">
        <is>
          <t>IELTS SPEAKING TEST IN NEPAL ｜ BAND 7.5 ｜ BBC GLOBAL EDUCATION</t>
        </is>
      </c>
      <c r="C17" s="61" t="inlineStr">
        <is>
          <t>6.9x ／ 6.92倍</t>
        </is>
      </c>
      <c r="D17" s="61" t="n">
        <v>11926</v>
      </c>
      <c r="E17" s="61" t="n">
        <v>40400</v>
      </c>
      <c r="F17" s="61" t="inlineStr">
        <is>
          <t>21日前</t>
        </is>
      </c>
      <c r="G17" s="61" t="inlineStr">
        <is>
          <t>本命</t>
        </is>
      </c>
    </row>
    <row r="18">
      <c r="A18" s="60" t="inlineStr">
        <is>
          <t>Speaking</t>
        </is>
      </c>
      <c r="B18" s="62" t="inlineStr">
        <is>
          <t>IELTS Speaking Test - Band 6.5 ｜ IELTS Advantage</t>
        </is>
      </c>
      <c r="C18" s="61" t="inlineStr">
        <is>
          <t>5.6x</t>
        </is>
      </c>
      <c r="D18" s="61" t="n">
        <v>311462</v>
      </c>
      <c r="E18" s="61" t="n">
        <v>5060000</v>
      </c>
      <c r="F18" s="61" t="inlineStr">
        <is>
          <t>—</t>
        </is>
      </c>
      <c r="G18" s="61" t="inlineStr">
        <is>
          <t>除外（大物・親近感バイアス／実績カウントのみ）</t>
        </is>
      </c>
    </row>
    <row r="19">
      <c r="A19" s="60" t="inlineStr">
        <is>
          <t>Speaking</t>
        </is>
      </c>
      <c r="B19" s="62" t="inlineStr">
        <is>
          <t>IELTS SPEAKING TEST IN NEPAL ｜ BAND 6.0 ｜ BBC GLOBAL EDUCATION</t>
        </is>
      </c>
      <c r="C19" s="61" t="inlineStr">
        <is>
          <t>11x ／ 11.33倍</t>
        </is>
      </c>
      <c r="D19" s="61" t="inlineStr">
        <is>
          <t>—</t>
        </is>
      </c>
      <c r="E19" s="61" t="inlineStr">
        <is>
          <t>—</t>
        </is>
      </c>
      <c r="F19" s="61" t="inlineStr">
        <is>
          <t>9日前</t>
        </is>
      </c>
      <c r="G19" s="61" t="inlineStr">
        <is>
          <t>保留（公開2週間未満）</t>
        </is>
      </c>
    </row>
    <row r="20">
      <c r="A20" s="60" t="inlineStr">
        <is>
          <t>Writing</t>
        </is>
      </c>
      <c r="B20" s="62" t="inlineStr">
        <is>
          <t>IELTS Paraphrasing Masterclass ｜ 5 Powerful Strategies for Band 7+ Writing &amp; Speaking</t>
        </is>
      </c>
      <c r="C20" s="61" t="inlineStr">
        <is>
          <t>&gt;100x ／ 806.27倍</t>
        </is>
      </c>
      <c r="D20" s="61" t="n">
        <v>117729</v>
      </c>
      <c r="E20" s="61" t="n">
        <v>8670</v>
      </c>
      <c r="F20" s="61" t="inlineStr">
        <is>
          <t>62日前</t>
        </is>
      </c>
      <c r="G20" s="61" t="inlineStr">
        <is>
          <t>★最優先（上と同一動画）</t>
        </is>
      </c>
    </row>
    <row r="21">
      <c r="A21" s="60" t="inlineStr">
        <is>
          <t>Writing</t>
        </is>
      </c>
      <c r="B21" s="62" t="inlineStr">
        <is>
          <t>How I Cleared IELTS in 30 Days 🔥 4 Band to 8.5 Band ｜ My IELTS Journey (Simran IELTS)</t>
        </is>
      </c>
      <c r="C21" s="61" t="inlineStr">
        <is>
          <t>&gt;100x ／ 112.65倍</t>
        </is>
      </c>
      <c r="D21" s="61" t="n">
        <v>15795</v>
      </c>
      <c r="E21" s="61" t="n">
        <v>3860</v>
      </c>
      <c r="F21" s="61" t="inlineStr">
        <is>
          <t>24日前</t>
        </is>
      </c>
      <c r="G21" s="61" t="inlineStr">
        <is>
          <t>本命（知名度なしでも112倍）</t>
        </is>
      </c>
    </row>
    <row r="22">
      <c r="A22" s="60" t="inlineStr">
        <is>
          <t>Writing</t>
        </is>
      </c>
      <c r="B22" s="62" t="inlineStr">
        <is>
          <t>IELTS Writing Task 1 Academic: One Simple Formula for Maps</t>
        </is>
      </c>
      <c r="C22" s="61" t="inlineStr">
        <is>
          <t>2.3x ／ 2.29倍</t>
        </is>
      </c>
      <c r="D22" s="61" t="n">
        <v>11155</v>
      </c>
      <c r="E22" s="61" t="n">
        <v>153000</v>
      </c>
      <c r="F22" s="61" t="inlineStr">
        <is>
          <t>21日前</t>
        </is>
      </c>
      <c r="G22" s="61" t="inlineStr">
        <is>
          <t>参考</t>
        </is>
      </c>
    </row>
    <row r="23">
      <c r="A23" s="60" t="inlineStr">
        <is>
          <t>Writing</t>
        </is>
      </c>
      <c r="B23" s="62" t="inlineStr">
        <is>
          <t>What Makes Writing Good?（Writing Course Module 1 Part 1）</t>
        </is>
      </c>
      <c r="C23" s="61" t="inlineStr">
        <is>
          <t>8.8x ／ 8.77倍</t>
        </is>
      </c>
      <c r="D23" s="61" t="n">
        <v>28279</v>
      </c>
      <c r="E23" s="61" t="inlineStr">
        <is>
          <t>—</t>
        </is>
      </c>
      <c r="F23" s="61" t="inlineStr">
        <is>
          <t>17日前</t>
        </is>
      </c>
      <c r="G23" s="61" t="inlineStr">
        <is>
          <t>参考（設計図型レッスン）</t>
        </is>
      </c>
    </row>
    <row r="24">
      <c r="A24" s="60" t="inlineStr">
        <is>
          <t>Writing</t>
        </is>
      </c>
      <c r="B24" s="62" t="inlineStr">
        <is>
          <t>Writing Flow: What Is Cohesion and Coherence?（Writing Course Module 01 Part 2）</t>
        </is>
      </c>
      <c r="C24" s="61" t="inlineStr">
        <is>
          <t>9.6x ／ 9.56倍</t>
        </is>
      </c>
      <c r="D24" s="61" t="n">
        <v>30860</v>
      </c>
      <c r="E24" s="61" t="inlineStr">
        <is>
          <t>—</t>
        </is>
      </c>
      <c r="F24" s="61" t="inlineStr">
        <is>
          <t>15日前</t>
        </is>
      </c>
      <c r="G24" s="61" t="inlineStr">
        <is>
          <t>参考（設計図型レッスン）</t>
        </is>
      </c>
    </row>
    <row r="25">
      <c r="A25" s="60" t="inlineStr">
        <is>
          <t>Writing</t>
        </is>
      </c>
      <c r="B25" s="62" t="inlineStr">
        <is>
          <t>Prepare for IELTS Writing in 1 Hour: Step-by-Step Course</t>
        </is>
      </c>
      <c r="C25" s="61" t="inlineStr">
        <is>
          <t>2.1x</t>
        </is>
      </c>
      <c r="D25" s="61" t="n">
        <v>210259</v>
      </c>
      <c r="E25" s="61" t="n">
        <v>5060000</v>
      </c>
      <c r="F25" s="61" t="inlineStr">
        <is>
          <t>—</t>
        </is>
      </c>
      <c r="G25" s="61" t="inlineStr">
        <is>
          <t>除外（大物・実績カウントのみ）</t>
        </is>
      </c>
    </row>
    <row r="27">
      <c r="A27" s="62" t="inlineStr">
        <is>
          <t>※ 倍率はゆうこさんのリサーチ表記をそのまま転記（索引の表示倍率と実測倍率の2種）。大物チャンネルは親近感バイアスで数字が盛られるため証拠から除外し、実績カウントのみ。</t>
        </is>
      </c>
    </row>
    <row r="29">
      <c r="A29" s="59" t="inlineStr">
        <is>
          <t>■ トピック判定表</t>
        </is>
      </c>
    </row>
    <row r="30">
      <c r="A30" s="63" t="inlineStr">
        <is>
          <t>検証トピック</t>
        </is>
      </c>
      <c r="B30" s="63" t="inlineStr">
        <is>
          <t>関連アウトライアー</t>
        </is>
      </c>
      <c r="C30" s="63" t="inlineStr">
        <is>
          <t>目標超え</t>
        </is>
      </c>
      <c r="D30" s="63" t="inlineStr">
        <is>
          <t>判定</t>
        </is>
      </c>
    </row>
    <row r="31">
      <c r="A31" s="60" t="inlineStr">
        <is>
          <t>A. ielts speaking 対策</t>
        </is>
      </c>
      <c r="B31" s="61" t="inlineStr">
        <is>
          <t>あり（小規模で58倍・806倍）</t>
        </is>
      </c>
      <c r="C31" s="61" t="inlineStr">
        <is>
          <t>10件中 全件</t>
        </is>
      </c>
      <c r="D31" s="62" t="inlineStr">
        <is>
          <t>STEP2へ（90%の確信あり）</t>
        </is>
      </c>
    </row>
    <row r="32">
      <c r="A32" s="60" t="inlineStr">
        <is>
          <t>B. ielts writing 対策</t>
        </is>
      </c>
      <c r="B32" s="61" t="inlineStr">
        <is>
          <t>あり（小規模で112倍・806倍）</t>
        </is>
      </c>
      <c r="C32" s="61" t="inlineStr">
        <is>
          <t>10件中 全件</t>
        </is>
      </c>
      <c r="D32" s="62" t="inlineStr">
        <is>
          <t>STEP2へ（90%の確信あり）</t>
        </is>
      </c>
    </row>
    <row r="33">
      <c r="A33" s="60" t="inlineStr">
        <is>
          <t>C. ielts 勉強法（日本語）</t>
        </is>
      </c>
      <c r="B33" s="61" t="inlineStr">
        <is>
          <t>皆無（索引に関連結果ゼロ）</t>
        </is>
      </c>
      <c r="C33" s="61" t="inlineStr">
        <is>
          <t>0件</t>
        </is>
      </c>
      <c r="D33" s="64" t="inlineStr">
        <is>
          <t>キラーにしない（別クエリで再検討・実験枠）</t>
        </is>
      </c>
    </row>
    <row r="34">
      <c r="A34" s="60" t="inlineStr">
        <is>
          <t>D. イギリス 大学院 留学 準備</t>
        </is>
      </c>
      <c r="B34" s="61" t="inlineStr">
        <is>
          <t>ほぼなし（最大6,933再生）</t>
        </is>
      </c>
      <c r="C34" s="61" t="inlineStr">
        <is>
          <t>少ない</t>
        </is>
      </c>
      <c r="D34" s="64" t="inlineStr">
        <is>
          <t>キラーにしない（相談・コーチングへの転換枠）</t>
        </is>
      </c>
    </row>
    <row r="36">
      <c r="A36" s="59" t="inlineStr">
        <is>
          <t>■ 形式の共通点（当たっている構成）</t>
        </is>
      </c>
    </row>
    <row r="37">
      <c r="A37" s="62" t="inlineStr">
        <is>
          <t>Speaking：Part1〜3を通しで見せ、最後に改善点を解説する『模試通し＋フィードバック解説型』が繰り返し当たっている。</t>
        </is>
      </c>
    </row>
    <row r="38">
      <c r="A38" s="62" t="inlineStr">
        <is>
          <t>Writing：文章のつながり・設計図を示す『構成解説型レッスン』の需要が強い。</t>
        </is>
      </c>
    </row>
    <row r="40">
      <c r="A40" s="65" t="inlineStr">
        <is>
          <t>■ 優先する2本（STEP2へ）</t>
        </is>
      </c>
    </row>
    <row r="41">
      <c r="A41" s="62" t="inlineStr">
        <is>
          <t>① IELTS Paraphrasing Masterclass 型（言い換え・構成解説）　② IELTS Speaking Band 7.5 / ORIENT ACADEMY 型（模試＋フィードバック）</t>
        </is>
      </c>
    </row>
    <row r="42">
      <c r="A42" s="62" t="inlineStr">
        <is>
          <t>どちらも登録1万人未満で5万〜11万再生、倍率50倍超え＝4-B条件（再生倍率3倍以上／登録者50万人未満）を大幅に超えている。</t>
        </is>
      </c>
    </row>
    <row r="44">
      <c r="A44" s="59" t="inlineStr">
        <is>
          <t>■ STEP2で分解する項目</t>
        </is>
      </c>
    </row>
    <row r="45">
      <c r="A45" s="63" t="inlineStr">
        <is>
          <t>上記2本の</t>
        </is>
      </c>
      <c r="B45" s="63" t="inlineStr">
        <is>
          <t>分解ポイント</t>
        </is>
      </c>
    </row>
    <row r="46">
      <c r="A46" s="60" t="inlineStr">
        <is>
          <t>タイトル構造</t>
        </is>
      </c>
      <c r="B46" s="62" t="inlineStr">
        <is>
          <t>どういう語順・語彙でクリックを作っているか</t>
        </is>
      </c>
    </row>
    <row r="47">
      <c r="A47" s="60" t="inlineStr">
        <is>
          <t>冒頭30秒</t>
        </is>
      </c>
      <c r="B47" s="62" t="inlineStr">
        <is>
          <t>視聴者を離さない導入の作り</t>
        </is>
      </c>
    </row>
    <row r="48">
      <c r="A48" s="60" t="inlineStr">
        <is>
          <t>サムネ要素</t>
        </is>
      </c>
      <c r="B48" s="62" t="inlineStr">
        <is>
          <t>視覚的に何で止めているか（文字数・顔・ビフォーアフター等）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2026-09-25T02:47:52Z</dcterms:created>
  <dcterms:modified xsi:type="dcterms:W3CDTF">2026-09-25T02:57:06Z</dcterms:modified>
</cp:coreProperties>
</file>