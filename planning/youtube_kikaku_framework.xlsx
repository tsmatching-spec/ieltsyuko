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画の作り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i val="1"/>
      <color rgb="00000000"/>
      <sz val="10"/>
    </font>
    <font>
      <name val="Arial"/>
      <i val="1"/>
      <color rgb="000000FF"/>
      <sz val="10"/>
    </font>
  </fonts>
  <fills count="1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8CBAD"/>
      </patternFill>
    </fill>
    <fill>
      <patternFill patternType="solid">
        <fgColor rgb="00ED7D31"/>
      </patternFill>
    </fill>
    <fill>
      <patternFill patternType="solid">
        <fgColor rgb="00F2F2F2"/>
      </patternFill>
    </fill>
    <fill>
      <patternFill patternType="solid">
        <fgColor rgb="00BF8F00"/>
      </patternFill>
    </fill>
    <fill>
      <patternFill patternType="solid">
        <fgColor rgb="00FFE699"/>
      </patternFill>
    </fill>
    <fill>
      <patternFill patternType="solid">
        <fgColor rgb="00548235"/>
      </patternFill>
    </fill>
    <fill>
      <patternFill patternType="solid">
        <fgColor rgb="00C5E0B3"/>
      </patternFill>
    </fill>
    <fill>
      <patternFill patternType="solid">
        <fgColor rgb="002F5597"/>
      </patternFill>
    </fill>
    <fill>
      <patternFill patternType="solid">
        <fgColor rgb="00B4C6E7"/>
      </patternFill>
    </fill>
    <fill>
      <patternFill patternType="solid">
        <fgColor rgb="00404040"/>
      </patternFill>
    </fill>
    <fill>
      <patternFill patternType="solid">
        <fgColor rgb="00595959"/>
      </patternFill>
    </fill>
    <fill>
      <patternFill patternType="solid">
        <fgColor rgb="00FFFFE0"/>
      </patternFill>
    </fill>
    <fill>
      <patternFill patternType="solid">
        <fgColor rgb="00FFFFFF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3" fillId="11" borderId="0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3" fillId="13" borderId="0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7" fillId="15" borderId="1" applyAlignment="1" pivotButton="0" quotePrefix="0" xfId="0">
      <alignment vertical="top" wrapText="1"/>
    </xf>
    <xf numFmtId="0" fontId="7" fillId="15" borderId="1" applyAlignment="1" pivotButton="0" quotePrefix="0" xfId="0">
      <alignment horizontal="center" vertical="top"/>
    </xf>
    <xf numFmtId="0" fontId="6" fillId="16" borderId="1" applyAlignment="1" pivotButton="0" quotePrefix="0" xfId="0">
      <alignment horizontal="center" vertical="top" wrapText="1"/>
    </xf>
    <xf numFmtId="0" fontId="6" fillId="16" borderId="1" applyAlignment="1" pivotButton="0" quotePrefix="0" xfId="0">
      <alignment horizontal="center" vertical="top"/>
    </xf>
    <xf numFmtId="0" fontId="2" fillId="15" borderId="1" applyAlignment="1" pivotButton="0" quotePrefix="0" xfId="0">
      <alignment vertical="top" wrapText="1"/>
    </xf>
    <xf numFmtId="0" fontId="2" fillId="15" borderId="1" applyAlignment="1" pivotButton="0" quotePrefix="0" xfId="0">
      <alignment horizontal="center" vertical="top"/>
    </xf>
    <xf numFmtId="0" fontId="2" fillId="16" borderId="1" applyAlignment="1" pivotButton="0" quotePrefix="0" xfId="0">
      <alignment horizontal="center" vertical="top" wrapText="1"/>
    </xf>
    <xf numFmtId="0" fontId="2" fillId="16" borderId="1" applyAlignment="1" pivotButton="0" quotePrefix="0" xfId="0">
      <alignment horizontal="center" vertical="top"/>
    </xf>
    <xf numFmtId="0" fontId="3" fillId="1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34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9" customWidth="1" min="11" max="11"/>
    <col width="9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 ht="28" customHeight="1">
      <c r="A1" s="1" t="inlineStr">
        <is>
          <t>最強のYouTube企画の作り方 ── 4ステップ方程式</t>
        </is>
      </c>
    </row>
    <row r="2" ht="48" customHeight="1">
      <c r="A2" s="2" t="inlineStr">
        <is>
          <t>核心：動画が伸びるかを決める最大の要因は、タイトルでもサムネでもクオリティでもなく「企画の根底にあるアイデア」。
方程式：  ① トピック（何を） × ② フォーマット（どのように） ＝ ベースアイデア  ＋ ③ アングル（切り口）  →  ④ 6つの基準で選別  →  企画候補リスト → 優先順位を付けて制作</t>
        </is>
      </c>
    </row>
    <row r="4" ht="22" customHeight="1">
      <c r="A4" s="3" t="inlineStr">
        <is>
          <t>STEP 1　キラー・トピック（この動画は何についてのものか？）</t>
        </is>
      </c>
    </row>
    <row r="5">
      <c r="A5" s="4" t="inlineStr">
        <is>
          <t>手順</t>
        </is>
      </c>
      <c r="B5" s="4" t="inlineStr">
        <is>
          <t>やること</t>
        </is>
      </c>
      <c r="E5" s="4" t="inlineStr">
        <is>
          <t>ポイント・基準</t>
        </is>
      </c>
    </row>
    <row r="6" ht="45" customHeight="1">
      <c r="A6" s="5" t="inlineStr">
        <is>
          <t>1. 目標を決める</t>
        </is>
      </c>
      <c r="B6" s="6" t="inlineStr">
        <is>
          <t>目標再生回数を決める（例：「100万回再生されるか？されないなら作る意味は？」）</t>
        </is>
      </c>
      <c r="C6" s="7" t="n"/>
      <c r="D6" s="7" t="n"/>
      <c r="E6" s="6" t="inlineStr">
        <is>
          <t>トピック選びを間違えると、台本を書く前から失敗が決まる</t>
        </is>
      </c>
      <c r="F6" s="7" t="n"/>
      <c r="G6" s="7" t="n"/>
      <c r="H6" s="7" t="n"/>
      <c r="I6" s="7" t="n"/>
      <c r="J6" s="7" t="n"/>
    </row>
    <row r="7" ht="45" customHeight="1">
      <c r="A7" s="5" t="inlineStr">
        <is>
          <t>2. 実績を検索</t>
        </is>
      </c>
      <c r="B7" s="6" t="inlineStr">
        <is>
          <t>そのトピックで最も人気の動画を検索し、目標以上の再生数の動画が何本あるか確認</t>
        </is>
      </c>
      <c r="C7" s="7" t="n"/>
      <c r="D7" s="7" t="n"/>
      <c r="E7" s="6" t="inlineStr">
        <is>
          <t>過去の成功例ゼロ＝絶対ダメではない。実験枠は一定数キープしてOK</t>
        </is>
      </c>
      <c r="F7" s="7" t="n"/>
      <c r="G7" s="7" t="n"/>
      <c r="H7" s="7" t="n"/>
      <c r="I7" s="7" t="n"/>
      <c r="J7" s="7" t="n"/>
    </row>
    <row r="8" ht="45" customHeight="1">
      <c r="A8" s="5" t="inlineStr">
        <is>
          <t>3. アウトライアーを探す</t>
        </is>
      </c>
      <c r="B8" s="6" t="inlineStr">
        <is>
          <t>チャンネル平均を大きく上回った動画（例：普段1万回→1本だけ10万回）を探す</t>
        </is>
      </c>
      <c r="C8" s="7" t="n"/>
      <c r="D8" s="7" t="n"/>
      <c r="E8" s="6" t="inlineStr">
        <is>
          <t>大物は「親近感バイアス」で数字が盛られる。小規模チャンネルの当たり動画こそ「知名度なしでも伸びる」証拠</t>
        </is>
      </c>
      <c r="F8" s="7" t="n"/>
      <c r="G8" s="7" t="n"/>
      <c r="H8" s="7" t="n"/>
      <c r="I8" s="7" t="n"/>
      <c r="J8" s="7" t="n"/>
    </row>
    <row r="9" ht="45" customHeight="1">
      <c r="A9" s="5" t="inlineStr">
        <is>
          <t>4-A. 手動で探す</t>
        </is>
      </c>
      <c r="B9" s="6" t="inlineStr">
        <is>
          <t>検索→チャンネルページで前後の動画と再生数を比較、を繰り返す</t>
        </is>
      </c>
      <c r="C9" s="7" t="n"/>
      <c r="D9" s="7" t="n"/>
      <c r="E9" s="6" t="inlineStr">
        <is>
          <t>・無料Chrome拡張「1of10」で倍率を表示
・公開2週間未満の動画は除外
・認証マークなし（登録者10万人未満）を優先</t>
        </is>
      </c>
      <c r="F9" s="7" t="n"/>
      <c r="G9" s="7" t="n"/>
      <c r="H9" s="7" t="n"/>
      <c r="I9" s="7" t="n"/>
      <c r="J9" s="7" t="n"/>
    </row>
    <row r="10" ht="45" customHeight="1">
      <c r="A10" s="5" t="inlineStr">
        <is>
          <t>4-B. ツールで探す</t>
        </is>
      </c>
      <c r="B10" s="6" t="inlineStr">
        <is>
          <t>1of10でフィルター検索</t>
        </is>
      </c>
      <c r="C10" s="7" t="n"/>
      <c r="D10" s="7" t="n"/>
      <c r="E10" s="6" t="inlineStr">
        <is>
          <t>フィルター例：再生倍率3倍以上／再生10万回以上／登録者50万人未満</t>
        </is>
      </c>
      <c r="F10" s="7" t="n"/>
      <c r="G10" s="7" t="n"/>
      <c r="H10" s="7" t="n"/>
      <c r="I10" s="7" t="n"/>
      <c r="J10" s="7" t="n"/>
    </row>
    <row r="11" ht="45" customHeight="1">
      <c r="A11" s="5" t="inlineStr">
        <is>
          <t>5. 判定</t>
        </is>
      </c>
      <c r="B11" s="6" t="inlineStr">
        <is>
          <t>関連アウトライアーが見つかり、目標超えの動画も十分ある → STEP2へ</t>
        </is>
      </c>
      <c r="C11" s="7" t="n"/>
      <c r="D11" s="7" t="n"/>
      <c r="E11" s="6" t="inlineStr">
        <is>
          <t>アウトライアーが皆無 or 目標超えが少ない → 別トピックを検討。「90%伸びる確信」が持てたら次へ</t>
        </is>
      </c>
      <c r="F11" s="7" t="n"/>
      <c r="G11" s="7" t="n"/>
      <c r="H11" s="7" t="n"/>
      <c r="I11" s="7" t="n"/>
      <c r="J11" s="7" t="n"/>
    </row>
    <row r="13" ht="22" customHeight="1">
      <c r="A13" s="8" t="inlineStr">
        <is>
          <t>STEP 2　キラー・フォーマット（どのように見せるか？）　トピック × フォーマット ＝ ベースアイデア</t>
        </is>
      </c>
    </row>
    <row r="14">
      <c r="A14" s="4" t="inlineStr">
        <is>
          <t>フォーマット</t>
        </is>
      </c>
      <c r="B14" s="4" t="inlineStr">
        <is>
          <t>視聴者がクリックする理由</t>
        </is>
      </c>
      <c r="F14" s="4" t="inlineStr">
        <is>
          <t>例（トピック：ハンバーガー）</t>
        </is>
      </c>
    </row>
    <row r="15" ht="30" customHeight="1">
      <c r="A15" s="5" t="inlineStr">
        <is>
          <t>チュートリアル</t>
        </is>
      </c>
      <c r="B15" s="6" t="inlineStr">
        <is>
          <t>望む結果・スキルを自分で身につけたい</t>
        </is>
      </c>
      <c r="C15" s="7" t="n"/>
      <c r="D15" s="7" t="n"/>
      <c r="E15" s="7" t="n"/>
      <c r="F15" s="6" t="inlineStr">
        <is>
          <t>ハンバーガーの作り方</t>
        </is>
      </c>
      <c r="G15" s="7" t="n"/>
      <c r="H15" s="7" t="n"/>
      <c r="I15" s="7" t="n"/>
      <c r="J15" s="7" t="n"/>
    </row>
    <row r="16" ht="30" customHeight="1">
      <c r="A16" s="5" t="inlineStr">
        <is>
          <t>チャレンジ</t>
        </is>
      </c>
      <c r="B16" s="6" t="inlineStr">
        <is>
          <t>見たことのない体験を疑似体験したい。結果・苦闘・サプライズを見届けたい</t>
        </is>
      </c>
      <c r="C16" s="7" t="n"/>
      <c r="D16" s="7" t="n"/>
      <c r="E16" s="7" t="n"/>
      <c r="F16" s="6" t="inlineStr">
        <is>
          <t>○○縛りでバーガーを作ってみた</t>
        </is>
      </c>
      <c r="G16" s="7" t="n"/>
      <c r="H16" s="7" t="n"/>
      <c r="I16" s="7" t="n"/>
      <c r="J16" s="7" t="n"/>
    </row>
    <row r="17" ht="30" customHeight="1">
      <c r="A17" s="5" t="inlineStr">
        <is>
          <t>解説・考察</t>
        </is>
      </c>
      <c r="B17" s="6" t="inlineStr">
        <is>
          <t>答えのわからない疑問＝「好奇心の空白」を埋めたい</t>
        </is>
      </c>
      <c r="C17" s="7" t="n"/>
      <c r="D17" s="7" t="n"/>
      <c r="E17" s="7" t="n"/>
      <c r="F17" s="6" t="inlineStr">
        <is>
          <t>なぜアメリカのバーガーは美味いのか？</t>
        </is>
      </c>
      <c r="G17" s="7" t="n"/>
      <c r="H17" s="7" t="n"/>
      <c r="I17" s="7" t="n"/>
      <c r="J17" s="7" t="n"/>
    </row>
    <row r="18" ht="30" customHeight="1">
      <c r="A18" s="5" t="inlineStr">
        <is>
          <t>コメンタリー</t>
        </is>
      </c>
      <c r="B18" s="6" t="inlineStr">
        <is>
          <t>特定の人の意見・視点が欲しい／ドラマ（論争・ゴシップ）が見たい</t>
        </is>
      </c>
      <c r="C18" s="7" t="n"/>
      <c r="D18" s="7" t="n"/>
      <c r="E18" s="7" t="n"/>
      <c r="F18" s="6" t="inlineStr">
        <is>
          <t>話題のバーガー店を本音レビュー</t>
        </is>
      </c>
      <c r="G18" s="7" t="n"/>
      <c r="H18" s="7" t="n"/>
      <c r="I18" s="7" t="n"/>
      <c r="J18" s="7" t="n"/>
    </row>
    <row r="19" ht="30" customHeight="1">
      <c r="A19" s="5" t="inlineStr">
        <is>
          <t>Vlog</t>
        </is>
      </c>
      <c r="B19" s="6" t="inlineStr">
        <is>
          <t>他人の生活を覗き、個人的につながりたい／別の人生を疑似体験したい</t>
        </is>
      </c>
      <c r="C19" s="7" t="n"/>
      <c r="D19" s="7" t="n"/>
      <c r="E19" s="7" t="n"/>
      <c r="F19" s="6" t="inlineStr">
        <is>
          <t>バーガー屋で働く1日</t>
        </is>
      </c>
      <c r="G19" s="7" t="n"/>
      <c r="H19" s="7" t="n"/>
      <c r="I19" s="7" t="n"/>
      <c r="J19" s="7" t="n"/>
    </row>
    <row r="20" ht="30" customHeight="1">
      <c r="A20" s="5" t="inlineStr">
        <is>
          <t>インタビュー</t>
        </is>
      </c>
      <c r="B20" s="6" t="inlineStr">
        <is>
          <t>他では聞けない深い・限定的な話を聞きたい</t>
        </is>
      </c>
      <c r="C20" s="7" t="n"/>
      <c r="D20" s="7" t="n"/>
      <c r="E20" s="7" t="n"/>
      <c r="F20" s="6" t="inlineStr">
        <is>
          <t>ミシュランシェフに理想のバーガーを聞く</t>
        </is>
      </c>
      <c r="G20" s="7" t="n"/>
      <c r="H20" s="7" t="n"/>
      <c r="I20" s="7" t="n"/>
      <c r="J20" s="7" t="n"/>
    </row>
    <row r="21" ht="30" customHeight="1">
      <c r="A21" s="9" t="inlineStr">
        <is>
          <t>■ フォーマット選びの問い：「なぜ視聴者はこの動画をクリックしたくなるのか？」「どんな価値を届けたいか？」＋自分のスキル＋YouTube上の既存動画の飽和度</t>
        </is>
      </c>
    </row>
    <row r="22" ht="58" customHeight="1">
      <c r="A22" s="9" t="inlineStr">
        <is>
          <t>■ 埋もれないための方法は2つだけ：
　① 圧倒的に優れる（タイトル・サムネ・実行クオリティで上回る。例：MrBeastはゲーム内の電車衝突ネタを“本物”で実行）
　② 圧倒的に違う ← 一般人はこちらが現実的。最有力手段＝「フォーマットの組み合わせ」</t>
        </is>
      </c>
    </row>
    <row r="23" ht="58" customHeight="1">
      <c r="A23" s="9" t="inlineStr">
        <is>
          <t>■ 組み合わせ例：Ryan Trahan ペニーシリーズ（チャレンジ×デイリーVlog → 計3.1億回再生）／Life of Riza（チュートリアル×映画風Vlog）／Hot Ones（インタビュー×激辛チャレンジ）／Mark Rober（チャレンジ×解説×コメンタリー）／Cleo Abram（解説×Vlog×インタビュー）
■ 迷ったら：教育したい → チュートリアル・解説を混ぜる／個人的につながりたい → Vlog・コメンタリーを混ぜる</t>
        </is>
      </c>
    </row>
    <row r="25" ht="22" customHeight="1">
      <c r="A25" s="10" t="inlineStr">
        <is>
          <t>STEP 3　キラー・アングル（切り口＝ベースアイデアを面白くするスパイス）</t>
        </is>
      </c>
    </row>
    <row r="26" ht="30" customHeight="1">
      <c r="A26" s="2" t="inlineStr">
        <is>
          <t>例：ベースアイデア「ハンバーガーを作る×チャレンジ」（退屈）→「世界最大のバーガーを作ってみた」「100年分の歴代バーガーを作ってみた」「素人vsプロ、違いが分かる？」</t>
        </is>
      </c>
    </row>
    <row r="27">
      <c r="A27" s="11" t="inlineStr">
        <is>
          <t>#</t>
        </is>
      </c>
      <c r="B27" s="11" t="inlineStr">
        <is>
          <t>アングル</t>
        </is>
      </c>
      <c r="C27" s="11" t="inlineStr">
        <is>
          <t>効く理由（心理）</t>
        </is>
      </c>
      <c r="F27" s="11" t="inlineStr">
        <is>
          <t>例</t>
        </is>
      </c>
    </row>
    <row r="28" ht="30" customHeight="1">
      <c r="A28" s="5" t="n">
        <v>1</v>
      </c>
      <c r="B28" s="6" t="inlineStr">
        <is>
          <t>最上級</t>
        </is>
      </c>
      <c r="C28" s="6" t="inlineStr">
        <is>
          <t>最大・最安・最高額など。新奇なものに本能的に惹かれる</t>
        </is>
      </c>
      <c r="D28" s="7" t="n"/>
      <c r="E28" s="7" t="n"/>
      <c r="F28" s="6" t="inlineStr">
        <is>
          <t>世界最大のバーガー</t>
        </is>
      </c>
      <c r="G28" s="7" t="n"/>
      <c r="H28" s="7" t="n"/>
      <c r="I28" s="7" t="n"/>
      <c r="J28" s="7" t="n"/>
    </row>
    <row r="29" ht="30" customHeight="1">
      <c r="A29" s="5" t="n">
        <v>2</v>
      </c>
      <c r="B29" s="6" t="inlineStr">
        <is>
          <t>ステークス：お金</t>
        </is>
      </c>
      <c r="C29" s="6" t="inlineStr">
        <is>
          <t>失う/得る可能性がサスペンスを生む。お金は誰にとっても重要</t>
        </is>
      </c>
      <c r="D29" s="7" t="n"/>
      <c r="E29" s="7" t="n"/>
      <c r="F29" s="6" t="inlineStr">
        <is>
          <t>1万円 vs 10万円のバーガー</t>
        </is>
      </c>
      <c r="G29" s="7" t="n"/>
      <c r="H29" s="7" t="n"/>
      <c r="I29" s="7" t="n"/>
      <c r="J29" s="7" t="n"/>
    </row>
    <row r="30" ht="30" customHeight="1">
      <c r="A30" s="5" t="n">
        <v>3</v>
      </c>
      <c r="B30" s="6" t="inlineStr">
        <is>
          <t>ステークス：時間制限</t>
        </is>
      </c>
      <c r="C30" s="6" t="inlineStr">
        <is>
          <t>厳しい制限時間で緊張感が生まれる</t>
        </is>
      </c>
      <c r="D30" s="7" t="n"/>
      <c r="E30" s="7" t="n"/>
      <c r="F30" s="6" t="inlineStr">
        <is>
          <t>10分でバーガーを作れるか？</t>
        </is>
      </c>
      <c r="G30" s="7" t="n"/>
      <c r="H30" s="7" t="n"/>
      <c r="I30" s="7" t="n"/>
      <c r="J30" s="7" t="n"/>
    </row>
    <row r="31" ht="30" customHeight="1">
      <c r="A31" s="5" t="n">
        <v>4</v>
      </c>
      <c r="B31" s="6" t="inlineStr">
        <is>
          <t>長期コミット（時間）</t>
        </is>
      </c>
      <c r="C31" s="6" t="inlineStr">
        <is>
          <t>投入努力バイアス：努力が多いほど価値が高く見える</t>
        </is>
      </c>
      <c r="D31" s="7" t="n"/>
      <c r="E31" s="7" t="n"/>
      <c r="F31" s="6" t="inlineStr">
        <is>
          <t>100日かけて究極のバーガーを作る</t>
        </is>
      </c>
      <c r="G31" s="7" t="n"/>
      <c r="H31" s="7" t="n"/>
      <c r="I31" s="7" t="n"/>
      <c r="J31" s="7" t="n"/>
    </row>
    <row r="32" ht="30" customHeight="1">
      <c r="A32" s="5" t="n">
        <v>5</v>
      </c>
      <c r="B32" s="6" t="inlineStr">
        <is>
          <t>網羅的（コンプリート）</t>
        </is>
      </c>
      <c r="C32" s="6" t="inlineStr">
        <is>
          <t>全バリエーション・必要情報すべてを約束し好奇心を刺激</t>
        </is>
      </c>
      <c r="D32" s="7" t="n"/>
      <c r="E32" s="7" t="n"/>
      <c r="F32" s="6" t="inlineStr">
        <is>
          <t>全チェーン店のバーガーを食べ比べ</t>
        </is>
      </c>
      <c r="G32" s="7" t="n"/>
      <c r="H32" s="7" t="n"/>
      <c r="I32" s="7" t="n"/>
      <c r="J32" s="7" t="n"/>
    </row>
    <row r="33" ht="30" customHeight="1">
      <c r="A33" s="5" t="n">
        <v>6</v>
      </c>
      <c r="B33" s="6" t="inlineStr">
        <is>
          <t>明確なリスト（数字）</t>
        </is>
      </c>
      <c r="C33" s="6" t="inlineStr">
        <is>
          <t>整理された馴染みの構造で、価値を効率よく約束</t>
        </is>
      </c>
      <c r="D33" s="7" t="n"/>
      <c r="E33" s="7" t="n"/>
      <c r="F33" s="6" t="inlineStr">
        <is>
          <t>失敗しないバーガーのコツ7選</t>
        </is>
      </c>
      <c r="G33" s="7" t="n"/>
      <c r="H33" s="7" t="n"/>
      <c r="I33" s="7" t="n"/>
      <c r="J33" s="7" t="n"/>
    </row>
    <row r="34" ht="30" customHeight="1">
      <c r="A34" s="5" t="n">
        <v>7</v>
      </c>
      <c r="B34" s="6" t="inlineStr">
        <is>
          <t>親近感</t>
        </is>
      </c>
      <c r="C34" s="6" t="inlineStr">
        <is>
          <t>著名人・人気ブランド・トレンド・人気作品に脳が惹かれる</t>
        </is>
      </c>
      <c r="D34" s="7" t="n"/>
      <c r="E34" s="7" t="n"/>
      <c r="F34" s="6" t="inlineStr">
        <is>
          <t>マクドナルドの再現バーガー</t>
        </is>
      </c>
      <c r="G34" s="7" t="n"/>
      <c r="H34" s="7" t="n"/>
      <c r="I34" s="7" t="n"/>
      <c r="J34" s="7" t="n"/>
    </row>
    <row r="35" ht="30" customHeight="1">
      <c r="A35" s="5" t="n">
        <v>8</v>
      </c>
      <c r="B35" s="6" t="inlineStr">
        <is>
          <t>トピック＋ひねり</t>
        </is>
      </c>
      <c r="C35" s="6" t="inlineStr">
        <is>
          <t>馴染み×意外性のコントラストで新鮮さが生まれる</t>
        </is>
      </c>
      <c r="D35" s="7" t="n"/>
      <c r="E35" s="7" t="n"/>
      <c r="F35" s="6" t="inlineStr">
        <is>
          <t>給食の材料だけでバーガー</t>
        </is>
      </c>
      <c r="G35" s="7" t="n"/>
      <c r="H35" s="7" t="n"/>
      <c r="I35" s="7" t="n"/>
      <c r="J35" s="7" t="n"/>
    </row>
    <row r="36" ht="30" customHeight="1">
      <c r="A36" s="5" t="n">
        <v>9</v>
      </c>
      <c r="B36" s="6" t="inlineStr">
        <is>
          <t>比較</t>
        </is>
      </c>
      <c r="C36" s="6" t="inlineStr">
        <is>
          <t>並べることでコントラストが生まれる。検討中のもの・未体験のものが強い</t>
        </is>
      </c>
      <c r="D36" s="7" t="n"/>
      <c r="E36" s="7" t="n"/>
      <c r="F36" s="6" t="inlineStr">
        <is>
          <t>素人 vs プロのバーガー</t>
        </is>
      </c>
      <c r="G36" s="7" t="n"/>
      <c r="H36" s="7" t="n"/>
      <c r="I36" s="7" t="n"/>
      <c r="J36" s="7" t="n"/>
    </row>
    <row r="37" ht="30" customHeight="1">
      <c r="A37" s="5" t="n">
        <v>10</v>
      </c>
      <c r="B37" s="6" t="inlineStr">
        <is>
          <t>変身・変化</t>
        </is>
      </c>
      <c r="C37" s="6" t="inlineStr">
        <is>
          <t>ビフォーアフターとA→Bの過程を見たい欲求</t>
        </is>
      </c>
      <c r="D37" s="7" t="n"/>
      <c r="E37" s="7" t="n"/>
      <c r="F37" s="6" t="inlineStr">
        <is>
          <t>0円から最高級バーガーへ</t>
        </is>
      </c>
      <c r="G37" s="7" t="n"/>
      <c r="H37" s="7" t="n"/>
      <c r="I37" s="7" t="n"/>
      <c r="J37" s="7" t="n"/>
    </row>
    <row r="38" ht="45" customHeight="1">
      <c r="A38" s="9" t="inlineStr">
        <is>
          <t>■ アングルは組み合わせOK（MrBeast：比較×お金／Safiya Nygaard：網羅×親近感／Jordan Welch：時間×変化）。ただし詰め込みすぎ注意。ブランドとストーリーを引き立てる1〜2個に絞る。
■ 新しいアングルは1of10でアウトライアーを眺め、自分のニッチ内外で何が効いているかを見て探す。</t>
        </is>
      </c>
    </row>
    <row r="40" ht="22" customHeight="1">
      <c r="A40" s="12" t="inlineStr">
        <is>
          <t>STEP 4　キラー・基準（6つのチェック）── 1つでも「いいえ」なら修正 or ボツ</t>
        </is>
      </c>
    </row>
    <row r="41">
      <c r="A41" s="13" t="inlineStr">
        <is>
          <t>#</t>
        </is>
      </c>
      <c r="B41" s="13" t="inlineStr">
        <is>
          <t>チェック項目</t>
        </is>
      </c>
      <c r="D41" s="13" t="inlineStr">
        <is>
          <t>問い</t>
        </is>
      </c>
    </row>
    <row r="42" ht="30" customHeight="1">
      <c r="A42" s="5" t="n">
        <v>1</v>
      </c>
      <c r="B42" s="6" t="inlineStr">
        <is>
          <t>実現可能性</t>
        </is>
      </c>
      <c r="C42" s="7" t="n"/>
      <c r="D42" s="6" t="inlineStr">
        <is>
          <t>このアイデアを実際に実行できるか？（予算・時間・スキル）</t>
        </is>
      </c>
      <c r="E42" s="7" t="n"/>
      <c r="F42" s="7" t="n"/>
      <c r="G42" s="7" t="n"/>
      <c r="H42" s="7" t="n"/>
      <c r="I42" s="7" t="n"/>
      <c r="J42" s="7" t="n"/>
    </row>
    <row r="43" ht="30" customHeight="1">
      <c r="A43" s="5" t="n">
        <v>2</v>
      </c>
      <c r="B43" s="6" t="inlineStr">
        <is>
          <t>新規視聴者の関心</t>
        </is>
      </c>
      <c r="C43" s="7" t="n"/>
      <c r="D43" s="6" t="inlineStr">
        <is>
          <t>あなたを全く知らない人でも興味を持つか？（持たないなら伸びる可能性は極めて低い）</t>
        </is>
      </c>
      <c r="E43" s="7" t="n"/>
      <c r="F43" s="7" t="n"/>
      <c r="G43" s="7" t="n"/>
      <c r="H43" s="7" t="n"/>
      <c r="I43" s="7" t="n"/>
      <c r="J43" s="7" t="n"/>
    </row>
    <row r="44" ht="30" customHeight="1">
      <c r="A44" s="5" t="n">
        <v>3</v>
      </c>
      <c r="B44" s="6" t="inlineStr">
        <is>
          <t>既存視聴者の関心</t>
        </is>
      </c>
      <c r="C44" s="7" t="n"/>
      <c r="D44" s="6" t="inlineStr">
        <is>
          <t>既存視聴者の80%以上が興味を持つか？（コアなコミュニティを忘れない）</t>
        </is>
      </c>
      <c r="E44" s="7" t="n"/>
      <c r="F44" s="7" t="n"/>
      <c r="G44" s="7" t="n"/>
      <c r="H44" s="7" t="n"/>
      <c r="I44" s="7" t="n"/>
      <c r="J44" s="7" t="n"/>
    </row>
    <row r="45" ht="30" customHeight="1">
      <c r="A45" s="5" t="n">
        <v>4</v>
      </c>
      <c r="B45" s="6" t="inlineStr">
        <is>
          <t>再生ポテンシャル</t>
        </is>
      </c>
      <c r="C45" s="7" t="n"/>
      <c r="D45" s="6" t="inlineStr">
        <is>
          <t>目標再生数に届く力があると信じられるか？（通常はSTEP1の検証で答えが出る）</t>
        </is>
      </c>
      <c r="E45" s="7" t="n"/>
      <c r="F45" s="7" t="n"/>
      <c r="G45" s="7" t="n"/>
      <c r="H45" s="7" t="n"/>
      <c r="I45" s="7" t="n"/>
      <c r="J45" s="7" t="n"/>
    </row>
    <row r="46" ht="30" customHeight="1">
      <c r="A46" s="5" t="n">
        <v>5</v>
      </c>
      <c r="B46" s="6" t="inlineStr">
        <is>
          <t>ブランドとの親和性</t>
        </is>
      </c>
      <c r="C46" s="7" t="n"/>
      <c r="D46" s="6" t="inlineStr">
        <is>
          <t>チャンネルの使命・ビジョンに合っているか？（バズだけを追わない）</t>
        </is>
      </c>
      <c r="E46" s="7" t="n"/>
      <c r="F46" s="7" t="n"/>
      <c r="G46" s="7" t="n"/>
      <c r="H46" s="7" t="n"/>
      <c r="I46" s="7" t="n"/>
      <c r="J46" s="7" t="n"/>
    </row>
    <row r="47" ht="30" customHeight="1">
      <c r="A47" s="5" t="n">
        <v>6</v>
      </c>
      <c r="B47" s="6" t="inlineStr">
        <is>
          <t>パッケージ化のしやすさ</t>
        </is>
      </c>
      <c r="C47" s="7" t="n"/>
      <c r="D47" s="6" t="inlineStr">
        <is>
          <t>クリックしたくなるタイトルとサムネが思い浮かぶか？（浮かばなければ白紙に戻すことも）</t>
        </is>
      </c>
      <c r="E47" s="7" t="n"/>
      <c r="F47" s="7" t="n"/>
      <c r="G47" s="7" t="n"/>
      <c r="H47" s="7" t="n"/>
      <c r="I47" s="7" t="n"/>
      <c r="J47" s="7" t="n"/>
    </row>
    <row r="49" ht="22" customHeight="1">
      <c r="A49" s="14" t="inlineStr">
        <is>
          <t>STEP 5　候補リストから選ぶ（各1〜10点で評価）</t>
        </is>
      </c>
    </row>
    <row r="50">
      <c r="A50" s="15" t="inlineStr">
        <is>
          <t>評価軸</t>
        </is>
      </c>
      <c r="B50" s="15" t="inlineStr">
        <is>
          <t>内容</t>
        </is>
      </c>
      <c r="F50" s="15" t="inlineStr">
        <is>
          <t>こんな時はこれを優先</t>
        </is>
      </c>
    </row>
    <row r="51" ht="22" customHeight="1">
      <c r="A51" s="5" t="inlineStr">
        <is>
          <t>ワクワク度</t>
        </is>
      </c>
      <c r="B51" s="6" t="inlineStr">
        <is>
          <t>自分がどれだけワクワクしているか</t>
        </is>
      </c>
      <c r="C51" s="7" t="n"/>
      <c r="D51" s="7" t="n"/>
      <c r="E51" s="7" t="n"/>
      <c r="F51" s="6" t="inlineStr">
        <is>
          <t>インスピレーションが欲しい時</t>
        </is>
      </c>
      <c r="G51" s="7" t="n"/>
      <c r="H51" s="7" t="n"/>
      <c r="I51" s="7" t="n"/>
      <c r="J51" s="7" t="n"/>
    </row>
    <row r="52" ht="22" customHeight="1">
      <c r="A52" s="5" t="inlineStr">
        <is>
          <t>労力</t>
        </is>
      </c>
      <c r="B52" s="6" t="inlineStr">
        <is>
          <t>実行にどれだけ労力がかかるか（1＝楽、10＝大変）</t>
        </is>
      </c>
      <c r="C52" s="7" t="n"/>
      <c r="D52" s="7" t="n"/>
      <c r="E52" s="7" t="n"/>
      <c r="F52" s="6" t="inlineStr">
        <is>
          <t>少し息抜きしたい時 → 労力が最も低いもの</t>
        </is>
      </c>
      <c r="G52" s="7" t="n"/>
      <c r="H52" s="7" t="n"/>
      <c r="I52" s="7" t="n"/>
      <c r="J52" s="7" t="n"/>
    </row>
    <row r="53" ht="22" customHeight="1">
      <c r="A53" s="5" t="inlineStr">
        <is>
          <t>確信度</t>
        </is>
      </c>
      <c r="B53" s="6" t="inlineStr">
        <is>
          <t>成果にどれだけ確信があるか（過去の成功例＝証拠が多いほど高い）</t>
        </is>
      </c>
      <c r="C53" s="7" t="n"/>
      <c r="D53" s="7" t="n"/>
      <c r="E53" s="7" t="n"/>
      <c r="F53" s="6" t="inlineStr">
        <is>
          <t>どうしてもヒットが必要な時</t>
        </is>
      </c>
      <c r="G53" s="7" t="n"/>
      <c r="H53" s="7" t="n"/>
      <c r="I53" s="7" t="n"/>
      <c r="J53" s="7" t="n"/>
    </row>
    <row r="55" ht="22" customHeight="1">
      <c r="A55" s="16" t="inlineStr">
        <is>
          <t>企画ワークシート（ここに記入）</t>
        </is>
      </c>
    </row>
    <row r="56" ht="30" customHeight="1">
      <c r="A56" s="2" t="inlineStr">
        <is>
          <t>記入方法：黄色セルに入力。チェック欄は「○」か「×」を選択。判定・合計点は自動計算（合計＝ワクワク＋(11−労力)＋確信度、最大30点）。1行目は記入例です。</t>
        </is>
      </c>
    </row>
    <row r="57">
      <c r="A57" s="17" t="inlineStr">
        <is>
          <t>企画名</t>
        </is>
      </c>
      <c r="B57" s="17" t="inlineStr">
        <is>
          <t>トピック</t>
        </is>
      </c>
      <c r="C57" s="17" t="inlineStr">
        <is>
          <t>フォーマット（組み合わせ）</t>
        </is>
      </c>
      <c r="D57" s="17" t="inlineStr">
        <is>
          <t>アングル（1〜2個）</t>
        </is>
      </c>
      <c r="E57" s="17" t="inlineStr">
        <is>
          <t>想定タイトル／サムネ案</t>
        </is>
      </c>
      <c r="F57" s="17" t="inlineStr">
        <is>
          <t>①実現</t>
        </is>
      </c>
      <c r="G57" s="17" t="inlineStr">
        <is>
          <t>②新規</t>
        </is>
      </c>
      <c r="H57" s="17" t="inlineStr">
        <is>
          <t>③既存</t>
        </is>
      </c>
      <c r="I57" s="17" t="inlineStr">
        <is>
          <t>④再生</t>
        </is>
      </c>
      <c r="J57" s="17" t="inlineStr">
        <is>
          <t>⑤ブランド</t>
        </is>
      </c>
      <c r="K57" s="17" t="inlineStr">
        <is>
          <t>⑥パッケージ</t>
        </is>
      </c>
      <c r="L57" s="17" t="inlineStr">
        <is>
          <t>判定</t>
        </is>
      </c>
      <c r="M57" s="17" t="inlineStr">
        <is>
          <t>ワクワク</t>
        </is>
      </c>
      <c r="N57" s="17" t="inlineStr">
        <is>
          <t>労力</t>
        </is>
      </c>
      <c r="O57" s="17" t="inlineStr">
        <is>
          <t>確信度</t>
        </is>
      </c>
      <c r="P57" s="17" t="inlineStr">
        <is>
          <t>合計点</t>
        </is>
      </c>
    </row>
    <row r="58" ht="32" customHeight="1">
      <c r="A58" s="18" t="inlineStr">
        <is>
          <t>IELTS 0→7.0の全記録</t>
        </is>
      </c>
      <c r="B58" s="18" t="inlineStr">
        <is>
          <t>IELTS対策</t>
        </is>
      </c>
      <c r="C58" s="18" t="inlineStr">
        <is>
          <t>チャレンジ×Vlog</t>
        </is>
      </c>
      <c r="D58" s="18" t="inlineStr">
        <is>
          <t>時間（期限）×変身・変化</t>
        </is>
      </c>
      <c r="E58" s="18" t="inlineStr">
        <is>
          <t>「90日でIELTS 5.5→7.0に挑戦した結果」／ビフォーアフターのスコア表</t>
        </is>
      </c>
      <c r="F58" s="19" t="inlineStr">
        <is>
          <t>○</t>
        </is>
      </c>
      <c r="G58" s="19" t="inlineStr">
        <is>
          <t>○</t>
        </is>
      </c>
      <c r="H58" s="19" t="inlineStr">
        <is>
          <t>○</t>
        </is>
      </c>
      <c r="I58" s="19" t="inlineStr">
        <is>
          <t>○</t>
        </is>
      </c>
      <c r="J58" s="19" t="inlineStr">
        <is>
          <t>○</t>
        </is>
      </c>
      <c r="K58" s="19" t="inlineStr">
        <is>
          <t>○</t>
        </is>
      </c>
      <c r="L58" s="20">
        <f>IF(COUNTA(F58:K58)=0,"",IF(COUNTIF(F58:K58,"○")=6,"候補リスト入り",IF(COUNTA(F58:K58)&lt;6,"未記入あり","修正 or ボツ")))</f>
        <v/>
      </c>
      <c r="M58" s="18" t="n">
        <v>8</v>
      </c>
      <c r="N58" s="18" t="n">
        <v>7</v>
      </c>
      <c r="O58" s="18" t="n">
        <v>6</v>
      </c>
      <c r="P58" s="21">
        <f>IF(COUNT(M58:O58)&lt;3,"",M58+(11-N58)+O58)</f>
        <v/>
      </c>
    </row>
    <row r="59" ht="20" customHeight="1">
      <c r="A59" s="22" t="n"/>
      <c r="B59" s="22" t="n"/>
      <c r="C59" s="22" t="n"/>
      <c r="D59" s="22" t="n"/>
      <c r="E59" s="22" t="n"/>
      <c r="F59" s="23" t="n"/>
      <c r="G59" s="23" t="n"/>
      <c r="H59" s="23" t="n"/>
      <c r="I59" s="23" t="n"/>
      <c r="J59" s="23" t="n"/>
      <c r="K59" s="23" t="n"/>
      <c r="L59" s="24">
        <f>IF(COUNTA(F59:K59)=0,"",IF(COUNTIF(F59:K59,"○")=6,"候補リスト入り",IF(COUNTA(F59:K59)&lt;6,"未記入あり","修正 or ボツ")))</f>
        <v/>
      </c>
      <c r="M59" s="22" t="n"/>
      <c r="N59" s="22" t="n"/>
      <c r="O59" s="22" t="n"/>
      <c r="P59" s="25">
        <f>IF(COUNT(M59:O59)&lt;3,"",M59+(11-N59)+O59)</f>
        <v/>
      </c>
    </row>
    <row r="60" ht="20" customHeight="1">
      <c r="A60" s="22" t="n"/>
      <c r="B60" s="22" t="n"/>
      <c r="C60" s="22" t="n"/>
      <c r="D60" s="22" t="n"/>
      <c r="E60" s="22" t="n"/>
      <c r="F60" s="23" t="n"/>
      <c r="G60" s="23" t="n"/>
      <c r="H60" s="23" t="n"/>
      <c r="I60" s="23" t="n"/>
      <c r="J60" s="23" t="n"/>
      <c r="K60" s="23" t="n"/>
      <c r="L60" s="24">
        <f>IF(COUNTA(F60:K60)=0,"",IF(COUNTIF(F60:K60,"○")=6,"候補リスト入り",IF(COUNTA(F60:K60)&lt;6,"未記入あり","修正 or ボツ")))</f>
        <v/>
      </c>
      <c r="M60" s="22" t="n"/>
      <c r="N60" s="22" t="n"/>
      <c r="O60" s="22" t="n"/>
      <c r="P60" s="25">
        <f>IF(COUNT(M60:O60)&lt;3,"",M60+(11-N60)+O60)</f>
        <v/>
      </c>
    </row>
    <row r="61" ht="20" customHeight="1">
      <c r="A61" s="22" t="n"/>
      <c r="B61" s="22" t="n"/>
      <c r="C61" s="22" t="n"/>
      <c r="D61" s="22" t="n"/>
      <c r="E61" s="22" t="n"/>
      <c r="F61" s="23" t="n"/>
      <c r="G61" s="23" t="n"/>
      <c r="H61" s="23" t="n"/>
      <c r="I61" s="23" t="n"/>
      <c r="J61" s="23" t="n"/>
      <c r="K61" s="23" t="n"/>
      <c r="L61" s="24">
        <f>IF(COUNTA(F61:K61)=0,"",IF(COUNTIF(F61:K61,"○")=6,"候補リスト入り",IF(COUNTA(F61:K61)&lt;6,"未記入あり","修正 or ボツ")))</f>
        <v/>
      </c>
      <c r="M61" s="22" t="n"/>
      <c r="N61" s="22" t="n"/>
      <c r="O61" s="22" t="n"/>
      <c r="P61" s="25">
        <f>IF(COUNT(M61:O61)&lt;3,"",M61+(11-N61)+O61)</f>
        <v/>
      </c>
    </row>
    <row r="62" ht="20" customHeight="1">
      <c r="A62" s="22" t="n"/>
      <c r="B62" s="22" t="n"/>
      <c r="C62" s="22" t="n"/>
      <c r="D62" s="22" t="n"/>
      <c r="E62" s="22" t="n"/>
      <c r="F62" s="23" t="n"/>
      <c r="G62" s="23" t="n"/>
      <c r="H62" s="23" t="n"/>
      <c r="I62" s="23" t="n"/>
      <c r="J62" s="23" t="n"/>
      <c r="K62" s="23" t="n"/>
      <c r="L62" s="24">
        <f>IF(COUNTA(F62:K62)=0,"",IF(COUNTIF(F62:K62,"○")=6,"候補リスト入り",IF(COUNTA(F62:K62)&lt;6,"未記入あり","修正 or ボツ")))</f>
        <v/>
      </c>
      <c r="M62" s="22" t="n"/>
      <c r="N62" s="22" t="n"/>
      <c r="O62" s="22" t="n"/>
      <c r="P62" s="25">
        <f>IF(COUNT(M62:O62)&lt;3,"",M62+(11-N62)+O62)</f>
        <v/>
      </c>
    </row>
    <row r="63" ht="20" customHeight="1">
      <c r="A63" s="22" t="n"/>
      <c r="B63" s="22" t="n"/>
      <c r="C63" s="22" t="n"/>
      <c r="D63" s="22" t="n"/>
      <c r="E63" s="22" t="n"/>
      <c r="F63" s="23" t="n"/>
      <c r="G63" s="23" t="n"/>
      <c r="H63" s="23" t="n"/>
      <c r="I63" s="23" t="n"/>
      <c r="J63" s="23" t="n"/>
      <c r="K63" s="23" t="n"/>
      <c r="L63" s="24">
        <f>IF(COUNTA(F63:K63)=0,"",IF(COUNTIF(F63:K63,"○")=6,"候補リスト入り",IF(COUNTA(F63:K63)&lt;6,"未記入あり","修正 or ボツ")))</f>
        <v/>
      </c>
      <c r="M63" s="22" t="n"/>
      <c r="N63" s="22" t="n"/>
      <c r="O63" s="22" t="n"/>
      <c r="P63" s="25">
        <f>IF(COUNT(M63:O63)&lt;3,"",M63+(11-N63)+O63)</f>
        <v/>
      </c>
    </row>
    <row r="64" ht="20" customHeight="1">
      <c r="A64" s="22" t="n"/>
      <c r="B64" s="22" t="n"/>
      <c r="C64" s="22" t="n"/>
      <c r="D64" s="22" t="n"/>
      <c r="E64" s="22" t="n"/>
      <c r="F64" s="23" t="n"/>
      <c r="G64" s="23" t="n"/>
      <c r="H64" s="23" t="n"/>
      <c r="I64" s="23" t="n"/>
      <c r="J64" s="23" t="n"/>
      <c r="K64" s="23" t="n"/>
      <c r="L64" s="24">
        <f>IF(COUNTA(F64:K64)=0,"",IF(COUNTIF(F64:K64,"○")=6,"候補リスト入り",IF(COUNTA(F64:K64)&lt;6,"未記入あり","修正 or ボツ")))</f>
        <v/>
      </c>
      <c r="M64" s="22" t="n"/>
      <c r="N64" s="22" t="n"/>
      <c r="O64" s="22" t="n"/>
      <c r="P64" s="25">
        <f>IF(COUNT(M64:O64)&lt;3,"",M64+(11-N64)+O64)</f>
        <v/>
      </c>
    </row>
    <row r="65" ht="20" customHeight="1">
      <c r="A65" s="22" t="n"/>
      <c r="B65" s="22" t="n"/>
      <c r="C65" s="22" t="n"/>
      <c r="D65" s="22" t="n"/>
      <c r="E65" s="22" t="n"/>
      <c r="F65" s="23" t="n"/>
      <c r="G65" s="23" t="n"/>
      <c r="H65" s="23" t="n"/>
      <c r="I65" s="23" t="n"/>
      <c r="J65" s="23" t="n"/>
      <c r="K65" s="23" t="n"/>
      <c r="L65" s="24">
        <f>IF(COUNTA(F65:K65)=0,"",IF(COUNTIF(F65:K65,"○")=6,"候補リスト入り",IF(COUNTA(F65:K65)&lt;6,"未記入あり","修正 or ボツ")))</f>
        <v/>
      </c>
      <c r="M65" s="22" t="n"/>
      <c r="N65" s="22" t="n"/>
      <c r="O65" s="22" t="n"/>
      <c r="P65" s="25">
        <f>IF(COUNT(M65:O65)&lt;3,"",M65+(11-N65)+O65)</f>
        <v/>
      </c>
    </row>
    <row r="66" ht="20" customHeight="1">
      <c r="A66" s="22" t="n"/>
      <c r="B66" s="22" t="n"/>
      <c r="C66" s="22" t="n"/>
      <c r="D66" s="22" t="n"/>
      <c r="E66" s="22" t="n"/>
      <c r="F66" s="23" t="n"/>
      <c r="G66" s="23" t="n"/>
      <c r="H66" s="23" t="n"/>
      <c r="I66" s="23" t="n"/>
      <c r="J66" s="23" t="n"/>
      <c r="K66" s="23" t="n"/>
      <c r="L66" s="24">
        <f>IF(COUNTA(F66:K66)=0,"",IF(COUNTIF(F66:K66,"○")=6,"候補リスト入り",IF(COUNTA(F66:K66)&lt;6,"未記入あり","修正 or ボツ")))</f>
        <v/>
      </c>
      <c r="M66" s="22" t="n"/>
      <c r="N66" s="22" t="n"/>
      <c r="O66" s="22" t="n"/>
      <c r="P66" s="25">
        <f>IF(COUNT(M66:O66)&lt;3,"",M66+(11-N66)+O66)</f>
        <v/>
      </c>
    </row>
    <row r="67" ht="20" customHeight="1">
      <c r="A67" s="22" t="n"/>
      <c r="B67" s="22" t="n"/>
      <c r="C67" s="22" t="n"/>
      <c r="D67" s="22" t="n"/>
      <c r="E67" s="22" t="n"/>
      <c r="F67" s="23" t="n"/>
      <c r="G67" s="23" t="n"/>
      <c r="H67" s="23" t="n"/>
      <c r="I67" s="23" t="n"/>
      <c r="J67" s="23" t="n"/>
      <c r="K67" s="23" t="n"/>
      <c r="L67" s="24">
        <f>IF(COUNTA(F67:K67)=0,"",IF(COUNTIF(F67:K67,"○")=6,"候補リスト入り",IF(COUNTA(F67:K67)&lt;6,"未記入あり","修正 or ボツ")))</f>
        <v/>
      </c>
      <c r="M67" s="22" t="n"/>
      <c r="N67" s="22" t="n"/>
      <c r="O67" s="22" t="n"/>
      <c r="P67" s="25">
        <f>IF(COUNT(M67:O67)&lt;3,"",M67+(11-N67)+O67)</f>
        <v/>
      </c>
    </row>
    <row r="68" ht="20" customHeight="1">
      <c r="A68" s="22" t="n"/>
      <c r="B68" s="22" t="n"/>
      <c r="C68" s="22" t="n"/>
      <c r="D68" s="22" t="n"/>
      <c r="E68" s="22" t="n"/>
      <c r="F68" s="23" t="n"/>
      <c r="G68" s="23" t="n"/>
      <c r="H68" s="23" t="n"/>
      <c r="I68" s="23" t="n"/>
      <c r="J68" s="23" t="n"/>
      <c r="K68" s="23" t="n"/>
      <c r="L68" s="24">
        <f>IF(COUNTA(F68:K68)=0,"",IF(COUNTIF(F68:K68,"○")=6,"候補リスト入り",IF(COUNTA(F68:K68)&lt;6,"未記入あり","修正 or ボツ")))</f>
        <v/>
      </c>
      <c r="M68" s="22" t="n"/>
      <c r="N68" s="22" t="n"/>
      <c r="O68" s="22" t="n"/>
      <c r="P68" s="25">
        <f>IF(COUNT(M68:O68)&lt;3,"",M68+(11-N68)+O68)</f>
        <v/>
      </c>
    </row>
    <row r="69" ht="20" customHeight="1">
      <c r="A69" s="22" t="n"/>
      <c r="B69" s="22" t="n"/>
      <c r="C69" s="22" t="n"/>
      <c r="D69" s="22" t="n"/>
      <c r="E69" s="22" t="n"/>
      <c r="F69" s="23" t="n"/>
      <c r="G69" s="23" t="n"/>
      <c r="H69" s="23" t="n"/>
      <c r="I69" s="23" t="n"/>
      <c r="J69" s="23" t="n"/>
      <c r="K69" s="23" t="n"/>
      <c r="L69" s="24">
        <f>IF(COUNTA(F69:K69)=0,"",IF(COUNTIF(F69:K69,"○")=6,"候補リスト入り",IF(COUNTA(F69:K69)&lt;6,"未記入あり","修正 or ボツ")))</f>
        <v/>
      </c>
      <c r="M69" s="22" t="n"/>
      <c r="N69" s="22" t="n"/>
      <c r="O69" s="22" t="n"/>
      <c r="P69" s="25">
        <f>IF(COUNT(M69:O69)&lt;3,"",M69+(11-N69)+O69)</f>
        <v/>
      </c>
    </row>
    <row r="70" ht="20" customHeight="1">
      <c r="A70" s="22" t="n"/>
      <c r="B70" s="22" t="n"/>
      <c r="C70" s="22" t="n"/>
      <c r="D70" s="22" t="n"/>
      <c r="E70" s="22" t="n"/>
      <c r="F70" s="23" t="n"/>
      <c r="G70" s="23" t="n"/>
      <c r="H70" s="23" t="n"/>
      <c r="I70" s="23" t="n"/>
      <c r="J70" s="23" t="n"/>
      <c r="K70" s="23" t="n"/>
      <c r="L70" s="24">
        <f>IF(COUNTA(F70:K70)=0,"",IF(COUNTIF(F70:K70,"○")=6,"候補リスト入り",IF(COUNTA(F70:K70)&lt;6,"未記入あり","修正 or ボツ")))</f>
        <v/>
      </c>
      <c r="M70" s="22" t="n"/>
      <c r="N70" s="22" t="n"/>
      <c r="O70" s="22" t="n"/>
      <c r="P70" s="25">
        <f>IF(COUNT(M70:O70)&lt;3,"",M70+(11-N70)+O70)</f>
        <v/>
      </c>
    </row>
    <row r="71" ht="20" customHeight="1">
      <c r="A71" s="22" t="n"/>
      <c r="B71" s="22" t="n"/>
      <c r="C71" s="22" t="n"/>
      <c r="D71" s="22" t="n"/>
      <c r="E71" s="22" t="n"/>
      <c r="F71" s="23" t="n"/>
      <c r="G71" s="23" t="n"/>
      <c r="H71" s="23" t="n"/>
      <c r="I71" s="23" t="n"/>
      <c r="J71" s="23" t="n"/>
      <c r="K71" s="23" t="n"/>
      <c r="L71" s="24">
        <f>IF(COUNTA(F71:K71)=0,"",IF(COUNTIF(F71:K71,"○")=6,"候補リスト入り",IF(COUNTA(F71:K71)&lt;6,"未記入あり","修正 or ボツ")))</f>
        <v/>
      </c>
      <c r="M71" s="22" t="n"/>
      <c r="N71" s="22" t="n"/>
      <c r="O71" s="22" t="n"/>
      <c r="P71" s="25">
        <f>IF(COUNT(M71:O71)&lt;3,"",M71+(11-N71)+O71)</f>
        <v/>
      </c>
    </row>
    <row r="72" ht="20" customHeight="1">
      <c r="A72" s="22" t="n"/>
      <c r="B72" s="22" t="n"/>
      <c r="C72" s="22" t="n"/>
      <c r="D72" s="22" t="n"/>
      <c r="E72" s="22" t="n"/>
      <c r="F72" s="23" t="n"/>
      <c r="G72" s="23" t="n"/>
      <c r="H72" s="23" t="n"/>
      <c r="I72" s="23" t="n"/>
      <c r="J72" s="23" t="n"/>
      <c r="K72" s="23" t="n"/>
      <c r="L72" s="24">
        <f>IF(COUNTA(F72:K72)=0,"",IF(COUNTIF(F72:K72,"○")=6,"候補リスト入り",IF(COUNTA(F72:K72)&lt;6,"未記入あり","修正 or ボツ")))</f>
        <v/>
      </c>
      <c r="M72" s="22" t="n"/>
      <c r="N72" s="22" t="n"/>
      <c r="O72" s="22" t="n"/>
      <c r="P72" s="25">
        <f>IF(COUNT(M72:O72)&lt;3,"",M72+(11-N72)+O72)</f>
        <v/>
      </c>
    </row>
    <row r="73" ht="20" customHeight="1">
      <c r="A73" s="22" t="n"/>
      <c r="B73" s="22" t="n"/>
      <c r="C73" s="22" t="n"/>
      <c r="D73" s="22" t="n"/>
      <c r="E73" s="22" t="n"/>
      <c r="F73" s="23" t="n"/>
      <c r="G73" s="23" t="n"/>
      <c r="H73" s="23" t="n"/>
      <c r="I73" s="23" t="n"/>
      <c r="J73" s="23" t="n"/>
      <c r="K73" s="23" t="n"/>
      <c r="L73" s="24">
        <f>IF(COUNTA(F73:K73)=0,"",IF(COUNTIF(F73:K73,"○")=6,"候補リスト入り",IF(COUNTA(F73:K73)&lt;6,"未記入あり","修正 or ボツ")))</f>
        <v/>
      </c>
      <c r="M73" s="22" t="n"/>
      <c r="N73" s="22" t="n"/>
      <c r="O73" s="22" t="n"/>
      <c r="P73" s="25">
        <f>IF(COUNT(M73:O73)&lt;3,"",M73+(11-N73)+O73)</f>
        <v/>
      </c>
    </row>
    <row r="75" ht="22" customHeight="1">
      <c r="A75" s="26" t="inlineStr">
        <is>
          <t>最後に：公式に縛られすぎない</t>
        </is>
      </c>
    </row>
    <row r="76" ht="60" customHeight="1">
      <c r="A76" s="9" t="inlineStr">
        <is>
          <t>この方程式は「リスクを減らすゲーム」。ただし最もヒットした企画の中には、誰もやったことのないハイリスクな企画もある。
すべての動画がバズを狙う必要はない。既存視聴者と深くつながる動画、ただ作りたいから作る動画の余白も残す。ワクワクするなら条件を満たさなくても作ってみる。
企画が決まったら次は「パッケージング（タイトル・サムネイル）」。どんな名企画もクリックされなければ見てもらえない。</t>
        </is>
      </c>
    </row>
  </sheetData>
  <mergeCells count="88">
    <mergeCell ref="B11:D11"/>
    <mergeCell ref="A23:J23"/>
    <mergeCell ref="C31:E31"/>
    <mergeCell ref="E9:J9"/>
    <mergeCell ref="F19:J19"/>
    <mergeCell ref="E11:J11"/>
    <mergeCell ref="F36:J36"/>
    <mergeCell ref="F18:J18"/>
    <mergeCell ref="F33:J33"/>
    <mergeCell ref="B6:D6"/>
    <mergeCell ref="A49:J49"/>
    <mergeCell ref="F17:J17"/>
    <mergeCell ref="F31:J31"/>
    <mergeCell ref="C34:E34"/>
    <mergeCell ref="B14:E14"/>
    <mergeCell ref="A75:J75"/>
    <mergeCell ref="D47:J47"/>
    <mergeCell ref="E8:J8"/>
    <mergeCell ref="A55:J55"/>
    <mergeCell ref="B41:C41"/>
    <mergeCell ref="E10:J10"/>
    <mergeCell ref="B8:D8"/>
    <mergeCell ref="A4:J4"/>
    <mergeCell ref="A38:J38"/>
    <mergeCell ref="B51:E51"/>
    <mergeCell ref="A13:J13"/>
    <mergeCell ref="B10:D10"/>
    <mergeCell ref="B50:E50"/>
    <mergeCell ref="A40:J40"/>
    <mergeCell ref="F51:J51"/>
    <mergeCell ref="B16:E16"/>
    <mergeCell ref="B9:D9"/>
    <mergeCell ref="F35:J35"/>
    <mergeCell ref="F50:J50"/>
    <mergeCell ref="C32:E32"/>
    <mergeCell ref="B18:E18"/>
    <mergeCell ref="B5:D5"/>
    <mergeCell ref="A25:J25"/>
    <mergeCell ref="C33:E33"/>
    <mergeCell ref="B53:E53"/>
    <mergeCell ref="A2:J2"/>
    <mergeCell ref="C35:E35"/>
    <mergeCell ref="F14:J14"/>
    <mergeCell ref="F29:J29"/>
    <mergeCell ref="A22:J22"/>
    <mergeCell ref="B15:E15"/>
    <mergeCell ref="B43:C43"/>
    <mergeCell ref="C36:E36"/>
    <mergeCell ref="F15:J15"/>
    <mergeCell ref="B42:C42"/>
    <mergeCell ref="F32:J32"/>
    <mergeCell ref="D46:J46"/>
    <mergeCell ref="B44:C44"/>
    <mergeCell ref="C28:E28"/>
    <mergeCell ref="C37:E37"/>
    <mergeCell ref="B52:E52"/>
    <mergeCell ref="C30:E30"/>
    <mergeCell ref="F27:J27"/>
    <mergeCell ref="F52:J52"/>
    <mergeCell ref="B17:E17"/>
    <mergeCell ref="F37:J37"/>
    <mergeCell ref="D41:J41"/>
    <mergeCell ref="A56:J56"/>
    <mergeCell ref="E5:J5"/>
    <mergeCell ref="B45:C45"/>
    <mergeCell ref="B19:E19"/>
    <mergeCell ref="D43:J43"/>
    <mergeCell ref="A76:J76"/>
    <mergeCell ref="F53:J53"/>
    <mergeCell ref="B47:C47"/>
    <mergeCell ref="F34:J34"/>
    <mergeCell ref="F16:J16"/>
    <mergeCell ref="B46:C46"/>
    <mergeCell ref="D42:J42"/>
    <mergeCell ref="B20:E20"/>
    <mergeCell ref="E6:J6"/>
    <mergeCell ref="F30:J30"/>
    <mergeCell ref="C27:E27"/>
    <mergeCell ref="D44:J44"/>
    <mergeCell ref="F20:J20"/>
    <mergeCell ref="E7:J7"/>
    <mergeCell ref="A1:J1"/>
    <mergeCell ref="D45:J45"/>
    <mergeCell ref="F28:J28"/>
    <mergeCell ref="B7:D7"/>
    <mergeCell ref="A21:J21"/>
    <mergeCell ref="A26:J26"/>
    <mergeCell ref="C29:E29"/>
  </mergeCells>
  <dataValidations count="2">
    <dataValidation sqref="F58:K73" showDropDown="0" showInputMessage="0" showErrorMessage="0" allowBlank="1" type="list">
      <formula1>"○,×"</formula1>
    </dataValidation>
    <dataValidation sqref="M58:O73" showDropDown="0" showInputMessage="0" showErrorMessage="0" allowBlank="1" type="whole" operator="between">
      <formula1>1</formula1>
      <formula2>10</formula2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2026-09-25T02:17:45Z</dcterms:created>
  <dcterms:modified xsi:type="dcterms:W3CDTF">2026-09-25T02:17:45Z</dcterms:modified>
</cp:coreProperties>
</file>