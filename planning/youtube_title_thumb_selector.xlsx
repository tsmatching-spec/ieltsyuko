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決定一覧" sheetId="1" state="visible" r:id="rId1"/>
    <sheet name="① 添削700件で見えた「伸びる答案」の共通点" sheetId="2" state="visible" r:id="rId2"/>
    <sheet name="② 30代・アラサーの年齢不安" sheetId="3" state="visible" r:id="rId3"/>
    <sheet name="③ 3週間で伸びる人と伸びない人の練習の違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595959"/>
      <sz val="10"/>
    </font>
    <font>
      <name val="Arial"/>
      <b val="1"/>
      <color rgb="00C00000"/>
      <sz val="10"/>
    </font>
    <font>
      <name val="Arial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E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548235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2" applyAlignment="1" pivotButton="0" quotePrefix="0" xfId="0">
      <alignment vertical="center" wrapText="1"/>
    </xf>
    <xf numFmtId="0" fontId="0" fillId="0" borderId="2" pivotButton="0" quotePrefix="0" xfId="0"/>
    <xf numFmtId="0" fontId="2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3" fillId="11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3" fillId="11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8">
    <dxf>
      <font>
        <color rgb="00A6A6A6"/>
      </font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595959"/>
      </font>
      <fill>
        <patternFill patternType="solid">
          <fgColor rgb="00F2F2F2"/>
        </patternFill>
      </fill>
    </dxf>
    <dxf>
      <font>
        <b val="1"/>
        <color rgb="00C00000"/>
      </font>
    </dxf>
    <dxf>
      <font>
        <b val="1"/>
        <color rgb="007030A0"/>
      </font>
      <fill>
        <patternFill patternType="solid">
          <fgColor rgb="00E4DFEC"/>
        </patternFill>
      </fill>
    </dxf>
    <dxf>
      <font>
        <strike val="1"/>
        <color rgb="00A6A6A6"/>
      </font>
    </dxf>
    <dxf>
      <font>
        <b val="1"/>
        <color rgb="00FFFFFF"/>
      </font>
      <fill>
        <patternFill patternType="solid">
          <fgColor rgb="007030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評価基準</author>
  </authors>
  <commentList>
    <comment ref="E15" authorId="0" shapeId="0">
      <text>
        <t>動画の中身と一致しているか。釣り・誇張で期待を裏切らないか</t>
      </text>
    </comment>
    <comment ref="F15" authorId="0" shapeId="0">
      <text>
        <t>タイトルだけで満足させず、答え（中身）を伏せているか</t>
      </text>
    </comment>
    <comment ref="G15" authorId="0" shapeId="0">
      <text>
        <t>スマホで切れる前半30字だけで、誰向けの何の話か分かるか</t>
      </text>
    </comment>
    <comment ref="H15" authorId="0" shapeId="0">
      <text>
        <t>答えを知りたくなるか</t>
      </text>
    </comment>
    <comment ref="I15" authorId="0" shapeId="0">
      <text>
        <t>数字・対立・感情語などで目が止まるか</t>
      </text>
    </comment>
    <comment ref="J15" authorId="0" shapeId="0">
      <text>
        <t>1秒で誰向けの何の話か分かるか</t>
      </text>
    </comment>
    <comment ref="K15" authorId="0" shapeId="0">
      <text>
        <t>サムネと同じことを言っていないか（役割分担）</t>
      </text>
    </comment>
    <comment ref="G39" authorId="0" shapeId="0">
      <text>
        <t>スマホの小さい表示でも文字と主役が読めるか（文字は6字以内が目安）</t>
      </text>
    </comment>
    <comment ref="H39" authorId="0" shapeId="0">
      <text>
        <t>主役・ストッパーが1〜2個に絞れているか（詰め込みすぎていないか）</t>
      </text>
    </comment>
    <comment ref="I39" authorId="0" shapeId="0">
      <text>
        <t>その写真・素材を実際に撮影・用意できるか</t>
      </text>
    </comment>
    <comment ref="J39" authorId="0" shapeId="0">
      <text>
        <t>何が起きたのか知りたくなるか</t>
      </text>
    </comment>
    <comment ref="K39" authorId="0" shapeId="0">
      <text>
        <t>2秒で何の動画か伝わるか</t>
      </text>
    </comment>
    <comment ref="L39" authorId="0" shapeId="0">
      <text>
        <t>一覧の中で目立つか（色・コントラスト・顔）</t>
      </text>
    </comment>
    <comment ref="F55" authorId="0" shapeId="0">
      <text>
        <t>タイトルとサムネが同じことを言っていないか（タイトル＝言うこと／サムネ＝見せること）</t>
      </text>
    </comment>
    <comment ref="G55" authorId="0" shapeId="0">
      <text>
        <t>2つを合わせて見たとき、1つの『知りたい』が生まれるか</t>
      </text>
    </comment>
  </commentList>
</comments>
</file>

<file path=xl/comments/comment2.xml><?xml version="1.0" encoding="utf-8"?>
<comments xmlns="http://schemas.openxmlformats.org/spreadsheetml/2006/main">
  <authors>
    <author>評価基準</author>
  </authors>
  <commentList>
    <comment ref="E15" authorId="0" shapeId="0">
      <text>
        <t>動画の中身と一致しているか。釣り・誇張で期待を裏切らないか</t>
      </text>
    </comment>
    <comment ref="F15" authorId="0" shapeId="0">
      <text>
        <t>タイトルだけで満足させず、答え（中身）を伏せているか</t>
      </text>
    </comment>
    <comment ref="G15" authorId="0" shapeId="0">
      <text>
        <t>スマホで切れる前半30字だけで、誰向けの何の話か分かるか</t>
      </text>
    </comment>
    <comment ref="H15" authorId="0" shapeId="0">
      <text>
        <t>答えを知りたくなるか</t>
      </text>
    </comment>
    <comment ref="I15" authorId="0" shapeId="0">
      <text>
        <t>数字・対立・感情語などで目が止まるか</t>
      </text>
    </comment>
    <comment ref="J15" authorId="0" shapeId="0">
      <text>
        <t>1秒で誰向けの何の話か分かるか</t>
      </text>
    </comment>
    <comment ref="K15" authorId="0" shapeId="0">
      <text>
        <t>サムネと同じことを言っていないか（役割分担）</t>
      </text>
    </comment>
    <comment ref="G39" authorId="0" shapeId="0">
      <text>
        <t>スマホの小さい表示でも文字と主役が読めるか（文字は6字以内が目安）</t>
      </text>
    </comment>
    <comment ref="H39" authorId="0" shapeId="0">
      <text>
        <t>主役・ストッパーが1〜2個に絞れているか（詰め込みすぎていないか）</t>
      </text>
    </comment>
    <comment ref="I39" authorId="0" shapeId="0">
      <text>
        <t>その写真・素材を実際に撮影・用意できるか</t>
      </text>
    </comment>
    <comment ref="J39" authorId="0" shapeId="0">
      <text>
        <t>何が起きたのか知りたくなるか</t>
      </text>
    </comment>
    <comment ref="K39" authorId="0" shapeId="0">
      <text>
        <t>2秒で何の動画か伝わるか</t>
      </text>
    </comment>
    <comment ref="L39" authorId="0" shapeId="0">
      <text>
        <t>一覧の中で目立つか（色・コントラスト・顔）</t>
      </text>
    </comment>
    <comment ref="F55" authorId="0" shapeId="0">
      <text>
        <t>タイトルとサムネが同じことを言っていないか（タイトル＝言うこと／サムネ＝見せること）</t>
      </text>
    </comment>
    <comment ref="G55" authorId="0" shapeId="0">
      <text>
        <t>2つを合わせて見たとき、1つの『知りたい』が生まれるか</t>
      </text>
    </comment>
  </commentList>
</comments>
</file>

<file path=xl/comments/comment3.xml><?xml version="1.0" encoding="utf-8"?>
<comments xmlns="http://schemas.openxmlformats.org/spreadsheetml/2006/main">
  <authors>
    <author>評価基準</author>
  </authors>
  <commentList>
    <comment ref="E15" authorId="0" shapeId="0">
      <text>
        <t>動画の中身と一致しているか。釣り・誇張で期待を裏切らないか</t>
      </text>
    </comment>
    <comment ref="F15" authorId="0" shapeId="0">
      <text>
        <t>タイトルだけで満足させず、答え（中身）を伏せているか</t>
      </text>
    </comment>
    <comment ref="G15" authorId="0" shapeId="0">
      <text>
        <t>スマホで切れる前半30字だけで、誰向けの何の話か分かるか</t>
      </text>
    </comment>
    <comment ref="H15" authorId="0" shapeId="0">
      <text>
        <t>答えを知りたくなるか</t>
      </text>
    </comment>
    <comment ref="I15" authorId="0" shapeId="0">
      <text>
        <t>数字・対立・感情語などで目が止まるか</t>
      </text>
    </comment>
    <comment ref="J15" authorId="0" shapeId="0">
      <text>
        <t>1秒で誰向けの何の話か分かるか</t>
      </text>
    </comment>
    <comment ref="K15" authorId="0" shapeId="0">
      <text>
        <t>サムネと同じことを言っていないか（役割分担）</t>
      </text>
    </comment>
    <comment ref="G39" authorId="0" shapeId="0">
      <text>
        <t>スマホの小さい表示でも文字と主役が読めるか（文字は6字以内が目安）</t>
      </text>
    </comment>
    <comment ref="H39" authorId="0" shapeId="0">
      <text>
        <t>主役・ストッパーが1〜2個に絞れているか（詰め込みすぎていないか）</t>
      </text>
    </comment>
    <comment ref="I39" authorId="0" shapeId="0">
      <text>
        <t>その写真・素材を実際に撮影・用意できるか</t>
      </text>
    </comment>
    <comment ref="J39" authorId="0" shapeId="0">
      <text>
        <t>何が起きたのか知りたくなるか</t>
      </text>
    </comment>
    <comment ref="K39" authorId="0" shapeId="0">
      <text>
        <t>2秒で何の動画か伝わるか</t>
      </text>
    </comment>
    <comment ref="L39" authorId="0" shapeId="0">
      <text>
        <t>一覧の中で目立つか（色・コントラスト・顔）</t>
      </text>
    </comment>
    <comment ref="F55" authorId="0" shapeId="0">
      <text>
        <t>タイトルとサムネが同じことを言っていないか（タイトル＝言うこと／サムネ＝見せること）</t>
      </text>
    </comment>
    <comment ref="G55" authorId="0" shapeId="0">
      <text>
        <t>2つを合わせて見たとき、1つの『知りたい』が生まれるか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10" customWidth="1" min="4" max="4"/>
    <col width="4" customWidth="1" min="5" max="5"/>
  </cols>
  <sheetData>
    <row r="1">
      <c r="A1" s="1" t="inlineStr">
        <is>
          <t>タイトル・サムネ 決定一覧（各企画シートから自動）</t>
        </is>
      </c>
    </row>
    <row r="2">
      <c r="A2" s="2" t="inlineStr">
        <is>
          <t>各企画シートの組み合わせ表で「公開用」を選ぶと、ここに反映されます。</t>
        </is>
      </c>
    </row>
    <row r="4">
      <c r="A4" s="3" t="inlineStr">
        <is>
          <t>企画</t>
        </is>
      </c>
      <c r="B4" s="3" t="inlineStr">
        <is>
          <t>公開するタイトル</t>
        </is>
      </c>
      <c r="C4" s="3" t="inlineStr">
        <is>
          <t>公開するサムネ</t>
        </is>
      </c>
      <c r="D4" s="3" t="inlineStr">
        <is>
          <t>差し替え用</t>
        </is>
      </c>
    </row>
    <row r="5" ht="40" customHeight="1">
      <c r="A5" s="4" t="inlineStr">
        <is>
          <t>① 添削700件で見えた「伸びる答案」の共通点</t>
        </is>
      </c>
      <c r="B5" s="5">
        <f>'① 添削700件で見えた「伸びる答案」の共通点'!C11</f>
        <v/>
      </c>
      <c r="C5" s="5">
        <f>'① 添削700件で見えた「伸びる答案」の共通点'!C12</f>
        <v/>
      </c>
      <c r="D5" s="6">
        <f>'① 添削700件で見えた「伸びる答案」の共通点'!C13</f>
        <v/>
      </c>
    </row>
    <row r="6" ht="40" customHeight="1">
      <c r="A6" s="4" t="inlineStr">
        <is>
          <t>② 30代・アラサーの年齢不安</t>
        </is>
      </c>
      <c r="B6" s="5">
        <f>'② 30代・アラサーの年齢不安'!C11</f>
        <v/>
      </c>
      <c r="C6" s="5">
        <f>'② 30代・アラサーの年齢不安'!C12</f>
        <v/>
      </c>
      <c r="D6" s="6">
        <f>'② 30代・アラサーの年齢不安'!C13</f>
        <v/>
      </c>
    </row>
    <row r="7" ht="40" customHeight="1">
      <c r="A7" s="4" t="inlineStr">
        <is>
          <t>③ 3週間で伸びる人と伸びない人の練習の違い</t>
        </is>
      </c>
      <c r="B7" s="5">
        <f>'③ 3週間で伸びる人と伸びない人の練習の違い'!C11</f>
        <v/>
      </c>
      <c r="C7" s="5">
        <f>'③ 3週間で伸びる人と伸びない人の練習の違い'!C12</f>
        <v/>
      </c>
      <c r="D7" s="6">
        <f>'③ 3週間で伸びる人と伸びない人の練習の違い'!C13</f>
        <v/>
      </c>
    </row>
  </sheetData>
  <mergeCells count="2">
    <mergeCell ref="A1:D1"/>
    <mergeCell ref="A2:D2"/>
  </mergeCells>
  <conditionalFormatting sqref="B5:C20">
    <cfRule type="expression" priority="1" dxfId="0">
      <formula>LEFT(B5,3)="未決定"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" customWidth="1" min="3" max="3"/>
    <col width="30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7" customWidth="1" min="14" max="14"/>
    <col width="11" customWidth="1" min="15" max="15"/>
    <col width="24" customWidth="1" min="16" max="16"/>
    <col width="4" customWidth="1" min="17" max="17"/>
  </cols>
  <sheetData>
    <row r="1">
      <c r="A1" s="1" t="inlineStr">
        <is>
          <t>タイトル・サムネ決定シート｜① 添削700件で見えた「伸びる答案」の共通点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30" customHeight="1">
      <c r="A2" s="2" t="inlineStr">
        <is>
          <t>手順：❶タイトル足切り（○/×）→ ❷タイトル採点（1〜5）→ ❸サムネ足切り → ❹サムネ採点 → ❺上位からA/B/Cの組み合わせを作る → ❻1組だけ「公開用」にする。黄色セルだけ入力、他は自動。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4" ht="18" customHeight="1">
      <c r="A4" s="8" t="inlineStr">
        <is>
          <t>動画のテーマ</t>
        </is>
      </c>
      <c r="B4" s="9" t="n"/>
      <c r="C4" s="10" t="inlineStr">
        <is>
          <t>IELTSライティング｜添削700件で見えた伸びる答案の共通点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8" customHeight="1">
      <c r="A5" s="8" t="inlineStr">
        <is>
          <t>好奇心の型</t>
        </is>
      </c>
      <c r="B5" s="9" t="n"/>
      <c r="C5" s="10" t="inlineStr">
        <is>
          <t>結果型（＋変身型の要素）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8" customHeight="1">
      <c r="A6" s="8" t="inlineStr">
        <is>
          <t>伏せる情報（答え）</t>
        </is>
      </c>
      <c r="B6" s="9" t="n"/>
      <c r="C6" s="10" t="inlineStr">
        <is>
          <t>「共通点5つ」の中身＝答案のどこを直すと伸びたのか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30" customHeight="1">
      <c r="A7" s="8" t="inlineStr">
        <is>
          <t>借りる要素（アウトライヤー）</t>
        </is>
      </c>
      <c r="B7" s="9" t="n"/>
      <c r="C7" s="10" t="inlineStr">
        <is>
          <t>Paraphrasing Masterclass（&gt;100x/806.27倍）の『構成と言い換えの解説』＋ Simran『30日で4→8.5』（112.65倍）の変化提示 → 借りるのは1つ：ビフォーアフターの答案を主役にする構図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8" customHeight="1">
      <c r="A8" s="8" t="inlineStr">
        <is>
          <t>ストッパー（1〜2個）</t>
        </is>
      </c>
      <c r="B8" s="9" t="n"/>
      <c r="C8" s="10" t="inlineStr">
        <is>
          <t>大きな数字（700件）／赤ペン（見慣れたもの）／感情（驚き）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10">
      <c r="A10" s="11" t="inlineStr">
        <is>
          <t>■ 決定（自動）：下の組み合わせで「公開用」を選んだものが表示されます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24" customHeight="1">
      <c r="A11" s="12" t="inlineStr">
        <is>
          <t>公開するタイトル</t>
        </is>
      </c>
      <c r="B11" s="9" t="n"/>
      <c r="C11" s="13">
        <f>IFERROR(INDEX($B$56:$B$58,MATCH("公開用",$L$56:$L$58,0)),"未決定（組み合わせ表で「公開用」を選んでください）")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24" customHeight="1">
      <c r="A12" s="12" t="inlineStr">
        <is>
          <t>公開するサムネ</t>
        </is>
      </c>
      <c r="B12" s="9" t="n"/>
      <c r="C12" s="13">
        <f>IFERROR(INDEX($D$56:$D$58,MATCH("公開用",$L$56:$L$58,0)),"未決定")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24" customHeight="1">
      <c r="A13" s="12" t="inlineStr">
        <is>
          <t>差し替え用</t>
        </is>
      </c>
      <c r="B13" s="9" t="n"/>
      <c r="C13" s="4">
        <f>COUNTIF($L$56:$L$58,"差し替え用")&amp;" 組"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14" t="inlineStr">
        <is>
          <t>■ タイトル案（20案）　足切り：1つでも×なら除外 ／ 採点：1〜5（5が最高）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32" customHeight="1">
      <c r="A15" s="15" t="inlineStr">
        <is>
          <t>No</t>
        </is>
      </c>
      <c r="B15" s="15" t="inlineStr">
        <is>
          <t>タイトル案</t>
        </is>
      </c>
      <c r="C15" s="15" t="inlineStr">
        <is>
          <t>字数</t>
        </is>
      </c>
      <c r="D15" s="15" t="inlineStr">
        <is>
          <t>スマホで見える前半30字</t>
        </is>
      </c>
      <c r="E15" s="16" t="inlineStr">
        <is>
          <t>①中身と
一致</t>
        </is>
      </c>
      <c r="F15" s="16" t="inlineStr">
        <is>
          <t>②答えを
伏せる</t>
        </is>
      </c>
      <c r="G15" s="16" t="inlineStr">
        <is>
          <t>③30字で
伝わる</t>
        </is>
      </c>
      <c r="H15" s="17" t="inlineStr">
        <is>
          <t>好奇心</t>
        </is>
      </c>
      <c r="I15" s="17" t="inlineStr">
        <is>
          <t>強い言葉</t>
        </is>
      </c>
      <c r="J15" s="17" t="inlineStr">
        <is>
          <t>分かり
やすさ</t>
        </is>
      </c>
      <c r="K15" s="17" t="inlineStr">
        <is>
          <t>サムネと
重複しない</t>
        </is>
      </c>
      <c r="L15" s="17" t="inlineStr">
        <is>
          <t>合計
/20</t>
        </is>
      </c>
      <c r="M15" s="15" t="inlineStr">
        <is>
          <t>判定</t>
        </is>
      </c>
      <c r="N15" s="15" t="inlineStr">
        <is>
          <t>順位</t>
        </is>
      </c>
      <c r="O15" s="15" t="inlineStr">
        <is>
          <t>最終判断</t>
        </is>
      </c>
      <c r="P15" s="15" t="inlineStr">
        <is>
          <t>メモ</t>
        </is>
      </c>
    </row>
    <row r="16" ht="30" customHeight="1">
      <c r="A16" s="6" t="n">
        <v>1</v>
      </c>
      <c r="B16" s="10" t="inlineStr">
        <is>
          <t>添削700件で見えた、IELTSライティングが伸びる答案の共通点5つ</t>
        </is>
      </c>
      <c r="C16" s="6">
        <f>IF(B16="","",LEN(B16))</f>
        <v/>
      </c>
      <c r="D16" s="5">
        <f>IF(B16="","",LEFT(B16,30))</f>
        <v/>
      </c>
      <c r="E16" s="18" t="n"/>
      <c r="F16" s="18" t="n"/>
      <c r="G16" s="18" t="n"/>
      <c r="H16" s="18" t="n">
        <v>5</v>
      </c>
      <c r="I16" s="18" t="n">
        <v>4</v>
      </c>
      <c r="J16" s="18" t="n">
        <v>5</v>
      </c>
      <c r="K16" s="18" t="n">
        <v>5</v>
      </c>
      <c r="L16" s="6">
        <f>IF(COUNT(H16:K16)&lt;4,"",SUM(H16:K16))</f>
        <v/>
      </c>
      <c r="M16" s="6">
        <f>IF(B16="","",IF(COUNTIF(E16:G16,"×")&gt;0,"✕ 足切り",IF(COUNTA(E16:G16)&lt;3,"未チェック","◎ 通過")))</f>
        <v/>
      </c>
      <c r="N16" s="6">
        <f>IF(OR(L16="",M16="✕ 足切り"),"",COUNTIFS($M$16:$M$35,"&lt;&gt;✕ 足切り",$L$16:$L$35,"&gt;"&amp;L16)+1)</f>
        <v/>
      </c>
      <c r="O16" s="18" t="n"/>
      <c r="P16" s="10" t="n"/>
    </row>
    <row r="17" ht="30" customHeight="1">
      <c r="A17" s="6" t="n">
        <v>2</v>
      </c>
      <c r="B17" s="10" t="inlineStr">
        <is>
          <t>添削700件で分かった「伸びる人」の答案はここが違う</t>
        </is>
      </c>
      <c r="C17" s="6">
        <f>IF(B17="","",LEN(B17))</f>
        <v/>
      </c>
      <c r="D17" s="5">
        <f>IF(B17="","",LEFT(B17,30))</f>
        <v/>
      </c>
      <c r="E17" s="18" t="n"/>
      <c r="F17" s="18" t="n"/>
      <c r="G17" s="18" t="n"/>
      <c r="H17" s="18" t="n">
        <v>5</v>
      </c>
      <c r="I17" s="18" t="n">
        <v>4</v>
      </c>
      <c r="J17" s="18" t="n">
        <v>4</v>
      </c>
      <c r="K17" s="18" t="n">
        <v>5</v>
      </c>
      <c r="L17" s="6">
        <f>IF(COUNT(H17:K17)&lt;4,"",SUM(H17:K17))</f>
        <v/>
      </c>
      <c r="M17" s="6">
        <f>IF(B17="","",IF(COUNTIF(E17:G17,"×")&gt;0,"✕ 足切り",IF(COUNTA(E17:G17)&lt;3,"未チェック","◎ 通過")))</f>
        <v/>
      </c>
      <c r="N17" s="6">
        <f>IF(OR(L17="",M17="✕ 足切り"),"",COUNTIFS($M$16:$M$35,"&lt;&gt;✕ 足切り",$L$16:$L$35,"&gt;"&amp;L17)+1)</f>
        <v/>
      </c>
      <c r="O17" s="18" t="n"/>
      <c r="P17" s="10" t="n"/>
    </row>
    <row r="18" ht="30" customHeight="1">
      <c r="A18" s="6" t="n">
        <v>3</v>
      </c>
      <c r="B18" s="10" t="inlineStr">
        <is>
          <t>700件の答案を見て分かった、6.5で止まる人と7.0を取る人の差</t>
        </is>
      </c>
      <c r="C18" s="6">
        <f>IF(B18="","",LEN(B18))</f>
        <v/>
      </c>
      <c r="D18" s="5">
        <f>IF(B18="","",LEFT(B18,30))</f>
        <v/>
      </c>
      <c r="E18" s="18" t="n"/>
      <c r="F18" s="18" t="n"/>
      <c r="G18" s="18" t="n"/>
      <c r="H18" s="18" t="n">
        <v>5</v>
      </c>
      <c r="I18" s="18" t="n">
        <v>5</v>
      </c>
      <c r="J18" s="18" t="n">
        <v>4</v>
      </c>
      <c r="K18" s="18" t="n">
        <v>4</v>
      </c>
      <c r="L18" s="6">
        <f>IF(COUNT(H18:K18)&lt;4,"",SUM(H18:K18))</f>
        <v/>
      </c>
      <c r="M18" s="6">
        <f>IF(B18="","",IF(COUNTIF(E18:G18,"×")&gt;0,"✕ 足切り",IF(COUNTA(E18:G18)&lt;3,"未チェック","◎ 通過")))</f>
        <v/>
      </c>
      <c r="N18" s="6">
        <f>IF(OR(L18="",M18="✕ 足切り"),"",COUNTIFS($M$16:$M$35,"&lt;&gt;✕ 足切り",$L$16:$L$35,"&gt;"&amp;L18)+1)</f>
        <v/>
      </c>
      <c r="O18" s="18" t="n"/>
      <c r="P18" s="10" t="n"/>
    </row>
    <row r="19" ht="30" customHeight="1">
      <c r="A19" s="6" t="n">
        <v>4</v>
      </c>
      <c r="B19" s="10" t="inlineStr">
        <is>
          <t>IELTSライティング、伸びる答案には共通点があった【添削700件】</t>
        </is>
      </c>
      <c r="C19" s="6">
        <f>IF(B19="","",LEN(B19))</f>
        <v/>
      </c>
      <c r="D19" s="5">
        <f>IF(B19="","",LEFT(B19,30))</f>
        <v/>
      </c>
      <c r="E19" s="18" t="n"/>
      <c r="F19" s="18" t="n"/>
      <c r="G19" s="18" t="n"/>
      <c r="H19" s="18" t="n">
        <v>4</v>
      </c>
      <c r="I19" s="18" t="n">
        <v>3</v>
      </c>
      <c r="J19" s="18" t="n">
        <v>5</v>
      </c>
      <c r="K19" s="18" t="n">
        <v>4</v>
      </c>
      <c r="L19" s="6">
        <f>IF(COUNT(H19:K19)&lt;4,"",SUM(H19:K19))</f>
        <v/>
      </c>
      <c r="M19" s="6">
        <f>IF(B19="","",IF(COUNTIF(E19:G19,"×")&gt;0,"✕ 足切り",IF(COUNTA(E19:G19)&lt;3,"未チェック","◎ 通過")))</f>
        <v/>
      </c>
      <c r="N19" s="6">
        <f>IF(OR(L19="",M19="✕ 足切り"),"",COUNTIFS($M$16:$M$35,"&lt;&gt;✕ 足切り",$L$16:$L$35,"&gt;"&amp;L19)+1)</f>
        <v/>
      </c>
      <c r="O19" s="18" t="n"/>
      <c r="P19" s="10" t="n"/>
    </row>
    <row r="20" ht="30" customHeight="1">
      <c r="A20" s="6" t="n">
        <v>5</v>
      </c>
      <c r="B20" s="10" t="inlineStr">
        <is>
          <t>なぜあの人は7.0を取れたのか。700件の答案から答えを出しました</t>
        </is>
      </c>
      <c r="C20" s="6">
        <f>IF(B20="","",LEN(B20))</f>
        <v/>
      </c>
      <c r="D20" s="5">
        <f>IF(B20="","",LEFT(B20,30))</f>
        <v/>
      </c>
      <c r="E20" s="18" t="n"/>
      <c r="F20" s="18" t="n"/>
      <c r="G20" s="18" t="n"/>
      <c r="H20" s="18" t="n">
        <v>5</v>
      </c>
      <c r="I20" s="18" t="n">
        <v>3</v>
      </c>
      <c r="J20" s="18" t="n">
        <v>4</v>
      </c>
      <c r="K20" s="18" t="n">
        <v>4</v>
      </c>
      <c r="L20" s="6">
        <f>IF(COUNT(H20:K20)&lt;4,"",SUM(H20:K20))</f>
        <v/>
      </c>
      <c r="M20" s="6">
        <f>IF(B20="","",IF(COUNTIF(E20:G20,"×")&gt;0,"✕ 足切り",IF(COUNTA(E20:G20)&lt;3,"未チェック","◎ 通過")))</f>
        <v/>
      </c>
      <c r="N20" s="6">
        <f>IF(OR(L20="",M20="✕ 足切り"),"",COUNTIFS($M$16:$M$35,"&lt;&gt;✕ 足切り",$L$16:$L$35,"&gt;"&amp;L20)+1)</f>
        <v/>
      </c>
      <c r="O20" s="18" t="n"/>
      <c r="P20" s="10" t="n"/>
    </row>
    <row r="21" ht="30" customHeight="1">
      <c r="A21" s="6" t="n">
        <v>6</v>
      </c>
      <c r="B21" s="10" t="inlineStr">
        <is>
          <t>添削700件の結論：スコアが伸びる答案は最初の1文が違う</t>
        </is>
      </c>
      <c r="C21" s="6">
        <f>IF(B21="","",LEN(B21))</f>
        <v/>
      </c>
      <c r="D21" s="5">
        <f>IF(B21="","",LEFT(B21,30))</f>
        <v/>
      </c>
      <c r="E21" s="18" t="n"/>
      <c r="F21" s="18" t="n"/>
      <c r="G21" s="18" t="n"/>
      <c r="H21" s="18" t="n">
        <v>5</v>
      </c>
      <c r="I21" s="18" t="n">
        <v>4</v>
      </c>
      <c r="J21" s="18" t="n">
        <v>5</v>
      </c>
      <c r="K21" s="18" t="n">
        <v>4</v>
      </c>
      <c r="L21" s="6">
        <f>IF(COUNT(H21:K21)&lt;4,"",SUM(H21:K21))</f>
        <v/>
      </c>
      <c r="M21" s="6">
        <f>IF(B21="","",IF(COUNTIF(E21:G21,"×")&gt;0,"✕ 足切り",IF(COUNTA(E21:G21)&lt;3,"未チェック","◎ 通過")))</f>
        <v/>
      </c>
      <c r="N21" s="6">
        <f>IF(OR(L21="",M21="✕ 足切り"),"",COUNTIFS($M$16:$M$35,"&lt;&gt;✕ 足切り",$L$16:$L$35,"&gt;"&amp;L21)+1)</f>
        <v/>
      </c>
      <c r="O21" s="18" t="n"/>
      <c r="P21" s="10" t="n"/>
    </row>
    <row r="22" ht="30" customHeight="1">
      <c r="A22" s="6" t="n">
        <v>7</v>
      </c>
      <c r="B22" s="10" t="inlineStr">
        <is>
          <t>6.5から7.0へ。答案のどこを直せば伸びるのか全部話します</t>
        </is>
      </c>
      <c r="C22" s="6">
        <f>IF(B22="","",LEN(B22))</f>
        <v/>
      </c>
      <c r="D22" s="5">
        <f>IF(B22="","",LEFT(B22,30))</f>
        <v/>
      </c>
      <c r="E22" s="18" t="n"/>
      <c r="F22" s="18" t="n"/>
      <c r="G22" s="18" t="n"/>
      <c r="H22" s="18" t="n">
        <v>4</v>
      </c>
      <c r="I22" s="18" t="n">
        <v>3</v>
      </c>
      <c r="J22" s="18" t="n">
        <v>5</v>
      </c>
      <c r="K22" s="18" t="n">
        <v>4</v>
      </c>
      <c r="L22" s="6">
        <f>IF(COUNT(H22:K22)&lt;4,"",SUM(H22:K22))</f>
        <v/>
      </c>
      <c r="M22" s="6">
        <f>IF(B22="","",IF(COUNTIF(E22:G22,"×")&gt;0,"✕ 足切り",IF(COUNTA(E22:G22)&lt;3,"未チェック","◎ 通過")))</f>
        <v/>
      </c>
      <c r="N22" s="6">
        <f>IF(OR(L22="",M22="✕ 足切り"),"",COUNTIFS($M$16:$M$35,"&lt;&gt;✕ 足切り",$L$16:$L$35,"&gt;"&amp;L22)+1)</f>
        <v/>
      </c>
      <c r="O22" s="18" t="n"/>
      <c r="P22" s="10" t="n"/>
    </row>
    <row r="23" ht="30" customHeight="1">
      <c r="A23" s="6" t="n">
        <v>8</v>
      </c>
      <c r="B23" s="10" t="inlineStr">
        <is>
          <t>700件添削して分かった、減点される答案の共通点</t>
        </is>
      </c>
      <c r="C23" s="6">
        <f>IF(B23="","",LEN(B23))</f>
        <v/>
      </c>
      <c r="D23" s="5">
        <f>IF(B23="","",LEFT(B23,30))</f>
        <v/>
      </c>
      <c r="E23" s="18" t="n"/>
      <c r="F23" s="18" t="n"/>
      <c r="G23" s="18" t="n"/>
      <c r="H23" s="18" t="n">
        <v>4</v>
      </c>
      <c r="I23" s="18" t="n">
        <v>4</v>
      </c>
      <c r="J23" s="18" t="n">
        <v>5</v>
      </c>
      <c r="K23" s="18" t="n">
        <v>5</v>
      </c>
      <c r="L23" s="6">
        <f>IF(COUNT(H23:K23)&lt;4,"",SUM(H23:K23))</f>
        <v/>
      </c>
      <c r="M23" s="6">
        <f>IF(B23="","",IF(COUNTIF(E23:G23,"×")&gt;0,"✕ 足切り",IF(COUNTA(E23:G23)&lt;3,"未チェック","◎ 通過")))</f>
        <v/>
      </c>
      <c r="N23" s="6">
        <f>IF(OR(L23="",M23="✕ 足切り"),"",COUNTIFS($M$16:$M$35,"&lt;&gt;✕ 足切り",$L$16:$L$35,"&gt;"&amp;L23)+1)</f>
        <v/>
      </c>
      <c r="O23" s="18" t="n"/>
      <c r="P23" s="10" t="n"/>
    </row>
    <row r="24" ht="30" customHeight="1">
      <c r="A24" s="6" t="n">
        <v>9</v>
      </c>
      <c r="B24" s="10" t="inlineStr">
        <is>
          <t>IELTSライティングで7.0を取った人だけがやっていたこと</t>
        </is>
      </c>
      <c r="C24" s="6">
        <f>IF(B24="","",LEN(B24))</f>
        <v/>
      </c>
      <c r="D24" s="5">
        <f>IF(B24="","",LEFT(B24,30))</f>
        <v/>
      </c>
      <c r="E24" s="18" t="n"/>
      <c r="F24" s="18" t="n"/>
      <c r="G24" s="18" t="n"/>
      <c r="H24" s="18" t="n">
        <v>4</v>
      </c>
      <c r="I24" s="18" t="n">
        <v>3</v>
      </c>
      <c r="J24" s="18" t="n">
        <v>4</v>
      </c>
      <c r="K24" s="18" t="n">
        <v>5</v>
      </c>
      <c r="L24" s="6">
        <f>IF(COUNT(H24:K24)&lt;4,"",SUM(H24:K24))</f>
        <v/>
      </c>
      <c r="M24" s="6">
        <f>IF(B24="","",IF(COUNTIF(E24:G24,"×")&gt;0,"✕ 足切り",IF(COUNTA(E24:G24)&lt;3,"未チェック","◎ 通過")))</f>
        <v/>
      </c>
      <c r="N24" s="6">
        <f>IF(OR(L24="",M24="✕ 足切り"),"",COUNTIFS($M$16:$M$35,"&lt;&gt;✕ 足切り",$L$16:$L$35,"&gt;"&amp;L24)+1)</f>
        <v/>
      </c>
      <c r="O24" s="18" t="n"/>
      <c r="P24" s="10" t="n"/>
    </row>
    <row r="25" ht="30" customHeight="1">
      <c r="A25" s="6" t="n">
        <v>10</v>
      </c>
      <c r="B25" s="10" t="inlineStr">
        <is>
          <t>添削700件で見えた「受かる答案」と「落ちる答案」の分かれ目</t>
        </is>
      </c>
      <c r="C25" s="6">
        <f>IF(B25="","",LEN(B25))</f>
        <v/>
      </c>
      <c r="D25" s="5">
        <f>IF(B25="","",LEFT(B25,30))</f>
        <v/>
      </c>
      <c r="E25" s="18" t="n"/>
      <c r="F25" s="18" t="n"/>
      <c r="G25" s="18" t="n"/>
      <c r="H25" s="18" t="n">
        <v>5</v>
      </c>
      <c r="I25" s="18" t="n">
        <v>4</v>
      </c>
      <c r="J25" s="18" t="n">
        <v>4</v>
      </c>
      <c r="K25" s="18" t="n">
        <v>4</v>
      </c>
      <c r="L25" s="6">
        <f>IF(COUNT(H25:K25)&lt;4,"",SUM(H25:K25))</f>
        <v/>
      </c>
      <c r="M25" s="6">
        <f>IF(B25="","",IF(COUNTIF(E25:G25,"×")&gt;0,"✕ 足切り",IF(COUNTA(E25:G25)&lt;3,"未チェック","◎ 通過")))</f>
        <v/>
      </c>
      <c r="N25" s="6">
        <f>IF(OR(L25="",M25="✕ 足切り"),"",COUNTIFS($M$16:$M$35,"&lt;&gt;✕ 足切り",$L$16:$L$35,"&gt;"&amp;L25)+1)</f>
        <v/>
      </c>
      <c r="O25" s="18" t="n"/>
      <c r="P25" s="10" t="n"/>
    </row>
    <row r="26" ht="30" customHeight="1">
      <c r="A26" s="6" t="n">
        <v>11</v>
      </c>
      <c r="B26" s="10" t="inlineStr">
        <is>
          <t>スコアが伸びない人の答案、全員に共通していた3つの癖</t>
        </is>
      </c>
      <c r="C26" s="6">
        <f>IF(B26="","",LEN(B26))</f>
        <v/>
      </c>
      <c r="D26" s="5">
        <f>IF(B26="","",LEFT(B26,30))</f>
        <v/>
      </c>
      <c r="E26" s="18" t="n"/>
      <c r="F26" s="18" t="n"/>
      <c r="G26" s="18" t="n"/>
      <c r="H26" s="18" t="n">
        <v>5</v>
      </c>
      <c r="I26" s="18" t="n">
        <v>5</v>
      </c>
      <c r="J26" s="18" t="n">
        <v>5</v>
      </c>
      <c r="K26" s="18" t="n">
        <v>5</v>
      </c>
      <c r="L26" s="6">
        <f>IF(COUNT(H26:K26)&lt;4,"",SUM(H26:K26))</f>
        <v/>
      </c>
      <c r="M26" s="6">
        <f>IF(B26="","",IF(COUNTIF(E26:G26,"×")&gt;0,"✕ 足切り",IF(COUNTA(E26:G26)&lt;3,"未チェック","◎ 通過")))</f>
        <v/>
      </c>
      <c r="N26" s="6">
        <f>IF(OR(L26="",M26="✕ 足切り"),"",COUNTIFS($M$16:$M$35,"&lt;&gt;✕ 足切り",$L$16:$L$35,"&gt;"&amp;L26)+1)</f>
        <v/>
      </c>
      <c r="O26" s="18" t="n"/>
      <c r="P26" s="10" t="n"/>
    </row>
    <row r="27" ht="30" customHeight="1">
      <c r="A27" s="6" t="n">
        <v>12</v>
      </c>
      <c r="B27" s="10" t="inlineStr">
        <is>
          <t>700件の答案を並べて分かった、たった1つの差</t>
        </is>
      </c>
      <c r="C27" s="6">
        <f>IF(B27="","",LEN(B27))</f>
        <v/>
      </c>
      <c r="D27" s="5">
        <f>IF(B27="","",LEFT(B27,30))</f>
        <v/>
      </c>
      <c r="E27" s="18" t="n"/>
      <c r="F27" s="18" t="n"/>
      <c r="G27" s="18" t="n"/>
      <c r="H27" s="18" t="n">
        <v>5</v>
      </c>
      <c r="I27" s="18" t="n">
        <v>4</v>
      </c>
      <c r="J27" s="18" t="n">
        <v>4</v>
      </c>
      <c r="K27" s="18" t="n">
        <v>3</v>
      </c>
      <c r="L27" s="6">
        <f>IF(COUNT(H27:K27)&lt;4,"",SUM(H27:K27))</f>
        <v/>
      </c>
      <c r="M27" s="6">
        <f>IF(B27="","",IF(COUNTIF(E27:G27,"×")&gt;0,"✕ 足切り",IF(COUNTA(E27:G27)&lt;3,"未チェック","◎ 通過")))</f>
        <v/>
      </c>
      <c r="N27" s="6">
        <f>IF(OR(L27="",M27="✕ 足切り"),"",COUNTIFS($M$16:$M$35,"&lt;&gt;✕ 足切り",$L$16:$L$35,"&gt;"&amp;L27)+1)</f>
        <v/>
      </c>
      <c r="O27" s="18" t="n"/>
      <c r="P27" s="10" t="n"/>
    </row>
    <row r="28" ht="30" customHeight="1">
      <c r="A28" s="6" t="n">
        <v>13</v>
      </c>
      <c r="B28" s="10" t="inlineStr">
        <is>
          <t>IELTSライティング、伸びる人はここを最初に直していた</t>
        </is>
      </c>
      <c r="C28" s="6">
        <f>IF(B28="","",LEN(B28))</f>
        <v/>
      </c>
      <c r="D28" s="5">
        <f>IF(B28="","",LEFT(B28,30))</f>
        <v/>
      </c>
      <c r="E28" s="18" t="n"/>
      <c r="F28" s="18" t="n"/>
      <c r="G28" s="18" t="n"/>
      <c r="H28" s="18" t="n">
        <v>4</v>
      </c>
      <c r="I28" s="18" t="n">
        <v>3</v>
      </c>
      <c r="J28" s="18" t="n">
        <v>4</v>
      </c>
      <c r="K28" s="18" t="n">
        <v>4</v>
      </c>
      <c r="L28" s="6">
        <f>IF(COUNT(H28:K28)&lt;4,"",SUM(H28:K28))</f>
        <v/>
      </c>
      <c r="M28" s="6">
        <f>IF(B28="","",IF(COUNTIF(E28:G28,"×")&gt;0,"✕ 足切り",IF(COUNTA(E28:G28)&lt;3,"未チェック","◎ 通過")))</f>
        <v/>
      </c>
      <c r="N28" s="6">
        <f>IF(OR(L28="",M28="✕ 足切り"),"",COUNTIFS($M$16:$M$35,"&lt;&gt;✕ 足切り",$L$16:$L$35,"&gt;"&amp;L28)+1)</f>
        <v/>
      </c>
      <c r="O28" s="18" t="n"/>
      <c r="P28" s="10" t="n"/>
    </row>
    <row r="29" ht="30" customHeight="1">
      <c r="A29" s="6" t="n">
        <v>14</v>
      </c>
      <c r="B29" s="10" t="inlineStr">
        <is>
          <t>添削700件の生データから、伸びる答案の条件を出してみた</t>
        </is>
      </c>
      <c r="C29" s="6">
        <f>IF(B29="","",LEN(B29))</f>
        <v/>
      </c>
      <c r="D29" s="5">
        <f>IF(B29="","",LEFT(B29,30))</f>
        <v/>
      </c>
      <c r="E29" s="18" t="n"/>
      <c r="F29" s="18" t="n"/>
      <c r="G29" s="18" t="n"/>
      <c r="H29" s="18" t="n">
        <v>4</v>
      </c>
      <c r="I29" s="18" t="n">
        <v>3</v>
      </c>
      <c r="J29" s="18" t="n">
        <v>4</v>
      </c>
      <c r="K29" s="18" t="n">
        <v>4</v>
      </c>
      <c r="L29" s="6">
        <f>IF(COUNT(H29:K29)&lt;4,"",SUM(H29:K29))</f>
        <v/>
      </c>
      <c r="M29" s="6">
        <f>IF(B29="","",IF(COUNTIF(E29:G29,"×")&gt;0,"✕ 足切り",IF(COUNTA(E29:G29)&lt;3,"未チェック","◎ 通過")))</f>
        <v/>
      </c>
      <c r="N29" s="6">
        <f>IF(OR(L29="",M29="✕ 足切り"),"",COUNTIFS($M$16:$M$35,"&lt;&gt;✕ 足切り",$L$16:$L$35,"&gt;"&amp;L29)+1)</f>
        <v/>
      </c>
      <c r="O29" s="18" t="n"/>
      <c r="P29" s="10" t="n"/>
    </row>
    <row r="30" ht="30" customHeight="1">
      <c r="A30" s="6" t="n">
        <v>15</v>
      </c>
      <c r="B30" s="10" t="inlineStr">
        <is>
          <t>「なんとなく書く」をやめたら7.0になった答案の共通点</t>
        </is>
      </c>
      <c r="C30" s="6">
        <f>IF(B30="","",LEN(B30))</f>
        <v/>
      </c>
      <c r="D30" s="5">
        <f>IF(B30="","",LEFT(B30,30))</f>
        <v/>
      </c>
      <c r="E30" s="18" t="n"/>
      <c r="F30" s="18" t="n"/>
      <c r="G30" s="18" t="n"/>
      <c r="H30" s="18" t="n">
        <v>5</v>
      </c>
      <c r="I30" s="18" t="n">
        <v>4</v>
      </c>
      <c r="J30" s="18" t="n">
        <v>4</v>
      </c>
      <c r="K30" s="18" t="n">
        <v>5</v>
      </c>
      <c r="L30" s="6">
        <f>IF(COUNT(H30:K30)&lt;4,"",SUM(H30:K30))</f>
        <v/>
      </c>
      <c r="M30" s="6">
        <f>IF(B30="","",IF(COUNTIF(E30:G30,"×")&gt;0,"✕ 足切り",IF(COUNTA(E30:G30)&lt;3,"未チェック","◎ 通過")))</f>
        <v/>
      </c>
      <c r="N30" s="6">
        <f>IF(OR(L30="",M30="✕ 足切り"),"",COUNTIFS($M$16:$M$35,"&lt;&gt;✕ 足切り",$L$16:$L$35,"&gt;"&amp;L30)+1)</f>
        <v/>
      </c>
      <c r="O30" s="18" t="n"/>
      <c r="P30" s="10" t="n"/>
    </row>
    <row r="31" ht="30" customHeight="1">
      <c r="A31" s="6" t="n">
        <v>16</v>
      </c>
      <c r="B31" s="10" t="inlineStr">
        <is>
          <t>6.5で止まる答案と7.0に届く答案、並べて見せます</t>
        </is>
      </c>
      <c r="C31" s="6">
        <f>IF(B31="","",LEN(B31))</f>
        <v/>
      </c>
      <c r="D31" s="5">
        <f>IF(B31="","",LEFT(B31,30))</f>
        <v/>
      </c>
      <c r="E31" s="18" t="n"/>
      <c r="F31" s="18" t="n"/>
      <c r="G31" s="18" t="n"/>
      <c r="H31" s="18" t="n">
        <v>4</v>
      </c>
      <c r="I31" s="18" t="n">
        <v>4</v>
      </c>
      <c r="J31" s="18" t="n">
        <v>5</v>
      </c>
      <c r="K31" s="18" t="n">
        <v>3</v>
      </c>
      <c r="L31" s="6">
        <f>IF(COUNT(H31:K31)&lt;4,"",SUM(H31:K31))</f>
        <v/>
      </c>
      <c r="M31" s="6">
        <f>IF(B31="","",IF(COUNTIF(E31:G31,"×")&gt;0,"✕ 足切り",IF(COUNTA(E31:G31)&lt;3,"未チェック","◎ 通過")))</f>
        <v/>
      </c>
      <c r="N31" s="6">
        <f>IF(OR(L31="",M31="✕ 足切り"),"",COUNTIFS($M$16:$M$35,"&lt;&gt;✕ 足切り",$L$16:$L$35,"&gt;"&amp;L31)+1)</f>
        <v/>
      </c>
      <c r="O31" s="18" t="n"/>
      <c r="P31" s="10" t="n"/>
    </row>
    <row r="32" ht="30" customHeight="1">
      <c r="A32" s="6" t="n">
        <v>17</v>
      </c>
      <c r="B32" s="10" t="inlineStr">
        <is>
          <t>添削700件で分かった、スコアが跳ねる人の答案の作り方</t>
        </is>
      </c>
      <c r="C32" s="6">
        <f>IF(B32="","",LEN(B32))</f>
        <v/>
      </c>
      <c r="D32" s="5">
        <f>IF(B32="","",LEFT(B32,30))</f>
        <v/>
      </c>
      <c r="E32" s="18" t="n"/>
      <c r="F32" s="18" t="n"/>
      <c r="G32" s="18" t="n"/>
      <c r="H32" s="18" t="n">
        <v>4</v>
      </c>
      <c r="I32" s="18" t="n">
        <v>4</v>
      </c>
      <c r="J32" s="18" t="n">
        <v>4</v>
      </c>
      <c r="K32" s="18" t="n">
        <v>4</v>
      </c>
      <c r="L32" s="6">
        <f>IF(COUNT(H32:K32)&lt;4,"",SUM(H32:K32))</f>
        <v/>
      </c>
      <c r="M32" s="6">
        <f>IF(B32="","",IF(COUNTIF(E32:G32,"×")&gt;0,"✕ 足切り",IF(COUNTA(E32:G32)&lt;3,"未チェック","◎ 通過")))</f>
        <v/>
      </c>
      <c r="N32" s="6">
        <f>IF(OR(L32="",M32="✕ 足切り"),"",COUNTIFS($M$16:$M$35,"&lt;&gt;✕ 足切り",$L$16:$L$35,"&gt;"&amp;L32)+1)</f>
        <v/>
      </c>
      <c r="O32" s="18" t="n"/>
      <c r="P32" s="10" t="n"/>
    </row>
    <row r="33" ht="30" customHeight="1">
      <c r="A33" s="6" t="n">
        <v>18</v>
      </c>
      <c r="B33" s="10" t="inlineStr">
        <is>
          <t>IELTSライティングが伸びないのは、この1文のせいかもしれない</t>
        </is>
      </c>
      <c r="C33" s="6">
        <f>IF(B33="","",LEN(B33))</f>
        <v/>
      </c>
      <c r="D33" s="5">
        <f>IF(B33="","",LEFT(B33,30))</f>
        <v/>
      </c>
      <c r="E33" s="18" t="n"/>
      <c r="F33" s="18" t="n"/>
      <c r="G33" s="18" t="n"/>
      <c r="H33" s="18" t="n">
        <v>5</v>
      </c>
      <c r="I33" s="18" t="n">
        <v>5</v>
      </c>
      <c r="J33" s="18" t="n">
        <v>4</v>
      </c>
      <c r="K33" s="18" t="n">
        <v>4</v>
      </c>
      <c r="L33" s="6">
        <f>IF(COUNT(H33:K33)&lt;4,"",SUM(H33:K33))</f>
        <v/>
      </c>
      <c r="M33" s="6">
        <f>IF(B33="","",IF(COUNTIF(E33:G33,"×")&gt;0,"✕ 足切り",IF(COUNTA(E33:G33)&lt;3,"未チェック","◎ 通過")))</f>
        <v/>
      </c>
      <c r="N33" s="6">
        <f>IF(OR(L33="",M33="✕ 足切り"),"",COUNTIFS($M$16:$M$35,"&lt;&gt;✕ 足切り",$L$16:$L$35,"&gt;"&amp;L33)+1)</f>
        <v/>
      </c>
      <c r="O33" s="18" t="n"/>
      <c r="P33" s="10" t="n"/>
    </row>
    <row r="34" ht="30" customHeight="1">
      <c r="A34" s="6" t="n">
        <v>19</v>
      </c>
      <c r="B34" s="10" t="inlineStr">
        <is>
          <t>700件見て分かった、採点官に伝わる答案の共通点</t>
        </is>
      </c>
      <c r="C34" s="6">
        <f>IF(B34="","",LEN(B34))</f>
        <v/>
      </c>
      <c r="D34" s="5">
        <f>IF(B34="","",LEFT(B34,30))</f>
        <v/>
      </c>
      <c r="E34" s="18" t="n"/>
      <c r="F34" s="18" t="n"/>
      <c r="G34" s="18" t="n"/>
      <c r="H34" s="18" t="n">
        <v>4</v>
      </c>
      <c r="I34" s="18" t="n">
        <v>4</v>
      </c>
      <c r="J34" s="18" t="n">
        <v>5</v>
      </c>
      <c r="K34" s="18" t="n">
        <v>5</v>
      </c>
      <c r="L34" s="6">
        <f>IF(COUNT(H34:K34)&lt;4,"",SUM(H34:K34))</f>
        <v/>
      </c>
      <c r="M34" s="6">
        <f>IF(B34="","",IF(COUNTIF(E34:G34,"×")&gt;0,"✕ 足切り",IF(COUNTA(E34:G34)&lt;3,"未チェック","◎ 通過")))</f>
        <v/>
      </c>
      <c r="N34" s="6">
        <f>IF(OR(L34="",M34="✕ 足切り"),"",COUNTIFS($M$16:$M$35,"&lt;&gt;✕ 足切り",$L$16:$L$35,"&gt;"&amp;L34)+1)</f>
        <v/>
      </c>
      <c r="O34" s="18" t="n"/>
      <c r="P34" s="10" t="n"/>
    </row>
    <row r="35" ht="30" customHeight="1">
      <c r="A35" s="6" t="n">
        <v>20</v>
      </c>
      <c r="B35" s="10" t="inlineStr">
        <is>
          <t>伸びる答案には理由があった。700件の添削から見えた結論</t>
        </is>
      </c>
      <c r="C35" s="6">
        <f>IF(B35="","",LEN(B35))</f>
        <v/>
      </c>
      <c r="D35" s="5">
        <f>IF(B35="","",LEFT(B35,30))</f>
        <v/>
      </c>
      <c r="E35" s="18" t="n"/>
      <c r="F35" s="18" t="n"/>
      <c r="G35" s="18" t="n"/>
      <c r="H35" s="18" t="n">
        <v>4</v>
      </c>
      <c r="I35" s="18" t="n">
        <v>3</v>
      </c>
      <c r="J35" s="18" t="n">
        <v>4</v>
      </c>
      <c r="K35" s="18" t="n">
        <v>4</v>
      </c>
      <c r="L35" s="6">
        <f>IF(COUNT(H35:K35)&lt;4,"",SUM(H35:K35))</f>
        <v/>
      </c>
      <c r="M35" s="6">
        <f>IF(B35="","",IF(COUNTIF(E35:G35,"×")&gt;0,"✕ 足切り",IF(COUNTA(E35:G35)&lt;3,"未チェック","◎ 通過")))</f>
        <v/>
      </c>
      <c r="N35" s="6">
        <f>IF(OR(L35="",M35="✕ 足切り"),"",COUNTIFS($M$16:$M$35,"&lt;&gt;✕ 足切り",$L$16:$L$35,"&gt;"&amp;L35)+1)</f>
        <v/>
      </c>
      <c r="O35" s="18" t="n"/>
      <c r="P35" s="10" t="n"/>
    </row>
    <row r="36">
      <c r="A36" s="19" t="inlineStr">
        <is>
          <t>※字数が40字を超えると赤字（長すぎの目安）。順位は足切りされていない案の中での順位（同点は同順位）。上位3位は紫。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8">
      <c r="A38" s="20" t="inlineStr">
        <is>
          <t>■ サムネ下書き（12案）　足切り：1つでも×なら除外 ／ 採点：1〜5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32" customHeight="1">
      <c r="A39" s="15" t="inlineStr">
        <is>
          <t>No</t>
        </is>
      </c>
      <c r="B39" s="15" t="inlineStr">
        <is>
          <t>コンセプト（何が映っている？）</t>
        </is>
      </c>
      <c r="C39" s="15" t="inlineStr">
        <is>
          <t>型</t>
        </is>
      </c>
      <c r="D39" s="15" t="inlineStr">
        <is>
          <t>主役／ストッパー</t>
        </is>
      </c>
      <c r="E39" s="15" t="inlineStr">
        <is>
          <t>文字</t>
        </is>
      </c>
      <c r="F39" s="15" t="inlineStr">
        <is>
          <t>字数</t>
        </is>
      </c>
      <c r="G39" s="16" t="inlineStr">
        <is>
          <t>①縮小でも
読める</t>
        </is>
      </c>
      <c r="H39" s="16" t="inlineStr">
        <is>
          <t>②主役は
1つ</t>
        </is>
      </c>
      <c r="I39" s="16" t="inlineStr">
        <is>
          <t>③制作
できる</t>
        </is>
      </c>
      <c r="J39" s="17" t="inlineStr">
        <is>
          <t>好奇心</t>
        </is>
      </c>
      <c r="K39" s="17" t="inlineStr">
        <is>
          <t>2秒で
伝わる</t>
        </is>
      </c>
      <c r="L39" s="17" t="inlineStr">
        <is>
          <t>目立つ</t>
        </is>
      </c>
      <c r="M39" s="17" t="inlineStr">
        <is>
          <t>合計
/15</t>
        </is>
      </c>
      <c r="N39" s="15" t="inlineStr">
        <is>
          <t>判定</t>
        </is>
      </c>
      <c r="O39" s="15" t="inlineStr">
        <is>
          <t>順位</t>
        </is>
      </c>
      <c r="P39" s="15" t="inlineStr">
        <is>
          <t>最終判断</t>
        </is>
      </c>
    </row>
    <row r="40" ht="30" customHeight="1">
      <c r="A40" s="6" t="n">
        <v>1</v>
      </c>
      <c r="B40" s="10" t="inlineStr">
        <is>
          <t>左に赤ペンだらけの6.5答案、右にすっきりした7.0の答案</t>
        </is>
      </c>
      <c r="C40" s="18" t="inlineStr">
        <is>
          <t>変身型</t>
        </is>
      </c>
      <c r="D40" s="10" t="inlineStr">
        <is>
          <t>答案2枚／赤ペン</t>
        </is>
      </c>
      <c r="E40" s="18" t="inlineStr">
        <is>
          <t>700件</t>
        </is>
      </c>
      <c r="F40" s="6">
        <f>IF(OR(E40="",E40="なし"),0,LEN(E40))</f>
        <v/>
      </c>
      <c r="G40" s="18" t="n"/>
      <c r="H40" s="18" t="n"/>
      <c r="I40" s="18" t="n"/>
      <c r="J40" s="18" t="n">
        <v>5</v>
      </c>
      <c r="K40" s="18" t="n">
        <v>5</v>
      </c>
      <c r="L40" s="18" t="n">
        <v>4</v>
      </c>
      <c r="M40" s="6">
        <f>IF(COUNT(J40:L40)&lt;3,"",SUM(J40:L40))</f>
        <v/>
      </c>
      <c r="N40" s="6">
        <f>IF(B40="","",IF(COUNTIF(G40:I40,"×")&gt;0,"✕ 足切り",IF(COUNTA(G40:I40)&lt;3,"未チェック","◎ 通過")))</f>
        <v/>
      </c>
      <c r="O40" s="6">
        <f>IF(OR(M40="",N40="✕ 足切り"),"",COUNTIFS($N$40:$N$51,"&lt;&gt;✕ 足切り",$M$40:$M$51,"&gt;"&amp;M40)+1)</f>
        <v/>
      </c>
      <c r="P40" s="18" t="n"/>
    </row>
    <row r="41" ht="30" customHeight="1">
      <c r="A41" s="6" t="n">
        <v>2</v>
      </c>
      <c r="B41" s="10" t="inlineStr">
        <is>
          <t>赤ペンを持つ手と、積み上がった答案の山</t>
        </is>
      </c>
      <c r="C41" s="18" t="inlineStr">
        <is>
          <t>新奇性型</t>
        </is>
      </c>
      <c r="D41" s="10" t="inlineStr">
        <is>
          <t>答案の山／手</t>
        </is>
      </c>
      <c r="E41" s="18" t="inlineStr">
        <is>
          <t>700件</t>
        </is>
      </c>
      <c r="F41" s="6">
        <f>IF(OR(E41="",E41="なし"),0,LEN(E41))</f>
        <v/>
      </c>
      <c r="G41" s="18" t="n"/>
      <c r="H41" s="18" t="n"/>
      <c r="I41" s="18" t="n"/>
      <c r="J41" s="18" t="n">
        <v>4</v>
      </c>
      <c r="K41" s="18" t="n">
        <v>5</v>
      </c>
      <c r="L41" s="18" t="n">
        <v>4</v>
      </c>
      <c r="M41" s="6">
        <f>IF(COUNT(J41:L41)&lt;3,"",SUM(J41:L41))</f>
        <v/>
      </c>
      <c r="N41" s="6">
        <f>IF(B41="","",IF(COUNTIF(G41:I41,"×")&gt;0,"✕ 足切り",IF(COUNTA(G41:I41)&lt;3,"未チェック","◎ 通過")))</f>
        <v/>
      </c>
      <c r="O41" s="6">
        <f>IF(OR(M41="",N41="✕ 足切り"),"",COUNTIFS($N$40:$N$51,"&lt;&gt;✕ 足切り",$M$40:$M$51,"&gt;"&amp;M41)+1)</f>
        <v/>
      </c>
      <c r="P41" s="18" t="n"/>
    </row>
    <row r="42" ht="30" customHeight="1">
      <c r="A42" s="6" t="n">
        <v>3</v>
      </c>
      <c r="B42" s="10" t="inlineStr">
        <is>
          <t>6.5の答案と7.0の答案を並べ、間に大きく対比の矢印</t>
        </is>
      </c>
      <c r="C42" s="18" t="inlineStr">
        <is>
          <t>変身型</t>
        </is>
      </c>
      <c r="D42" s="10" t="inlineStr">
        <is>
          <t>答案／矢印</t>
        </is>
      </c>
      <c r="E42" s="18" t="inlineStr">
        <is>
          <t>ここが違う</t>
        </is>
      </c>
      <c r="F42" s="6">
        <f>IF(OR(E42="",E42="なし"),0,LEN(E42))</f>
        <v/>
      </c>
      <c r="G42" s="18" t="n"/>
      <c r="H42" s="18" t="n"/>
      <c r="I42" s="18" t="n"/>
      <c r="J42" s="18" t="n">
        <v>5</v>
      </c>
      <c r="K42" s="18" t="n">
        <v>4</v>
      </c>
      <c r="L42" s="18" t="n">
        <v>4</v>
      </c>
      <c r="M42" s="6">
        <f>IF(COUNT(J42:L42)&lt;3,"",SUM(J42:L42))</f>
        <v/>
      </c>
      <c r="N42" s="6">
        <f>IF(B42="","",IF(COUNTIF(G42:I42,"×")&gt;0,"✕ 足切り",IF(COUNTA(G42:I42)&lt;3,"未チェック","◎ 通過")))</f>
        <v/>
      </c>
      <c r="O42" s="6">
        <f>IF(OR(M42="",N42="✕ 足切り"),"",COUNTIFS($N$40:$N$51,"&lt;&gt;✕ 足切り",$M$40:$M$51,"&gt;"&amp;M42)+1)</f>
        <v/>
      </c>
      <c r="P42" s="18" t="n"/>
    </row>
    <row r="43" ht="30" customHeight="1">
      <c r="A43" s="6" t="n">
        <v>4</v>
      </c>
      <c r="B43" s="10" t="inlineStr">
        <is>
          <t>答案を見て驚いている本人の表情、背景に答案</t>
        </is>
      </c>
      <c r="C43" s="18" t="inlineStr">
        <is>
          <t>瞬間型</t>
        </is>
      </c>
      <c r="D43" s="10" t="inlineStr">
        <is>
          <t>顔（感情）／答案</t>
        </is>
      </c>
      <c r="E43" s="18" t="inlineStr">
        <is>
          <t>全員同じ</t>
        </is>
      </c>
      <c r="F43" s="6">
        <f>IF(OR(E43="",E43="なし"),0,LEN(E43))</f>
        <v/>
      </c>
      <c r="G43" s="18" t="n"/>
      <c r="H43" s="18" t="n"/>
      <c r="I43" s="18" t="n"/>
      <c r="J43" s="18" t="n">
        <v>5</v>
      </c>
      <c r="K43" s="18" t="n">
        <v>4</v>
      </c>
      <c r="L43" s="18" t="n">
        <v>4</v>
      </c>
      <c r="M43" s="6">
        <f>IF(COUNT(J43:L43)&lt;3,"",SUM(J43:L43))</f>
        <v/>
      </c>
      <c r="N43" s="6">
        <f>IF(B43="","",IF(COUNTIF(G43:I43,"×")&gt;0,"✕ 足切り",IF(COUNTA(G43:I43)&lt;3,"未チェック","◎ 通過")))</f>
        <v/>
      </c>
      <c r="O43" s="6">
        <f>IF(OR(M43="",N43="✕ 足切り"),"",COUNTIFS($N$40:$N$51,"&lt;&gt;✕ 足切り",$M$40:$M$51,"&gt;"&amp;M43)+1)</f>
        <v/>
      </c>
      <c r="P43" s="18" t="n"/>
    </row>
    <row r="44" ht="30" customHeight="1">
      <c r="A44" s="6" t="n">
        <v>5</v>
      </c>
      <c r="B44" s="10" t="inlineStr">
        <is>
          <t>答案の中の1文だけを拡大、赤で線が引かれている</t>
        </is>
      </c>
      <c r="C44" s="18" t="inlineStr">
        <is>
          <t>ストーリー型</t>
        </is>
      </c>
      <c r="D44" s="10" t="inlineStr">
        <is>
          <t>1文／赤線</t>
        </is>
      </c>
      <c r="E44" s="18" t="inlineStr">
        <is>
          <t>この1文</t>
        </is>
      </c>
      <c r="F44" s="6">
        <f>IF(OR(E44="",E44="なし"),0,LEN(E44))</f>
        <v/>
      </c>
      <c r="G44" s="18" t="n"/>
      <c r="H44" s="18" t="n"/>
      <c r="I44" s="18" t="n"/>
      <c r="J44" s="18" t="n">
        <v>4</v>
      </c>
      <c r="K44" s="18" t="n">
        <v>4</v>
      </c>
      <c r="L44" s="18" t="n">
        <v>4</v>
      </c>
      <c r="M44" s="6">
        <f>IF(COUNT(J44:L44)&lt;3,"",SUM(J44:L44))</f>
        <v/>
      </c>
      <c r="N44" s="6">
        <f>IF(B44="","",IF(COUNTIF(G44:I44,"×")&gt;0,"✕ 足切り",IF(COUNTA(G44:I44)&lt;3,"未チェック","◎ 通過")))</f>
        <v/>
      </c>
      <c r="O44" s="6">
        <f>IF(OR(M44="",N44="✕ 足切り"),"",COUNTIFS($N$40:$N$51,"&lt;&gt;✕ 足切り",$M$40:$M$51,"&gt;"&amp;M44)+1)</f>
        <v/>
      </c>
      <c r="P44" s="18" t="n"/>
    </row>
    <row r="45" ht="30" customHeight="1">
      <c r="A45" s="6" t="n">
        <v>6</v>
      </c>
      <c r="B45" s="10" t="inlineStr">
        <is>
          <t>積み上がった答案の山と、その上に置かれたスコア表</t>
        </is>
      </c>
      <c r="C45" s="18" t="inlineStr">
        <is>
          <t>結果型</t>
        </is>
      </c>
      <c r="D45" s="10" t="inlineStr">
        <is>
          <t>スコア表／答案の山</t>
        </is>
      </c>
      <c r="E45" s="18" t="inlineStr">
        <is>
          <t>共通点5つ</t>
        </is>
      </c>
      <c r="F45" s="6">
        <f>IF(OR(E45="",E45="なし"),0,LEN(E45))</f>
        <v/>
      </c>
      <c r="G45" s="18" t="n"/>
      <c r="H45" s="18" t="n"/>
      <c r="I45" s="18" t="n"/>
      <c r="J45" s="18" t="n">
        <v>5</v>
      </c>
      <c r="K45" s="18" t="n">
        <v>5</v>
      </c>
      <c r="L45" s="18" t="n">
        <v>4</v>
      </c>
      <c r="M45" s="6">
        <f>IF(COUNT(J45:L45)&lt;3,"",SUM(J45:L45))</f>
        <v/>
      </c>
      <c r="N45" s="6">
        <f>IF(B45="","",IF(COUNTIF(G45:I45,"×")&gt;0,"✕ 足切り",IF(COUNTA(G45:I45)&lt;3,"未チェック","◎ 通過")))</f>
        <v/>
      </c>
      <c r="O45" s="6">
        <f>IF(OR(M45="",N45="✕ 足切り"),"",COUNTIFS($N$40:$N$51,"&lt;&gt;✕ 足切り",$M$40:$M$51,"&gt;"&amp;M45)+1)</f>
        <v/>
      </c>
      <c r="P45" s="18" t="n"/>
    </row>
    <row r="46" ht="30" customHeight="1">
      <c r="A46" s="6" t="n">
        <v>7</v>
      </c>
      <c r="B46" s="10" t="inlineStr">
        <is>
          <t>上下分割：上の答案は薄くぼやけ、下の答案は鮮明</t>
        </is>
      </c>
      <c r="C46" s="18" t="inlineStr">
        <is>
          <t>変身型</t>
        </is>
      </c>
      <c r="D46" s="10" t="inlineStr">
        <is>
          <t>答案2枚</t>
        </is>
      </c>
      <c r="E46" s="18" t="inlineStr">
        <is>
          <t>伸びる答案</t>
        </is>
      </c>
      <c r="F46" s="6">
        <f>IF(OR(E46="",E46="なし"),0,LEN(E46))</f>
        <v/>
      </c>
      <c r="G46" s="18" t="n"/>
      <c r="H46" s="18" t="n"/>
      <c r="I46" s="18" t="n"/>
      <c r="J46" s="18" t="n">
        <v>5</v>
      </c>
      <c r="K46" s="18" t="n">
        <v>4</v>
      </c>
      <c r="L46" s="18" t="n">
        <v>4</v>
      </c>
      <c r="M46" s="6">
        <f>IF(COUNT(J46:L46)&lt;3,"",SUM(J46:L46))</f>
        <v/>
      </c>
      <c r="N46" s="6">
        <f>IF(B46="","",IF(COUNTIF(G46:I46,"×")&gt;0,"✕ 足切り",IF(COUNTA(G46:I46)&lt;3,"未チェック","◎ 通過")))</f>
        <v/>
      </c>
      <c r="O46" s="6">
        <f>IF(OR(M46="",N46="✕ 足切り"),"",COUNTIFS($N$40:$N$51,"&lt;&gt;✕ 足切り",$M$40:$M$51,"&gt;"&amp;M46)+1)</f>
        <v/>
      </c>
      <c r="P46" s="18" t="n"/>
    </row>
    <row r="47" ht="30" customHeight="1">
      <c r="A47" s="6" t="n">
        <v>8</v>
      </c>
      <c r="B47" s="10" t="inlineStr">
        <is>
          <t>「6.5」と「7.0」の大きな数字だけ、背景に答案を薄く</t>
        </is>
      </c>
      <c r="C47" s="18" t="inlineStr">
        <is>
          <t>結果型</t>
        </is>
      </c>
      <c r="D47" s="10" t="inlineStr">
        <is>
          <t>大きな数字</t>
        </is>
      </c>
      <c r="E47" s="18" t="inlineStr">
        <is>
          <t>なし</t>
        </is>
      </c>
      <c r="F47" s="6">
        <f>IF(OR(E47="",E47="なし"),0,LEN(E47))</f>
        <v/>
      </c>
      <c r="G47" s="18" t="n"/>
      <c r="H47" s="18" t="n"/>
      <c r="I47" s="18" t="n"/>
      <c r="J47" s="18" t="n">
        <v>4</v>
      </c>
      <c r="K47" s="18" t="n">
        <v>5</v>
      </c>
      <c r="L47" s="18" t="n">
        <v>4</v>
      </c>
      <c r="M47" s="6">
        <f>IF(COUNT(J47:L47)&lt;3,"",SUM(J47:L47))</f>
        <v/>
      </c>
      <c r="N47" s="6">
        <f>IF(B47="","",IF(COUNTIF(G47:I47,"×")&gt;0,"✕ 足切り",IF(COUNTA(G47:I47)&lt;3,"未チェック","◎ 通過")))</f>
        <v/>
      </c>
      <c r="O47" s="6">
        <f>IF(OR(M47="",N47="✕ 足切り"),"",COUNTIFS($N$40:$N$51,"&lt;&gt;✕ 足切り",$M$40:$M$51,"&gt;"&amp;M47)+1)</f>
        <v/>
      </c>
      <c r="P47" s="18" t="n"/>
    </row>
    <row r="48" ht="30" customHeight="1">
      <c r="A48" s="6" t="n">
        <v>9</v>
      </c>
      <c r="B48" s="10" t="inlineStr">
        <is>
          <t>答案をめくっている手元のアップ</t>
        </is>
      </c>
      <c r="C48" s="18" t="inlineStr">
        <is>
          <t>瞬間型</t>
        </is>
      </c>
      <c r="D48" s="10" t="inlineStr">
        <is>
          <t>手／答案</t>
        </is>
      </c>
      <c r="E48" s="18" t="inlineStr">
        <is>
          <t>ビフォー</t>
        </is>
      </c>
      <c r="F48" s="6">
        <f>IF(OR(E48="",E48="なし"),0,LEN(E48))</f>
        <v/>
      </c>
      <c r="G48" s="18" t="n"/>
      <c r="H48" s="18" t="n"/>
      <c r="I48" s="18" t="n"/>
      <c r="J48" s="18" t="n">
        <v>4</v>
      </c>
      <c r="K48" s="18" t="n">
        <v>4</v>
      </c>
      <c r="L48" s="18" t="n">
        <v>3</v>
      </c>
      <c r="M48" s="6">
        <f>IF(COUNT(J48:L48)&lt;3,"",SUM(J48:L48))</f>
        <v/>
      </c>
      <c r="N48" s="6">
        <f>IF(B48="","",IF(COUNTIF(G48:I48,"×")&gt;0,"✕ 足切り",IF(COUNTA(G48:I48)&lt;3,"未チェック","◎ 通過")))</f>
        <v/>
      </c>
      <c r="O48" s="6">
        <f>IF(OR(M48="",N48="✕ 足切り"),"",COUNTIFS($N$40:$N$51,"&lt;&gt;✕ 足切り",$M$40:$M$51,"&gt;"&amp;M48)+1)</f>
        <v/>
      </c>
      <c r="P48" s="18" t="n"/>
    </row>
    <row r="49" ht="30" customHeight="1">
      <c r="A49" s="6" t="n">
        <v>10</v>
      </c>
      <c r="B49" s="10" t="inlineStr">
        <is>
          <t>共通点5つをチェックリスト風に並べる</t>
        </is>
      </c>
      <c r="C49" s="18" t="inlineStr">
        <is>
          <t>結果型</t>
        </is>
      </c>
      <c r="D49" s="10" t="inlineStr">
        <is>
          <t>チェックリスト</t>
        </is>
      </c>
      <c r="E49" s="18" t="inlineStr">
        <is>
          <t>5つ</t>
        </is>
      </c>
      <c r="F49" s="6">
        <f>IF(OR(E49="",E49="なし"),0,LEN(E49))</f>
        <v/>
      </c>
      <c r="G49" s="18" t="n"/>
      <c r="H49" s="18" t="n"/>
      <c r="I49" s="18" t="n"/>
      <c r="J49" s="18" t="n">
        <v>4</v>
      </c>
      <c r="K49" s="18" t="n">
        <v>5</v>
      </c>
      <c r="L49" s="18" t="n">
        <v>4</v>
      </c>
      <c r="M49" s="6">
        <f>IF(COUNT(J49:L49)&lt;3,"",SUM(J49:L49))</f>
        <v/>
      </c>
      <c r="N49" s="6">
        <f>IF(B49="","",IF(COUNTIF(G49:I49,"×")&gt;0,"✕ 足切り",IF(COUNTA(G49:I49)&lt;3,"未チェック","◎ 通過")))</f>
        <v/>
      </c>
      <c r="O49" s="6">
        <f>IF(OR(M49="",N49="✕ 足切り"),"",COUNTIFS($N$40:$N$51,"&lt;&gt;✕ 足切り",$M$40:$M$51,"&gt;"&amp;M49)+1)</f>
        <v/>
      </c>
      <c r="P49" s="18" t="n"/>
    </row>
    <row r="50" ht="30" customHeight="1">
      <c r="A50" s="6" t="n">
        <v>11</v>
      </c>
      <c r="B50" s="10" t="inlineStr">
        <is>
          <t>本人のデスクに答案が積まれ、赤ペンが置かれている</t>
        </is>
      </c>
      <c r="C50" s="18" t="inlineStr">
        <is>
          <t>ストーリー型</t>
        </is>
      </c>
      <c r="D50" s="10" t="inlineStr">
        <is>
          <t>デスク／赤ペン</t>
        </is>
      </c>
      <c r="E50" s="18" t="inlineStr">
        <is>
          <t>700件</t>
        </is>
      </c>
      <c r="F50" s="6">
        <f>IF(OR(E50="",E50="なし"),0,LEN(E50))</f>
        <v/>
      </c>
      <c r="G50" s="18" t="n"/>
      <c r="H50" s="18" t="n"/>
      <c r="I50" s="18" t="n"/>
      <c r="J50" s="18" t="n">
        <v>4</v>
      </c>
      <c r="K50" s="18" t="n">
        <v>4</v>
      </c>
      <c r="L50" s="18" t="n">
        <v>3</v>
      </c>
      <c r="M50" s="6">
        <f>IF(COUNT(J50:L50)&lt;3,"",SUM(J50:L50))</f>
        <v/>
      </c>
      <c r="N50" s="6">
        <f>IF(B50="","",IF(COUNTIF(G50:I50,"×")&gt;0,"✕ 足切り",IF(COUNTA(G50:I50)&lt;3,"未チェック","◎ 通過")))</f>
        <v/>
      </c>
      <c r="O50" s="6">
        <f>IF(OR(M50="",N50="✕ 足切り"),"",COUNTIFS($N$40:$N$51,"&lt;&gt;✕ 足切り",$M$40:$M$51,"&gt;"&amp;M50)+1)</f>
        <v/>
      </c>
      <c r="P50" s="18" t="n"/>
    </row>
    <row r="51" ht="30" customHeight="1">
      <c r="A51" s="6" t="n">
        <v>12</v>
      </c>
      <c r="B51" s="10" t="inlineStr">
        <is>
          <t>2枚の答案の間で、本人が指をさしている</t>
        </is>
      </c>
      <c r="C51" s="18" t="inlineStr">
        <is>
          <t>ストーリー型</t>
        </is>
      </c>
      <c r="D51" s="10" t="inlineStr">
        <is>
          <t>人物の指／答案</t>
        </is>
      </c>
      <c r="E51" s="18" t="inlineStr">
        <is>
          <t>ここ</t>
        </is>
      </c>
      <c r="F51" s="6">
        <f>IF(OR(E51="",E51="なし"),0,LEN(E51))</f>
        <v/>
      </c>
      <c r="G51" s="18" t="n"/>
      <c r="H51" s="18" t="n"/>
      <c r="I51" s="18" t="n"/>
      <c r="J51" s="18" t="n">
        <v>4</v>
      </c>
      <c r="K51" s="18" t="n">
        <v>5</v>
      </c>
      <c r="L51" s="18" t="n">
        <v>5</v>
      </c>
      <c r="M51" s="6">
        <f>IF(COUNT(J51:L51)&lt;3,"",SUM(J51:L51))</f>
        <v/>
      </c>
      <c r="N51" s="6">
        <f>IF(B51="","",IF(COUNTIF(G51:I51,"×")&gt;0,"✕ 足切り",IF(COUNTA(G51:I51)&lt;3,"未チェック","◎ 通過")))</f>
        <v/>
      </c>
      <c r="O51" s="6">
        <f>IF(OR(M51="",N51="✕ 足切り"),"",COUNTIFS($N$40:$N$51,"&lt;&gt;✕ 足切り",$M$40:$M$51,"&gt;"&amp;M51)+1)</f>
        <v/>
      </c>
      <c r="P51" s="18" t="n"/>
    </row>
    <row r="52">
      <c r="A52" s="19" t="inlineStr">
        <is>
          <t>※文字の字数が6字を超えると赤字（スマホで読みにくい目安）。「なし」は0字。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11" t="inlineStr">
        <is>
          <t>■ 組み合わせを決める（A／B／C）　タイトルNoとサムネNoを入れると自動で表示・合計。最後に1組だけ「公開用」に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30" customHeight="1">
      <c r="A54" s="21" t="inlineStr">
        <is>
          <t>自動
おすすめ</t>
        </is>
      </c>
      <c r="B54" s="22">
        <f>IFERROR("タイトル No"&amp;INDEX($A$16:$A$35,MATCH(1,$N$16:$N$35,0))&amp;"："&amp;INDEX($B$16:$B$35,MATCH(1,$N$16:$N$35,0)),"（タイトルの足切りを通過した案がありません）")</f>
        <v/>
      </c>
      <c r="C54" s="22">
        <f>IFERROR("サムネ No"&amp;INDEX($A$40:$A$51,MATCH(1,$O$40:$O$51,0))&amp;"："&amp;INDEX($B$40:$B$51,MATCH(1,$O$40:$O$51,0)),"（サムネの足切りを通過した案がありません）")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32" customHeight="1">
      <c r="A55" s="15" t="inlineStr">
        <is>
          <t>組</t>
        </is>
      </c>
      <c r="B55" s="15" t="inlineStr">
        <is>
          <t>タイトル（自動）</t>
        </is>
      </c>
      <c r="C55" s="15" t="inlineStr">
        <is>
          <t>タイトル
No</t>
        </is>
      </c>
      <c r="D55" s="15" t="inlineStr">
        <is>
          <t>サムネ（自動）</t>
        </is>
      </c>
      <c r="E55" s="15" t="inlineStr">
        <is>
          <t>サムネ
No</t>
        </is>
      </c>
      <c r="F55" s="15" t="inlineStr">
        <is>
          <t>①役割分担
できている</t>
        </is>
      </c>
      <c r="G55" s="15" t="inlineStr">
        <is>
          <t>②合わせて
1つの問い</t>
        </is>
      </c>
      <c r="H55" s="15" t="inlineStr">
        <is>
          <t>タイトル
点</t>
        </is>
      </c>
      <c r="I55" s="15" t="inlineStr">
        <is>
          <t>サムネ
点</t>
        </is>
      </c>
      <c r="J55" s="15" t="inlineStr">
        <is>
          <t>合計
/35</t>
        </is>
      </c>
      <c r="K55" s="15" t="inlineStr">
        <is>
          <t>判定</t>
        </is>
      </c>
      <c r="L55" s="15" t="inlineStr">
        <is>
          <t>採用</t>
        </is>
      </c>
      <c r="M55" s="9" t="n"/>
      <c r="N55" s="15" t="inlineStr">
        <is>
          <t>役割分担（タイトルが言うこと／サムネが見せること）</t>
        </is>
      </c>
      <c r="O55" s="9" t="n"/>
      <c r="P55" s="9" t="n"/>
    </row>
    <row r="56" ht="36" customHeight="1">
      <c r="A56" s="23" t="inlineStr">
        <is>
          <t>A</t>
        </is>
      </c>
      <c r="B56" s="5">
        <f>IF(C56="","",IFERROR(INDEX($B$16:$B$35,C56),"No不正"))</f>
        <v/>
      </c>
      <c r="C56" s="18" t="n">
        <v>1</v>
      </c>
      <c r="D56" s="5">
        <f>IF(E56="","",IFERROR(INDEX($B$40:$B$51,E56),"No不正"))</f>
        <v/>
      </c>
      <c r="E56" s="18" t="n">
        <v>6</v>
      </c>
      <c r="F56" s="18" t="n"/>
      <c r="G56" s="18" t="n"/>
      <c r="H56" s="6">
        <f>IF(C56="","",IFERROR(INDEX($L$16:$L$35,C56),""))</f>
        <v/>
      </c>
      <c r="I56" s="6">
        <f>IF(E56="","",IFERROR(INDEX($M$40:$M$51,E56),""))</f>
        <v/>
      </c>
      <c r="J56" s="6">
        <f>IF(OR(H56="",I56=""),"",H56+I56)</f>
        <v/>
      </c>
      <c r="K56" s="6">
        <f>IF(OR(C56="",E56=""),"",IF(OR(IFERROR(INDEX($M$16:$M$35,C56),"")="✕ 足切り",IFERROR(INDEX($N$40:$N$51,E56),"")="✕ 足切り"),"✕ 足切り案を含む",IF(COUNTIF(F56:G56,"×")&gt;0,"✕ 組み合わせNG",IF(COUNTA(F56:G56)&lt;2,"未チェック","◎ 通過"))))</f>
        <v/>
      </c>
      <c r="L56" s="24" t="n"/>
      <c r="M56" s="9" t="n"/>
      <c r="N56" s="10" t="inlineStr">
        <is>
          <t>タイトル＝共通点の存在を伏せる／サムネ＝700件の規模と結果を見せる</t>
        </is>
      </c>
      <c r="O56" s="9" t="n"/>
      <c r="P56" s="9" t="n"/>
    </row>
    <row r="57" ht="36" customHeight="1">
      <c r="A57" s="23" t="inlineStr">
        <is>
          <t>B</t>
        </is>
      </c>
      <c r="B57" s="5">
        <f>IF(C57="","",IFERROR(INDEX($B$16:$B$35,C57),"No不正"))</f>
        <v/>
      </c>
      <c r="C57" s="18" t="n">
        <v>3</v>
      </c>
      <c r="D57" s="5">
        <f>IF(E57="","",IFERROR(INDEX($B$40:$B$51,E57),"No不正"))</f>
        <v/>
      </c>
      <c r="E57" s="18" t="n">
        <v>1</v>
      </c>
      <c r="F57" s="18" t="n"/>
      <c r="G57" s="18" t="n"/>
      <c r="H57" s="6">
        <f>IF(C57="","",IFERROR(INDEX($L$16:$L$35,C57),""))</f>
        <v/>
      </c>
      <c r="I57" s="6">
        <f>IF(E57="","",IFERROR(INDEX($M$40:$M$51,E57),""))</f>
        <v/>
      </c>
      <c r="J57" s="6">
        <f>IF(OR(H57="",I57=""),"",H57+I57)</f>
        <v/>
      </c>
      <c r="K57" s="6">
        <f>IF(OR(C57="",E57=""),"",IF(OR(IFERROR(INDEX($M$16:$M$35,C57),"")="✕ 足切り",IFERROR(INDEX($N$40:$N$51,E57),"")="✕ 足切り"),"✕ 足切り案を含む",IF(COUNTIF(F57:G57,"×")&gt;0,"✕ 組み合わせNG",IF(COUNTA(F57:G57)&lt;2,"未チェック","◎ 通過"))))</f>
        <v/>
      </c>
      <c r="L57" s="24" t="n"/>
      <c r="M57" s="9" t="n"/>
      <c r="N57" s="10" t="inlineStr">
        <is>
          <t>タイトル＝対立を作る／サムネ＝差を1枚で可視化する</t>
        </is>
      </c>
      <c r="O57" s="9" t="n"/>
      <c r="P57" s="9" t="n"/>
    </row>
    <row r="58" ht="36" customHeight="1">
      <c r="A58" s="23" t="inlineStr">
        <is>
          <t>C</t>
        </is>
      </c>
      <c r="B58" s="5">
        <f>IF(C58="","",IFERROR(INDEX($B$16:$B$35,C58),"No不正"))</f>
        <v/>
      </c>
      <c r="C58" s="18" t="n">
        <v>16</v>
      </c>
      <c r="D58" s="5">
        <f>IF(E58="","",IFERROR(INDEX($B$40:$B$51,E58),"No不正"))</f>
        <v/>
      </c>
      <c r="E58" s="18" t="n">
        <v>7</v>
      </c>
      <c r="F58" s="18" t="n"/>
      <c r="G58" s="18" t="n"/>
      <c r="H58" s="6">
        <f>IF(C58="","",IFERROR(INDEX($L$16:$L$35,C58),""))</f>
        <v/>
      </c>
      <c r="I58" s="6">
        <f>IF(E58="","",IFERROR(INDEX($M$40:$M$51,E58),""))</f>
        <v/>
      </c>
      <c r="J58" s="6">
        <f>IF(OR(H58="",I58=""),"",H58+I58)</f>
        <v/>
      </c>
      <c r="K58" s="6">
        <f>IF(OR(C58="",E58=""),"",IF(OR(IFERROR(INDEX($M$16:$M$35,C58),"")="✕ 足切り",IFERROR(INDEX($N$40:$N$51,E58),"")="✕ 足切り"),"✕ 足切り案を含む",IF(COUNTIF(F58:G58,"×")&gt;0,"✕ 組み合わせNG",IF(COUNTA(F58:G58)&lt;2,"未チェック","◎ 通過"))))</f>
        <v/>
      </c>
      <c r="L58" s="24" t="n"/>
      <c r="M58" s="9" t="n"/>
      <c r="N58" s="10" t="inlineStr">
        <is>
          <t>タイトル＝比較を明言／サムネ＝変化の方向を見せる</t>
        </is>
      </c>
      <c r="O58" s="9" t="n"/>
      <c r="P58" s="9" t="n"/>
    </row>
    <row r="59">
      <c r="A59" s="25">
        <f>IF(COUNTIF(L56:L58,"公開用")&gt;1,"⚠ 「公開用」が2組以上あります。1組に絞ってください","")</f>
        <v/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19" t="inlineStr">
        <is>
          <t>※公開後に伸びなければ「差し替え用」の組に入れ替えてテストする。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</sheetData>
  <mergeCells count="35">
    <mergeCell ref="A14:P14"/>
    <mergeCell ref="N58:P58"/>
    <mergeCell ref="A11:B11"/>
    <mergeCell ref="C6:P6"/>
    <mergeCell ref="A53:P53"/>
    <mergeCell ref="L57:M57"/>
    <mergeCell ref="A38:P38"/>
    <mergeCell ref="C5:P5"/>
    <mergeCell ref="A52:P52"/>
    <mergeCell ref="A6:B6"/>
    <mergeCell ref="A10:P10"/>
    <mergeCell ref="N57:P57"/>
    <mergeCell ref="A7:B7"/>
    <mergeCell ref="C4:P4"/>
    <mergeCell ref="C54:P54"/>
    <mergeCell ref="A59:P59"/>
    <mergeCell ref="L55:M55"/>
    <mergeCell ref="A12:B12"/>
    <mergeCell ref="A60:P60"/>
    <mergeCell ref="A36:P36"/>
    <mergeCell ref="L58:M58"/>
    <mergeCell ref="A1:P1"/>
    <mergeCell ref="C12:P12"/>
    <mergeCell ref="A5:B5"/>
    <mergeCell ref="C11:P11"/>
    <mergeCell ref="N55:P55"/>
    <mergeCell ref="A8:B8"/>
    <mergeCell ref="A4:B4"/>
    <mergeCell ref="L56:M56"/>
    <mergeCell ref="C8:P8"/>
    <mergeCell ref="C7:P7"/>
    <mergeCell ref="A13:B13"/>
    <mergeCell ref="N56:P56"/>
    <mergeCell ref="C13:P13"/>
    <mergeCell ref="A2:P2"/>
  </mergeCells>
  <conditionalFormatting sqref="E16:G35">
    <cfRule type="expression" priority="1" dxfId="1">
      <formula>E16="○"</formula>
    </cfRule>
    <cfRule type="expression" priority="2" dxfId="2">
      <formula>E16="×"</formula>
    </cfRule>
  </conditionalFormatting>
  <conditionalFormatting sqref="M16:M35">
    <cfRule type="expression" priority="3" dxfId="1">
      <formula>LEFT($M16,1)="◎"</formula>
    </cfRule>
    <cfRule type="expression" priority="4" dxfId="2">
      <formula>LEFT($M16,1)="✕"</formula>
    </cfRule>
    <cfRule type="expression" priority="5" dxfId="3">
      <formula>LEFT($M16,1)="未"</formula>
    </cfRule>
  </conditionalFormatting>
  <conditionalFormatting sqref="C16:C35">
    <cfRule type="expression" priority="6" dxfId="4">
      <formula>AND(C16&lt;&gt;"",C16&gt;40)</formula>
    </cfRule>
  </conditionalFormatting>
  <conditionalFormatting sqref="N16:N35">
    <cfRule type="expression" priority="7" dxfId="5">
      <formula>AND(N16&lt;&gt;"",N16&lt;=3)</formula>
    </cfRule>
  </conditionalFormatting>
  <conditionalFormatting sqref="A16:P35">
    <cfRule type="expression" priority="8" dxfId="6">
      <formula>$O16="ボツ"</formula>
    </cfRule>
  </conditionalFormatting>
  <conditionalFormatting sqref="G40:I51">
    <cfRule type="expression" priority="9" dxfId="1">
      <formula>G40="○"</formula>
    </cfRule>
    <cfRule type="expression" priority="10" dxfId="2">
      <formula>G40="×"</formula>
    </cfRule>
  </conditionalFormatting>
  <conditionalFormatting sqref="N40:N51">
    <cfRule type="expression" priority="11" dxfId="1">
      <formula>LEFT($N40,1)="◎"</formula>
    </cfRule>
    <cfRule type="expression" priority="12" dxfId="2">
      <formula>LEFT($N40,1)="✕"</formula>
    </cfRule>
    <cfRule type="expression" priority="13" dxfId="3">
      <formula>LEFT($N40,1)="未"</formula>
    </cfRule>
  </conditionalFormatting>
  <conditionalFormatting sqref="F40:F51">
    <cfRule type="expression" priority="14" dxfId="4">
      <formula>F40&gt;6</formula>
    </cfRule>
  </conditionalFormatting>
  <conditionalFormatting sqref="O40:O51">
    <cfRule type="expression" priority="15" dxfId="5">
      <formula>AND(O40&lt;&gt;"",O40&lt;=3)</formula>
    </cfRule>
  </conditionalFormatting>
  <conditionalFormatting sqref="A40:P51">
    <cfRule type="expression" priority="16" dxfId="6">
      <formula>$P40="ボツ"</formula>
    </cfRule>
  </conditionalFormatting>
  <conditionalFormatting sqref="F56:G58">
    <cfRule type="expression" priority="17" dxfId="1">
      <formula>F56="○"</formula>
    </cfRule>
    <cfRule type="expression" priority="18" dxfId="2">
      <formula>F56="×"</formula>
    </cfRule>
  </conditionalFormatting>
  <conditionalFormatting sqref="K56:K58">
    <cfRule type="expression" priority="19" dxfId="1">
      <formula>LEFT($K56,1)="◎"</formula>
    </cfRule>
    <cfRule type="expression" priority="20" dxfId="2">
      <formula>LEFT($K56,1)="✕"</formula>
    </cfRule>
    <cfRule type="expression" priority="21" dxfId="3">
      <formula>LEFT($K56,1)="未"</formula>
    </cfRule>
  </conditionalFormatting>
  <conditionalFormatting sqref="L56:M58">
    <cfRule type="expression" priority="22" dxfId="7">
      <formula>$L56="公開用"</formula>
    </cfRule>
  </conditionalFormatting>
  <dataValidations count="10">
    <dataValidation sqref="E16:G35" showDropDown="0" showInputMessage="0" showErrorMessage="0" allowBlank="1" type="list">
      <formula1>"○,×"</formula1>
    </dataValidation>
    <dataValidation sqref="H16:K35" showDropDown="0" showInputMessage="0" showErrorMessage="0" allowBlank="1" type="whole" operator="between">
      <formula1>1</formula1>
      <formula2>5</formula2>
    </dataValidation>
    <dataValidation sqref="O16:O35" showDropDown="0" showInputMessage="0" showErrorMessage="0" allowBlank="1" type="list">
      <formula1>"本命,差し替え候補,保留,ボツ"</formula1>
    </dataValidation>
    <dataValidation sqref="G40:I51" showDropDown="0" showInputMessage="0" showErrorMessage="0" allowBlank="1" type="list">
      <formula1>"○,×"</formula1>
    </dataValidation>
    <dataValidation sqref="J40:L51" showDropDown="0" showInputMessage="0" showErrorMessage="0" allowBlank="1" type="whole" operator="between">
      <formula1>1</formula1>
      <formula2>5</formula2>
    </dataValidation>
    <dataValidation sqref="P40:P51" showDropDown="0" showInputMessage="0" showErrorMessage="0" allowBlank="1" type="list">
      <formula1>"本命,差し替え候補,保留,ボツ"</formula1>
    </dataValidation>
    <dataValidation sqref="C56:C58" showDropDown="0" showInputMessage="0" showErrorMessage="0" allowBlank="1" type="whole" operator="between">
      <formula1>1</formula1>
      <formula2>20</formula2>
    </dataValidation>
    <dataValidation sqref="E56:E58" showDropDown="0" showInputMessage="0" showErrorMessage="0" allowBlank="1" type="whole" operator="between">
      <formula1>1</formula1>
      <formula2>12</formula2>
    </dataValidation>
    <dataValidation sqref="F56:G58" showDropDown="0" showInputMessage="0" showErrorMessage="0" allowBlank="1" type="list">
      <formula1>"○,×"</formula1>
    </dataValidation>
    <dataValidation sqref="L56:L58" showDropDown="0" showInputMessage="0" showErrorMessage="0" allowBlank="1" type="list">
      <formula1>"公開用,差し替え用,ボツ"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" customWidth="1" min="3" max="3"/>
    <col width="30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7" customWidth="1" min="14" max="14"/>
    <col width="11" customWidth="1" min="15" max="15"/>
    <col width="24" customWidth="1" min="16" max="16"/>
    <col width="4" customWidth="1" min="17" max="17"/>
  </cols>
  <sheetData>
    <row r="1">
      <c r="A1" s="1" t="inlineStr">
        <is>
          <t>タイトル・サムネ決定シート｜② 30代・アラサーの年齢不安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30" customHeight="1">
      <c r="A2" s="2" t="inlineStr">
        <is>
          <t>手順：❶タイトル足切り（○/×）→ ❷タイトル採点（1〜5）→ ❸サムネ足切り → ❹サムネ採点 → ❺上位からA/B/Cの組み合わせを作る → ❻1組だけ「公開用」にする。黄色セルだけ入力、他は自動。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4" ht="18" customHeight="1">
      <c r="A4" s="8" t="inlineStr">
        <is>
          <t>動画のテーマ</t>
        </is>
      </c>
      <c r="B4" s="9" t="n"/>
      <c r="C4" s="10" t="inlineStr">
        <is>
          <t>社会人の大学院留学｜30代・アラサーの年齢不安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8" customHeight="1">
      <c r="A5" s="8" t="inlineStr">
        <is>
          <t>好奇心の型</t>
        </is>
      </c>
      <c r="B5" s="9" t="n"/>
      <c r="C5" s="10" t="inlineStr">
        <is>
          <t>ストーリー型（緊張・問い）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8" customHeight="1">
      <c r="A6" s="8" t="inlineStr">
        <is>
          <t>伏せる情報（答え）</t>
        </is>
      </c>
      <c r="B6" s="9" t="n"/>
      <c r="C6" s="10" t="inlineStr">
        <is>
          <t>30代でも間に合った理由／実際どうだったかの中身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30" customHeight="1">
      <c r="A7" s="8" t="inlineStr">
        <is>
          <t>借りる要素（アウトライヤー）</t>
        </is>
      </c>
      <c r="B7" s="9" t="n"/>
      <c r="C7" s="10" t="inlineStr">
        <is>
          <t>自チャンネル最大アウトライアー「アラサー留学はもう遅い？」1,942回の構図 → 借りるのは1つ：『問いを立てて、顔で感情を見せる構図』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8" customHeight="1">
      <c r="A8" s="8" t="inlineStr">
        <is>
          <t>ストッパー（1〜2個）</t>
        </is>
      </c>
      <c r="B8" s="9" t="n"/>
      <c r="C8" s="10" t="inlineStr">
        <is>
          <t>顔（感情）／大きな数字（30代）／問いの吹き出し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10">
      <c r="A10" s="11" t="inlineStr">
        <is>
          <t>■ 決定（自動）：下の組み合わせで「公開用」を選んだものが表示されます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24" customHeight="1">
      <c r="A11" s="12" t="inlineStr">
        <is>
          <t>公開するタイトル</t>
        </is>
      </c>
      <c r="B11" s="9" t="n"/>
      <c r="C11" s="13">
        <f>IFERROR(INDEX($B$56:$B$58,MATCH("公開用",$L$56:$L$58,0)),"未決定（組み合わせ表で「公開用」を選んでください）")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24" customHeight="1">
      <c r="A12" s="12" t="inlineStr">
        <is>
          <t>公開するサムネ</t>
        </is>
      </c>
      <c r="B12" s="9" t="n"/>
      <c r="C12" s="13">
        <f>IFERROR(INDEX($D$56:$D$58,MATCH("公開用",$L$56:$L$58,0)),"未決定")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24" customHeight="1">
      <c r="A13" s="12" t="inlineStr">
        <is>
          <t>差し替え用</t>
        </is>
      </c>
      <c r="B13" s="9" t="n"/>
      <c r="C13" s="4">
        <f>COUNTIF($L$56:$L$58,"差し替え用")&amp;" 組"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14" t="inlineStr">
        <is>
          <t>■ タイトル案（20案）　足切り：1つでも×なら除外 ／ 採点：1〜5（5が最高）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32" customHeight="1">
      <c r="A15" s="15" t="inlineStr">
        <is>
          <t>No</t>
        </is>
      </c>
      <c r="B15" s="15" t="inlineStr">
        <is>
          <t>タイトル案</t>
        </is>
      </c>
      <c r="C15" s="15" t="inlineStr">
        <is>
          <t>字数</t>
        </is>
      </c>
      <c r="D15" s="15" t="inlineStr">
        <is>
          <t>スマホで見える前半30字</t>
        </is>
      </c>
      <c r="E15" s="16" t="inlineStr">
        <is>
          <t>①中身と
一致</t>
        </is>
      </c>
      <c r="F15" s="16" t="inlineStr">
        <is>
          <t>②答えを
伏せる</t>
        </is>
      </c>
      <c r="G15" s="16" t="inlineStr">
        <is>
          <t>③30字で
伝わる</t>
        </is>
      </c>
      <c r="H15" s="17" t="inlineStr">
        <is>
          <t>好奇心</t>
        </is>
      </c>
      <c r="I15" s="17" t="inlineStr">
        <is>
          <t>強い言葉</t>
        </is>
      </c>
      <c r="J15" s="17" t="inlineStr">
        <is>
          <t>分かり
やすさ</t>
        </is>
      </c>
      <c r="K15" s="17" t="inlineStr">
        <is>
          <t>サムネと
重複しない</t>
        </is>
      </c>
      <c r="L15" s="17" t="inlineStr">
        <is>
          <t>合計
/20</t>
        </is>
      </c>
      <c r="M15" s="15" t="inlineStr">
        <is>
          <t>判定</t>
        </is>
      </c>
      <c r="N15" s="15" t="inlineStr">
        <is>
          <t>順位</t>
        </is>
      </c>
      <c r="O15" s="15" t="inlineStr">
        <is>
          <t>最終判断</t>
        </is>
      </c>
      <c r="P15" s="15" t="inlineStr">
        <is>
          <t>メモ</t>
        </is>
      </c>
    </row>
    <row r="16" ht="30" customHeight="1">
      <c r="A16" s="6" t="n">
        <v>1</v>
      </c>
      <c r="B16" s="10" t="inlineStr">
        <is>
          <t>30代で大学院留学して、後悔したこととしなかったこと</t>
        </is>
      </c>
      <c r="C16" s="6">
        <f>IF(B16="","",LEN(B16))</f>
        <v/>
      </c>
      <c r="D16" s="5">
        <f>IF(B16="","",LEFT(B16,30))</f>
        <v/>
      </c>
      <c r="E16" s="18" t="n"/>
      <c r="F16" s="18" t="n"/>
      <c r="G16" s="18" t="n"/>
      <c r="H16" s="18" t="n">
        <v>5</v>
      </c>
      <c r="I16" s="18" t="n">
        <v>4</v>
      </c>
      <c r="J16" s="18" t="n">
        <v>5</v>
      </c>
      <c r="K16" s="18" t="n">
        <v>4</v>
      </c>
      <c r="L16" s="6">
        <f>IF(COUNT(H16:K16)&lt;4,"",SUM(H16:K16))</f>
        <v/>
      </c>
      <c r="M16" s="6">
        <f>IF(B16="","",IF(COUNTIF(E16:G16,"×")&gt;0,"✕ 足切り",IF(COUNTA(E16:G16)&lt;3,"未チェック","◎ 通過")))</f>
        <v/>
      </c>
      <c r="N16" s="6">
        <f>IF(OR(L16="",M16="✕ 足切り"),"",COUNTIFS($M$16:$M$35,"&lt;&gt;✕ 足切り",$L$16:$L$35,"&gt;"&amp;L16)+1)</f>
        <v/>
      </c>
      <c r="O16" s="18" t="n"/>
      <c r="P16" s="10" t="n"/>
    </row>
    <row r="17" ht="30" customHeight="1">
      <c r="A17" s="6" t="n">
        <v>2</v>
      </c>
      <c r="B17" s="10" t="inlineStr">
        <is>
          <t>アラサー留学はもう遅い？実際に行った私の答え</t>
        </is>
      </c>
      <c r="C17" s="6">
        <f>IF(B17="","",LEN(B17))</f>
        <v/>
      </c>
      <c r="D17" s="5">
        <f>IF(B17="","",LEFT(B17,30))</f>
        <v/>
      </c>
      <c r="E17" s="18" t="n"/>
      <c r="F17" s="18" t="n"/>
      <c r="G17" s="18" t="n"/>
      <c r="H17" s="18" t="n">
        <v>5</v>
      </c>
      <c r="I17" s="18" t="n">
        <v>5</v>
      </c>
      <c r="J17" s="18" t="n">
        <v>5</v>
      </c>
      <c r="K17" s="18" t="n">
        <v>3</v>
      </c>
      <c r="L17" s="6">
        <f>IF(COUNT(H17:K17)&lt;4,"",SUM(H17:K17))</f>
        <v/>
      </c>
      <c r="M17" s="6">
        <f>IF(B17="","",IF(COUNTIF(E17:G17,"×")&gt;0,"✕ 足切り",IF(COUNTA(E17:G17)&lt;3,"未チェック","◎ 通過")))</f>
        <v/>
      </c>
      <c r="N17" s="6">
        <f>IF(OR(L17="",M17="✕ 足切り"),"",COUNTIFS($M$16:$M$35,"&lt;&gt;✕ 足切り",$L$16:$L$35,"&gt;"&amp;L17)+1)</f>
        <v/>
      </c>
      <c r="O17" s="18" t="n"/>
      <c r="P17" s="10" t="n"/>
    </row>
    <row r="18" ht="30" customHeight="1">
      <c r="A18" s="6" t="n">
        <v>3</v>
      </c>
      <c r="B18" s="10" t="inlineStr">
        <is>
          <t>30代でイギリス大学院に行って分かった、年齢の本当の壁</t>
        </is>
      </c>
      <c r="C18" s="6">
        <f>IF(B18="","",LEN(B18))</f>
        <v/>
      </c>
      <c r="D18" s="5">
        <f>IF(B18="","",LEFT(B18,30))</f>
        <v/>
      </c>
      <c r="E18" s="18" t="n"/>
      <c r="F18" s="18" t="n"/>
      <c r="G18" s="18" t="n"/>
      <c r="H18" s="18" t="n">
        <v>5</v>
      </c>
      <c r="I18" s="18" t="n">
        <v>4</v>
      </c>
      <c r="J18" s="18" t="n">
        <v>4</v>
      </c>
      <c r="K18" s="18" t="n">
        <v>4</v>
      </c>
      <c r="L18" s="6">
        <f>IF(COUNT(H18:K18)&lt;4,"",SUM(H18:K18))</f>
        <v/>
      </c>
      <c r="M18" s="6">
        <f>IF(B18="","",IF(COUNTIF(E18:G18,"×")&gt;0,"✕ 足切り",IF(COUNTA(E18:G18)&lt;3,"未チェック","◎ 通過")))</f>
        <v/>
      </c>
      <c r="N18" s="6">
        <f>IF(OR(L18="",M18="✕ 足切り"),"",COUNTIFS($M$16:$M$35,"&lt;&gt;✕ 足切り",$L$16:$L$35,"&gt;"&amp;L18)+1)</f>
        <v/>
      </c>
      <c r="O18" s="18" t="n"/>
      <c r="P18" s="10" t="n"/>
    </row>
    <row r="19" ht="30" customHeight="1">
      <c r="A19" s="6" t="n">
        <v>4</v>
      </c>
      <c r="B19" s="10" t="inlineStr">
        <is>
          <t>「今からでも間に合う？」30代留学の現実を全部話します</t>
        </is>
      </c>
      <c r="C19" s="6">
        <f>IF(B19="","",LEN(B19))</f>
        <v/>
      </c>
      <c r="D19" s="5">
        <f>IF(B19="","",LEFT(B19,30))</f>
        <v/>
      </c>
      <c r="E19" s="18" t="n"/>
      <c r="F19" s="18" t="n"/>
      <c r="G19" s="18" t="n"/>
      <c r="H19" s="18" t="n">
        <v>4</v>
      </c>
      <c r="I19" s="18" t="n">
        <v>3</v>
      </c>
      <c r="J19" s="18" t="n">
        <v>5</v>
      </c>
      <c r="K19" s="18" t="n">
        <v>4</v>
      </c>
      <c r="L19" s="6">
        <f>IF(COUNT(H19:K19)&lt;4,"",SUM(H19:K19))</f>
        <v/>
      </c>
      <c r="M19" s="6">
        <f>IF(B19="","",IF(COUNTIF(E19:G19,"×")&gt;0,"✕ 足切り",IF(COUNTA(E19:G19)&lt;3,"未チェック","◎ 通過")))</f>
        <v/>
      </c>
      <c r="N19" s="6">
        <f>IF(OR(L19="",M19="✕ 足切り"),"",COUNTIFS($M$16:$M$35,"&lt;&gt;✕ 足切り",$L$16:$L$35,"&gt;"&amp;L19)+1)</f>
        <v/>
      </c>
      <c r="O19" s="18" t="n"/>
      <c r="P19" s="10" t="n"/>
    </row>
    <row r="20" ht="30" customHeight="1">
      <c r="A20" s="6" t="n">
        <v>5</v>
      </c>
      <c r="B20" s="10" t="inlineStr">
        <is>
          <t>30代・社会人から大学院留学した私が、一番怖かったこと</t>
        </is>
      </c>
      <c r="C20" s="6">
        <f>IF(B20="","",LEN(B20))</f>
        <v/>
      </c>
      <c r="D20" s="5">
        <f>IF(B20="","",LEFT(B20,30))</f>
        <v/>
      </c>
      <c r="E20" s="18" t="n"/>
      <c r="F20" s="18" t="n"/>
      <c r="G20" s="18" t="n"/>
      <c r="H20" s="18" t="n">
        <v>5</v>
      </c>
      <c r="I20" s="18" t="n">
        <v>4</v>
      </c>
      <c r="J20" s="18" t="n">
        <v>4</v>
      </c>
      <c r="K20" s="18" t="n">
        <v>4</v>
      </c>
      <c r="L20" s="6">
        <f>IF(COUNT(H20:K20)&lt;4,"",SUM(H20:K20))</f>
        <v/>
      </c>
      <c r="M20" s="6">
        <f>IF(B20="","",IF(COUNTIF(E20:G20,"×")&gt;0,"✕ 足切り",IF(COUNTA(E20:G20)&lt;3,"未チェック","◎ 通過")))</f>
        <v/>
      </c>
      <c r="N20" s="6">
        <f>IF(OR(L20="",M20="✕ 足切り"),"",COUNTIFS($M$16:$M$35,"&lt;&gt;✕ 足切り",$L$16:$L$35,"&gt;"&amp;L20)+1)</f>
        <v/>
      </c>
      <c r="O20" s="18" t="n"/>
      <c r="P20" s="10" t="n"/>
    </row>
    <row r="21" ht="30" customHeight="1">
      <c r="A21" s="6" t="n">
        <v>6</v>
      </c>
      <c r="B21" s="10" t="inlineStr">
        <is>
          <t>20代と30代、大学院留学で何が違ったか正直に比べます</t>
        </is>
      </c>
      <c r="C21" s="6">
        <f>IF(B21="","",LEN(B21))</f>
        <v/>
      </c>
      <c r="D21" s="5">
        <f>IF(B21="","",LEFT(B21,30))</f>
        <v/>
      </c>
      <c r="E21" s="18" t="n"/>
      <c r="F21" s="18" t="n"/>
      <c r="G21" s="18" t="n"/>
      <c r="H21" s="18" t="n">
        <v>5</v>
      </c>
      <c r="I21" s="18" t="n">
        <v>4</v>
      </c>
      <c r="J21" s="18" t="n">
        <v>5</v>
      </c>
      <c r="K21" s="18" t="n">
        <v>3</v>
      </c>
      <c r="L21" s="6">
        <f>IF(COUNT(H21:K21)&lt;4,"",SUM(H21:K21))</f>
        <v/>
      </c>
      <c r="M21" s="6">
        <f>IF(B21="","",IF(COUNTIF(E21:G21,"×")&gt;0,"✕ 足切り",IF(COUNTA(E21:G21)&lt;3,"未チェック","◎ 通過")))</f>
        <v/>
      </c>
      <c r="N21" s="6">
        <f>IF(OR(L21="",M21="✕ 足切り"),"",COUNTIFS($M$16:$M$35,"&lt;&gt;✕ 足切り",$L$16:$L$35,"&gt;"&amp;L21)+1)</f>
        <v/>
      </c>
      <c r="O21" s="18" t="n"/>
      <c r="P21" s="10" t="n"/>
    </row>
    <row r="22" ht="30" customHeight="1">
      <c r="A22" s="6" t="n">
        <v>7</v>
      </c>
      <c r="B22" s="10" t="inlineStr">
        <is>
          <t>30代で大学院に行くのは遅いのか。結論から話します</t>
        </is>
      </c>
      <c r="C22" s="6">
        <f>IF(B22="","",LEN(B22))</f>
        <v/>
      </c>
      <c r="D22" s="5">
        <f>IF(B22="","",LEFT(B22,30))</f>
        <v/>
      </c>
      <c r="E22" s="18" t="n"/>
      <c r="F22" s="18" t="n"/>
      <c r="G22" s="18" t="n"/>
      <c r="H22" s="18" t="n">
        <v>5</v>
      </c>
      <c r="I22" s="18" t="n">
        <v>4</v>
      </c>
      <c r="J22" s="18" t="n">
        <v>5</v>
      </c>
      <c r="K22" s="18" t="n">
        <v>4</v>
      </c>
      <c r="L22" s="6">
        <f>IF(COUNT(H22:K22)&lt;4,"",SUM(H22:K22))</f>
        <v/>
      </c>
      <c r="M22" s="6">
        <f>IF(B22="","",IF(COUNTIF(E22:G22,"×")&gt;0,"✕ 足切り",IF(COUNTA(E22:G22)&lt;3,"未チェック","◎ 通過")))</f>
        <v/>
      </c>
      <c r="N22" s="6">
        <f>IF(OR(L22="",M22="✕ 足切り"),"",COUNTIFS($M$16:$M$35,"&lt;&gt;✕ 足切り",$L$16:$L$35,"&gt;"&amp;L22)+1)</f>
        <v/>
      </c>
      <c r="O22" s="18" t="n"/>
      <c r="P22" s="10" t="n"/>
    </row>
    <row r="23" ht="30" customHeight="1">
      <c r="A23" s="6" t="n">
        <v>8</v>
      </c>
      <c r="B23" s="10" t="inlineStr">
        <is>
          <t>年齢を理由に留学を諦める前に、知っておいてほしいこと</t>
        </is>
      </c>
      <c r="C23" s="6">
        <f>IF(B23="","",LEN(B23))</f>
        <v/>
      </c>
      <c r="D23" s="5">
        <f>IF(B23="","",LEFT(B23,30))</f>
        <v/>
      </c>
      <c r="E23" s="18" t="n"/>
      <c r="F23" s="18" t="n"/>
      <c r="G23" s="18" t="n"/>
      <c r="H23" s="18" t="n">
        <v>4</v>
      </c>
      <c r="I23" s="18" t="n">
        <v>4</v>
      </c>
      <c r="J23" s="18" t="n">
        <v>5</v>
      </c>
      <c r="K23" s="18" t="n">
        <v>5</v>
      </c>
      <c r="L23" s="6">
        <f>IF(COUNT(H23:K23)&lt;4,"",SUM(H23:K23))</f>
        <v/>
      </c>
      <c r="M23" s="6">
        <f>IF(B23="","",IF(COUNTIF(E23:G23,"×")&gt;0,"✕ 足切り",IF(COUNTA(E23:G23)&lt;3,"未チェック","◎ 通過")))</f>
        <v/>
      </c>
      <c r="N23" s="6">
        <f>IF(OR(L23="",M23="✕ 足切り"),"",COUNTIFS($M$16:$M$35,"&lt;&gt;✕ 足切り",$L$16:$L$35,"&gt;"&amp;L23)+1)</f>
        <v/>
      </c>
      <c r="O23" s="18" t="n"/>
      <c r="P23" s="10" t="n"/>
    </row>
    <row r="24" ht="30" customHeight="1">
      <c r="A24" s="6" t="n">
        <v>9</v>
      </c>
      <c r="B24" s="10" t="inlineStr">
        <is>
          <t>30代で留学した私が「もっと早く」と思わなかった理由</t>
        </is>
      </c>
      <c r="C24" s="6">
        <f>IF(B24="","",LEN(B24))</f>
        <v/>
      </c>
      <c r="D24" s="5">
        <f>IF(B24="","",LEFT(B24,30))</f>
        <v/>
      </c>
      <c r="E24" s="18" t="n"/>
      <c r="F24" s="18" t="n"/>
      <c r="G24" s="18" t="n"/>
      <c r="H24" s="18" t="n">
        <v>5</v>
      </c>
      <c r="I24" s="18" t="n">
        <v>4</v>
      </c>
      <c r="J24" s="18" t="n">
        <v>4</v>
      </c>
      <c r="K24" s="18" t="n">
        <v>4</v>
      </c>
      <c r="L24" s="6">
        <f>IF(COUNT(H24:K24)&lt;4,"",SUM(H24:K24))</f>
        <v/>
      </c>
      <c r="M24" s="6">
        <f>IF(B24="","",IF(COUNTIF(E24:G24,"×")&gt;0,"✕ 足切り",IF(COUNTA(E24:G24)&lt;3,"未チェック","◎ 通過")))</f>
        <v/>
      </c>
      <c r="N24" s="6">
        <f>IF(OR(L24="",M24="✕ 足切り"),"",COUNTIFS($M$16:$M$35,"&lt;&gt;✕ 足切り",$L$16:$L$35,"&gt;"&amp;L24)+1)</f>
        <v/>
      </c>
      <c r="O24" s="18" t="n"/>
      <c r="P24" s="10" t="n"/>
    </row>
    <row r="25" ht="30" customHeight="1">
      <c r="A25" s="6" t="n">
        <v>10</v>
      </c>
      <c r="B25" s="10" t="inlineStr">
        <is>
          <t>アラサーから大学院留学、周りと比べて焦った話</t>
        </is>
      </c>
      <c r="C25" s="6">
        <f>IF(B25="","",LEN(B25))</f>
        <v/>
      </c>
      <c r="D25" s="5">
        <f>IF(B25="","",LEFT(B25,30))</f>
        <v/>
      </c>
      <c r="E25" s="18" t="n"/>
      <c r="F25" s="18" t="n"/>
      <c r="G25" s="18" t="n"/>
      <c r="H25" s="18" t="n">
        <v>5</v>
      </c>
      <c r="I25" s="18" t="n">
        <v>4</v>
      </c>
      <c r="J25" s="18" t="n">
        <v>5</v>
      </c>
      <c r="K25" s="18" t="n">
        <v>4</v>
      </c>
      <c r="L25" s="6">
        <f>IF(COUNT(H25:K25)&lt;4,"",SUM(H25:K25))</f>
        <v/>
      </c>
      <c r="M25" s="6">
        <f>IF(B25="","",IF(COUNTIF(E25:G25,"×")&gt;0,"✕ 足切り",IF(COUNTA(E25:G25)&lt;3,"未チェック","◎ 通過")))</f>
        <v/>
      </c>
      <c r="N25" s="6">
        <f>IF(OR(L25="",M25="✕ 足切り"),"",COUNTIFS($M$16:$M$35,"&lt;&gt;✕ 足切り",$L$16:$L$35,"&gt;"&amp;L25)+1)</f>
        <v/>
      </c>
      <c r="O25" s="18" t="n"/>
      <c r="P25" s="10" t="n"/>
    </row>
    <row r="26" ht="30" customHeight="1">
      <c r="A26" s="6" t="n">
        <v>11</v>
      </c>
      <c r="B26" s="10" t="inlineStr">
        <is>
          <t>30代の留学は「遅い」ではなく「有利」だった3つの理由</t>
        </is>
      </c>
      <c r="C26" s="6">
        <f>IF(B26="","",LEN(B26))</f>
        <v/>
      </c>
      <c r="D26" s="5">
        <f>IF(B26="","",LEFT(B26,30))</f>
        <v/>
      </c>
      <c r="E26" s="18" t="n"/>
      <c r="F26" s="18" t="n"/>
      <c r="G26" s="18" t="n"/>
      <c r="H26" s="18" t="n">
        <v>5</v>
      </c>
      <c r="I26" s="18" t="n">
        <v>5</v>
      </c>
      <c r="J26" s="18" t="n">
        <v>5</v>
      </c>
      <c r="K26" s="18" t="n">
        <v>4</v>
      </c>
      <c r="L26" s="6">
        <f>IF(COUNT(H26:K26)&lt;4,"",SUM(H26:K26))</f>
        <v/>
      </c>
      <c r="M26" s="6">
        <f>IF(B26="","",IF(COUNTIF(E26:G26,"×")&gt;0,"✕ 足切り",IF(COUNTA(E26:G26)&lt;3,"未チェック","◎ 通過")))</f>
        <v/>
      </c>
      <c r="N26" s="6">
        <f>IF(OR(L26="",M26="✕ 足切り"),"",COUNTIFS($M$16:$M$35,"&lt;&gt;✕ 足切り",$L$16:$L$35,"&gt;"&amp;L26)+1)</f>
        <v/>
      </c>
      <c r="O26" s="18" t="n"/>
      <c r="P26" s="10" t="n"/>
    </row>
    <row r="27" ht="30" customHeight="1">
      <c r="A27" s="6" t="n">
        <v>12</v>
      </c>
      <c r="B27" s="10" t="inlineStr">
        <is>
          <t>社会人6年目で大学院へ。30代の挑戦がどう見えたか</t>
        </is>
      </c>
      <c r="C27" s="6">
        <f>IF(B27="","",LEN(B27))</f>
        <v/>
      </c>
      <c r="D27" s="5">
        <f>IF(B27="","",LEFT(B27,30))</f>
        <v/>
      </c>
      <c r="E27" s="18" t="n"/>
      <c r="F27" s="18" t="n"/>
      <c r="G27" s="18" t="n"/>
      <c r="H27" s="18" t="n">
        <v>4</v>
      </c>
      <c r="I27" s="18" t="n">
        <v>3</v>
      </c>
      <c r="J27" s="18" t="n">
        <v>4</v>
      </c>
      <c r="K27" s="18" t="n">
        <v>4</v>
      </c>
      <c r="L27" s="6">
        <f>IF(COUNT(H27:K27)&lt;4,"",SUM(H27:K27))</f>
        <v/>
      </c>
      <c r="M27" s="6">
        <f>IF(B27="","",IF(COUNTIF(E27:G27,"×")&gt;0,"✕ 足切り",IF(COUNTA(E27:G27)&lt;3,"未チェック","◎ 通過")))</f>
        <v/>
      </c>
      <c r="N27" s="6">
        <f>IF(OR(L27="",M27="✕ 足切り"),"",COUNTIFS($M$16:$M$35,"&lt;&gt;✕ 足切り",$L$16:$L$35,"&gt;"&amp;L27)+1)</f>
        <v/>
      </c>
      <c r="O27" s="18" t="n"/>
      <c r="P27" s="10" t="n"/>
    </row>
    <row r="28" ht="30" customHeight="1">
      <c r="A28" s="6" t="n">
        <v>13</v>
      </c>
      <c r="B28" s="10" t="inlineStr">
        <is>
          <t>30代で留学を決めた私に、周りが言った言葉</t>
        </is>
      </c>
      <c r="C28" s="6">
        <f>IF(B28="","",LEN(B28))</f>
        <v/>
      </c>
      <c r="D28" s="5">
        <f>IF(B28="","",LEFT(B28,30))</f>
        <v/>
      </c>
      <c r="E28" s="18" t="n"/>
      <c r="F28" s="18" t="n"/>
      <c r="G28" s="18" t="n"/>
      <c r="H28" s="18" t="n">
        <v>5</v>
      </c>
      <c r="I28" s="18" t="n">
        <v>4</v>
      </c>
      <c r="J28" s="18" t="n">
        <v>5</v>
      </c>
      <c r="K28" s="18" t="n">
        <v>4</v>
      </c>
      <c r="L28" s="6">
        <f>IF(COUNT(H28:K28)&lt;4,"",SUM(H28:K28))</f>
        <v/>
      </c>
      <c r="M28" s="6">
        <f>IF(B28="","",IF(COUNTIF(E28:G28,"×")&gt;0,"✕ 足切り",IF(COUNTA(E28:G28)&lt;3,"未チェック","◎ 通過")))</f>
        <v/>
      </c>
      <c r="N28" s="6">
        <f>IF(OR(L28="",M28="✕ 足切り"),"",COUNTIFS($M$16:$M$35,"&lt;&gt;✕ 足切り",$L$16:$L$35,"&gt;"&amp;L28)+1)</f>
        <v/>
      </c>
      <c r="O28" s="18" t="n"/>
      <c r="P28" s="10" t="n"/>
    </row>
    <row r="29" ht="30" customHeight="1">
      <c r="A29" s="6" t="n">
        <v>14</v>
      </c>
      <c r="B29" s="10" t="inlineStr">
        <is>
          <t>年齢で諦めかけた私が、それでも行くと決めた理由</t>
        </is>
      </c>
      <c r="C29" s="6">
        <f>IF(B29="","",LEN(B29))</f>
        <v/>
      </c>
      <c r="D29" s="5">
        <f>IF(B29="","",LEFT(B29,30))</f>
        <v/>
      </c>
      <c r="E29" s="18" t="n"/>
      <c r="F29" s="18" t="n"/>
      <c r="G29" s="18" t="n"/>
      <c r="H29" s="18" t="n">
        <v>5</v>
      </c>
      <c r="I29" s="18" t="n">
        <v>4</v>
      </c>
      <c r="J29" s="18" t="n">
        <v>4</v>
      </c>
      <c r="K29" s="18" t="n">
        <v>4</v>
      </c>
      <c r="L29" s="6">
        <f>IF(COUNT(H29:K29)&lt;4,"",SUM(H29:K29))</f>
        <v/>
      </c>
      <c r="M29" s="6">
        <f>IF(B29="","",IF(COUNTIF(E29:G29,"×")&gt;0,"✕ 足切り",IF(COUNTA(E29:G29)&lt;3,"未チェック","◎ 通過")))</f>
        <v/>
      </c>
      <c r="N29" s="6">
        <f>IF(OR(L29="",M29="✕ 足切り"),"",COUNTIFS($M$16:$M$35,"&lt;&gt;✕ 足切り",$L$16:$L$35,"&gt;"&amp;L29)+1)</f>
        <v/>
      </c>
      <c r="O29" s="18" t="n"/>
      <c r="P29" s="10" t="n"/>
    </row>
    <row r="30" ht="30" customHeight="1">
      <c r="A30" s="6" t="n">
        <v>15</v>
      </c>
      <c r="B30" s="10" t="inlineStr">
        <is>
          <t>30代・社会人の大学院留学、リアルな不安と実際どうだったか</t>
        </is>
      </c>
      <c r="C30" s="6">
        <f>IF(B30="","",LEN(B30))</f>
        <v/>
      </c>
      <c r="D30" s="5">
        <f>IF(B30="","",LEFT(B30,30))</f>
        <v/>
      </c>
      <c r="E30" s="18" t="n"/>
      <c r="F30" s="18" t="n"/>
      <c r="G30" s="18" t="n"/>
      <c r="H30" s="18" t="n">
        <v>4</v>
      </c>
      <c r="I30" s="18" t="n">
        <v>3</v>
      </c>
      <c r="J30" s="18" t="n">
        <v>5</v>
      </c>
      <c r="K30" s="18" t="n">
        <v>4</v>
      </c>
      <c r="L30" s="6">
        <f>IF(COUNT(H30:K30)&lt;4,"",SUM(H30:K30))</f>
        <v/>
      </c>
      <c r="M30" s="6">
        <f>IF(B30="","",IF(COUNTIF(E30:G30,"×")&gt;0,"✕ 足切り",IF(COUNTA(E30:G30)&lt;3,"未チェック","◎ 通過")))</f>
        <v/>
      </c>
      <c r="N30" s="6">
        <f>IF(OR(L30="",M30="✕ 足切り"),"",COUNTIFS($M$16:$M$35,"&lt;&gt;✕ 足切り",$L$16:$L$35,"&gt;"&amp;L30)+1)</f>
        <v/>
      </c>
      <c r="O30" s="18" t="n"/>
      <c r="P30" s="10" t="n"/>
    </row>
    <row r="31" ht="30" customHeight="1">
      <c r="A31" s="6" t="n">
        <v>16</v>
      </c>
      <c r="B31" s="10" t="inlineStr">
        <is>
          <t>20代で行く人と30代で行く人、扱いは変わるのか</t>
        </is>
      </c>
      <c r="C31" s="6">
        <f>IF(B31="","",LEN(B31))</f>
        <v/>
      </c>
      <c r="D31" s="5">
        <f>IF(B31="","",LEFT(B31,30))</f>
        <v/>
      </c>
      <c r="E31" s="18" t="n"/>
      <c r="F31" s="18" t="n"/>
      <c r="G31" s="18" t="n"/>
      <c r="H31" s="18" t="n">
        <v>5</v>
      </c>
      <c r="I31" s="18" t="n">
        <v>4</v>
      </c>
      <c r="J31" s="18" t="n">
        <v>4</v>
      </c>
      <c r="K31" s="18" t="n">
        <v>3</v>
      </c>
      <c r="L31" s="6">
        <f>IF(COUNT(H31:K31)&lt;4,"",SUM(H31:K31))</f>
        <v/>
      </c>
      <c r="M31" s="6">
        <f>IF(B31="","",IF(COUNTIF(E31:G31,"×")&gt;0,"✕ 足切り",IF(COUNTA(E31:G31)&lt;3,"未チェック","◎ 通過")))</f>
        <v/>
      </c>
      <c r="N31" s="6">
        <f>IF(OR(L31="",M31="✕ 足切り"),"",COUNTIFS($M$16:$M$35,"&lt;&gt;✕ 足切り",$L$16:$L$35,"&gt;"&amp;L31)+1)</f>
        <v/>
      </c>
      <c r="O31" s="18" t="n"/>
      <c r="P31" s="10" t="n"/>
    </row>
    <row r="32" ht="30" customHeight="1">
      <c r="A32" s="6" t="n">
        <v>17</v>
      </c>
      <c r="B32" s="10" t="inlineStr">
        <is>
          <t>アラサー留学、周囲の「遅い」に負けなかった話</t>
        </is>
      </c>
      <c r="C32" s="6">
        <f>IF(B32="","",LEN(B32))</f>
        <v/>
      </c>
      <c r="D32" s="5">
        <f>IF(B32="","",LEFT(B32,30))</f>
        <v/>
      </c>
      <c r="E32" s="18" t="n"/>
      <c r="F32" s="18" t="n"/>
      <c r="G32" s="18" t="n"/>
      <c r="H32" s="18" t="n">
        <v>4</v>
      </c>
      <c r="I32" s="18" t="n">
        <v>4</v>
      </c>
      <c r="J32" s="18" t="n">
        <v>5</v>
      </c>
      <c r="K32" s="18" t="n">
        <v>4</v>
      </c>
      <c r="L32" s="6">
        <f>IF(COUNT(H32:K32)&lt;4,"",SUM(H32:K32))</f>
        <v/>
      </c>
      <c r="M32" s="6">
        <f>IF(B32="","",IF(COUNTIF(E32:G32,"×")&gt;0,"✕ 足切り",IF(COUNTA(E32:G32)&lt;3,"未チェック","◎ 通過")))</f>
        <v/>
      </c>
      <c r="N32" s="6">
        <f>IF(OR(L32="",M32="✕ 足切り"),"",COUNTIFS($M$16:$M$35,"&lt;&gt;✕ 足切り",$L$16:$L$35,"&gt;"&amp;L32)+1)</f>
        <v/>
      </c>
      <c r="O32" s="18" t="n"/>
      <c r="P32" s="10" t="n"/>
    </row>
    <row r="33" ht="30" customHeight="1">
      <c r="A33" s="6" t="n">
        <v>18</v>
      </c>
      <c r="B33" s="10" t="inlineStr">
        <is>
          <t>30代から大学院留学して、キャリアはどうなったか</t>
        </is>
      </c>
      <c r="C33" s="6">
        <f>IF(B33="","",LEN(B33))</f>
        <v/>
      </c>
      <c r="D33" s="5">
        <f>IF(B33="","",LEFT(B33,30))</f>
        <v/>
      </c>
      <c r="E33" s="18" t="n"/>
      <c r="F33" s="18" t="n"/>
      <c r="G33" s="18" t="n"/>
      <c r="H33" s="18" t="n">
        <v>4</v>
      </c>
      <c r="I33" s="18" t="n">
        <v>3</v>
      </c>
      <c r="J33" s="18" t="n">
        <v>5</v>
      </c>
      <c r="K33" s="18" t="n">
        <v>4</v>
      </c>
      <c r="L33" s="6">
        <f>IF(COUNT(H33:K33)&lt;4,"",SUM(H33:K33))</f>
        <v/>
      </c>
      <c r="M33" s="6">
        <f>IF(B33="","",IF(COUNTIF(E33:G33,"×")&gt;0,"✕ 足切り",IF(COUNTA(E33:G33)&lt;3,"未チェック","◎ 通過")))</f>
        <v/>
      </c>
      <c r="N33" s="6">
        <f>IF(OR(L33="",M33="✕ 足切り"),"",COUNTIFS($M$16:$M$35,"&lt;&gt;✕ 足切り",$L$16:$L$35,"&gt;"&amp;L33)+1)</f>
        <v/>
      </c>
      <c r="O33" s="18" t="n"/>
      <c r="P33" s="10" t="n"/>
    </row>
    <row r="34" ht="30" customHeight="1">
      <c r="A34" s="6" t="n">
        <v>19</v>
      </c>
      <c r="B34" s="10" t="inlineStr">
        <is>
          <t>留学に年齢は関係あるのか。実際に行った人の結論</t>
        </is>
      </c>
      <c r="C34" s="6">
        <f>IF(B34="","",LEN(B34))</f>
        <v/>
      </c>
      <c r="D34" s="5">
        <f>IF(B34="","",LEFT(B34,30))</f>
        <v/>
      </c>
      <c r="E34" s="18" t="n"/>
      <c r="F34" s="18" t="n"/>
      <c r="G34" s="18" t="n"/>
      <c r="H34" s="18" t="n">
        <v>5</v>
      </c>
      <c r="I34" s="18" t="n">
        <v>4</v>
      </c>
      <c r="J34" s="18" t="n">
        <v>5</v>
      </c>
      <c r="K34" s="18" t="n">
        <v>4</v>
      </c>
      <c r="L34" s="6">
        <f>IF(COUNT(H34:K34)&lt;4,"",SUM(H34:K34))</f>
        <v/>
      </c>
      <c r="M34" s="6">
        <f>IF(B34="","",IF(COUNTIF(E34:G34,"×")&gt;0,"✕ 足切り",IF(COUNTA(E34:G34)&lt;3,"未チェック","◎ 通過")))</f>
        <v/>
      </c>
      <c r="N34" s="6">
        <f>IF(OR(L34="",M34="✕ 足切り"),"",COUNTIFS($M$16:$M$35,"&lt;&gt;✕ 足切り",$L$16:$L$35,"&gt;"&amp;L34)+1)</f>
        <v/>
      </c>
      <c r="O34" s="18" t="n"/>
      <c r="P34" s="10" t="n"/>
    </row>
    <row r="35" ht="30" customHeight="1">
      <c r="A35" s="6" t="n">
        <v>20</v>
      </c>
      <c r="B35" s="10" t="inlineStr">
        <is>
          <t>30代の大学院留学、始める前に知っておきたかったこと</t>
        </is>
      </c>
      <c r="C35" s="6">
        <f>IF(B35="","",LEN(B35))</f>
        <v/>
      </c>
      <c r="D35" s="5">
        <f>IF(B35="","",LEFT(B35,30))</f>
        <v/>
      </c>
      <c r="E35" s="18" t="n"/>
      <c r="F35" s="18" t="n"/>
      <c r="G35" s="18" t="n"/>
      <c r="H35" s="18" t="n">
        <v>4</v>
      </c>
      <c r="I35" s="18" t="n">
        <v>3</v>
      </c>
      <c r="J35" s="18" t="n">
        <v>5</v>
      </c>
      <c r="K35" s="18" t="n">
        <v>5</v>
      </c>
      <c r="L35" s="6">
        <f>IF(COUNT(H35:K35)&lt;4,"",SUM(H35:K35))</f>
        <v/>
      </c>
      <c r="M35" s="6">
        <f>IF(B35="","",IF(COUNTIF(E35:G35,"×")&gt;0,"✕ 足切り",IF(COUNTA(E35:G35)&lt;3,"未チェック","◎ 通過")))</f>
        <v/>
      </c>
      <c r="N35" s="6">
        <f>IF(OR(L35="",M35="✕ 足切り"),"",COUNTIFS($M$16:$M$35,"&lt;&gt;✕ 足切り",$L$16:$L$35,"&gt;"&amp;L35)+1)</f>
        <v/>
      </c>
      <c r="O35" s="18" t="n"/>
      <c r="P35" s="10" t="n"/>
    </row>
    <row r="36">
      <c r="A36" s="19" t="inlineStr">
        <is>
          <t>※字数が40字を超えると赤字（長すぎの目安）。順位は足切りされていない案の中での順位（同点は同順位）。上位3位は紫。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8">
      <c r="A38" s="20" t="inlineStr">
        <is>
          <t>■ サムネ下書き（12案）　足切り：1つでも×なら除外 ／ 採点：1〜5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32" customHeight="1">
      <c r="A39" s="15" t="inlineStr">
        <is>
          <t>No</t>
        </is>
      </c>
      <c r="B39" s="15" t="inlineStr">
        <is>
          <t>コンセプト（何が映っている？）</t>
        </is>
      </c>
      <c r="C39" s="15" t="inlineStr">
        <is>
          <t>型</t>
        </is>
      </c>
      <c r="D39" s="15" t="inlineStr">
        <is>
          <t>主役／ストッパー</t>
        </is>
      </c>
      <c r="E39" s="15" t="inlineStr">
        <is>
          <t>文字</t>
        </is>
      </c>
      <c r="F39" s="15" t="inlineStr">
        <is>
          <t>字数</t>
        </is>
      </c>
      <c r="G39" s="16" t="inlineStr">
        <is>
          <t>①縮小でも
読める</t>
        </is>
      </c>
      <c r="H39" s="16" t="inlineStr">
        <is>
          <t>②主役は
1つ</t>
        </is>
      </c>
      <c r="I39" s="16" t="inlineStr">
        <is>
          <t>③制作
できる</t>
        </is>
      </c>
      <c r="J39" s="17" t="inlineStr">
        <is>
          <t>好奇心</t>
        </is>
      </c>
      <c r="K39" s="17" t="inlineStr">
        <is>
          <t>2秒で
伝わる</t>
        </is>
      </c>
      <c r="L39" s="17" t="inlineStr">
        <is>
          <t>目立つ</t>
        </is>
      </c>
      <c r="M39" s="17" t="inlineStr">
        <is>
          <t>合計
/15</t>
        </is>
      </c>
      <c r="N39" s="15" t="inlineStr">
        <is>
          <t>判定</t>
        </is>
      </c>
      <c r="O39" s="15" t="inlineStr">
        <is>
          <t>順位</t>
        </is>
      </c>
      <c r="P39" s="15" t="inlineStr">
        <is>
          <t>最終判断</t>
        </is>
      </c>
    </row>
    <row r="40" ht="30" customHeight="1">
      <c r="A40" s="6" t="n">
        <v>1</v>
      </c>
      <c r="B40" s="10" t="inlineStr">
        <is>
          <t>本人が窓の外を見て考え込む横顔、薄暗い部屋</t>
        </is>
      </c>
      <c r="C40" s="18" t="inlineStr">
        <is>
          <t>ストーリー型</t>
        </is>
      </c>
      <c r="D40" s="10" t="inlineStr">
        <is>
          <t>顔（表情）</t>
        </is>
      </c>
      <c r="E40" s="18" t="inlineStr">
        <is>
          <t>遅い？</t>
        </is>
      </c>
      <c r="F40" s="6">
        <f>IF(OR(E40="",E40="なし"),0,LEN(E40))</f>
        <v/>
      </c>
      <c r="G40" s="18" t="n"/>
      <c r="H40" s="18" t="n"/>
      <c r="I40" s="18" t="n"/>
      <c r="J40" s="18" t="n">
        <v>5</v>
      </c>
      <c r="K40" s="18" t="n">
        <v>4</v>
      </c>
      <c r="L40" s="18" t="n">
        <v>4</v>
      </c>
      <c r="M40" s="6">
        <f>IF(COUNT(J40:L40)&lt;3,"",SUM(J40:L40))</f>
        <v/>
      </c>
      <c r="N40" s="6">
        <f>IF(B40="","",IF(COUNTIF(G40:I40,"×")&gt;0,"✕ 足切り",IF(COUNTA(G40:I40)&lt;3,"未チェック","◎ 通過")))</f>
        <v/>
      </c>
      <c r="O40" s="6">
        <f>IF(OR(M40="",N40="✕ 足切り"),"",COUNTIFS($N$40:$N$51,"&lt;&gt;✕ 足切り",$M$40:$M$51,"&gt;"&amp;M40)+1)</f>
        <v/>
      </c>
      <c r="P40" s="18" t="n"/>
    </row>
    <row r="41" ht="30" customHeight="1">
      <c r="A41" s="6" t="n">
        <v>2</v>
      </c>
      <c r="B41" s="10" t="inlineStr">
        <is>
          <t>「30代」の大きな文字と、本人の顔</t>
        </is>
      </c>
      <c r="C41" s="18" t="inlineStr">
        <is>
          <t>新奇性型</t>
        </is>
      </c>
      <c r="D41" s="10" t="inlineStr">
        <is>
          <t>大きな数字／顔</t>
        </is>
      </c>
      <c r="E41" s="18" t="inlineStr">
        <is>
          <t>30代</t>
        </is>
      </c>
      <c r="F41" s="6">
        <f>IF(OR(E41="",E41="なし"),0,LEN(E41))</f>
        <v/>
      </c>
      <c r="G41" s="18" t="n"/>
      <c r="H41" s="18" t="n"/>
      <c r="I41" s="18" t="n"/>
      <c r="J41" s="18" t="n">
        <v>4</v>
      </c>
      <c r="K41" s="18" t="n">
        <v>5</v>
      </c>
      <c r="L41" s="18" t="n">
        <v>4</v>
      </c>
      <c r="M41" s="6">
        <f>IF(COUNT(J41:L41)&lt;3,"",SUM(J41:L41))</f>
        <v/>
      </c>
      <c r="N41" s="6">
        <f>IF(B41="","",IF(COUNTIF(G41:I41,"×")&gt;0,"✕ 足切り",IF(COUNTA(G41:I41)&lt;3,"未チェック","◎ 通過")))</f>
        <v/>
      </c>
      <c r="O41" s="6">
        <f>IF(OR(M41="",N41="✕ 足切り"),"",COUNTIFS($N$40:$N$51,"&lt;&gt;✕ 足切り",$M$40:$M$51,"&gt;"&amp;M41)+1)</f>
        <v/>
      </c>
      <c r="P41" s="18" t="n"/>
    </row>
    <row r="42" ht="30" customHeight="1">
      <c r="A42" s="6" t="n">
        <v>3</v>
      </c>
      <c r="B42" s="10" t="inlineStr">
        <is>
          <t>20代の集団と本人を左右に分けた対比</t>
        </is>
      </c>
      <c r="C42" s="18" t="inlineStr">
        <is>
          <t>変身型</t>
        </is>
      </c>
      <c r="D42" s="10" t="inlineStr">
        <is>
          <t>対比／人物</t>
        </is>
      </c>
      <c r="E42" s="18" t="inlineStr">
        <is>
          <t>20代と30代</t>
        </is>
      </c>
      <c r="F42" s="6">
        <f>IF(OR(E42="",E42="なし"),0,LEN(E42))</f>
        <v/>
      </c>
      <c r="G42" s="18" t="n"/>
      <c r="H42" s="18" t="n"/>
      <c r="I42" s="18" t="n"/>
      <c r="J42" s="18" t="n">
        <v>4</v>
      </c>
      <c r="K42" s="18" t="n">
        <v>4</v>
      </c>
      <c r="L42" s="18" t="n">
        <v>4</v>
      </c>
      <c r="M42" s="6">
        <f>IF(COUNT(J42:L42)&lt;3,"",SUM(J42:L42))</f>
        <v/>
      </c>
      <c r="N42" s="6">
        <f>IF(B42="","",IF(COUNTIF(G42:I42,"×")&gt;0,"✕ 足切り",IF(COUNTA(G42:I42)&lt;3,"未チェック","◎ 通過")))</f>
        <v/>
      </c>
      <c r="O42" s="6">
        <f>IF(OR(M42="",N42="✕ 足切り"),"",COUNTIFS($N$40:$N$51,"&lt;&gt;✕ 足切り",$M$40:$M$51,"&gt;"&amp;M42)+1)</f>
        <v/>
      </c>
      <c r="P42" s="18" t="n"/>
    </row>
    <row r="43" ht="30" customHeight="1">
      <c r="A43" s="6" t="n">
        <v>4</v>
      </c>
      <c r="B43" s="10" t="inlineStr">
        <is>
          <t>パスポートと本人の顔、上に「6年」</t>
        </is>
      </c>
      <c r="C43" s="18" t="inlineStr">
        <is>
          <t>ストーリー型</t>
        </is>
      </c>
      <c r="D43" s="10" t="inlineStr">
        <is>
          <t>小物／数字</t>
        </is>
      </c>
      <c r="E43" s="18" t="inlineStr">
        <is>
          <t>6年</t>
        </is>
      </c>
      <c r="F43" s="6">
        <f>IF(OR(E43="",E43="なし"),0,LEN(E43))</f>
        <v/>
      </c>
      <c r="G43" s="18" t="n"/>
      <c r="H43" s="18" t="n"/>
      <c r="I43" s="18" t="n"/>
      <c r="J43" s="18" t="n">
        <v>4</v>
      </c>
      <c r="K43" s="18" t="n">
        <v>4</v>
      </c>
      <c r="L43" s="18" t="n">
        <v>4</v>
      </c>
      <c r="M43" s="6">
        <f>IF(COUNT(J43:L43)&lt;3,"",SUM(J43:L43))</f>
        <v/>
      </c>
      <c r="N43" s="6">
        <f>IF(B43="","",IF(COUNTIF(G43:I43,"×")&gt;0,"✕ 足切り",IF(COUNTA(G43:I43)&lt;3,"未チェック","◎ 通過")))</f>
        <v/>
      </c>
      <c r="O43" s="6">
        <f>IF(OR(M43="",N43="✕ 足切り"),"",COUNTIFS($N$40:$N$51,"&lt;&gt;✕ 足切り",$M$40:$M$51,"&gt;"&amp;M43)+1)</f>
        <v/>
      </c>
      <c r="P43" s="18" t="n"/>
    </row>
    <row r="44" ht="30" customHeight="1">
      <c r="A44" s="6" t="n">
        <v>5</v>
      </c>
      <c r="B44" s="10" t="inlineStr">
        <is>
          <t>30代の本人が笑っている、明るい背景</t>
        </is>
      </c>
      <c r="C44" s="18" t="inlineStr">
        <is>
          <t>結果型</t>
        </is>
      </c>
      <c r="D44" s="10" t="inlineStr">
        <is>
          <t>顔（感情）</t>
        </is>
      </c>
      <c r="E44" s="18" t="inlineStr">
        <is>
          <t>正解だった</t>
        </is>
      </c>
      <c r="F44" s="6">
        <f>IF(OR(E44="",E44="なし"),0,LEN(E44))</f>
        <v/>
      </c>
      <c r="G44" s="18" t="n"/>
      <c r="H44" s="18" t="n"/>
      <c r="I44" s="18" t="n"/>
      <c r="J44" s="18" t="n">
        <v>5</v>
      </c>
      <c r="K44" s="18" t="n">
        <v>4</v>
      </c>
      <c r="L44" s="18" t="n">
        <v>4</v>
      </c>
      <c r="M44" s="6">
        <f>IF(COUNT(J44:L44)&lt;3,"",SUM(J44:L44))</f>
        <v/>
      </c>
      <c r="N44" s="6">
        <f>IF(B44="","",IF(COUNTIF(G44:I44,"×")&gt;0,"✕ 足切り",IF(COUNTA(G44:I44)&lt;3,"未チェック","◎ 通過")))</f>
        <v/>
      </c>
      <c r="O44" s="6">
        <f>IF(OR(M44="",N44="✕ 足切り"),"",COUNTIFS($N$40:$N$51,"&lt;&gt;✕ 足切り",$M$40:$M$51,"&gt;"&amp;M44)+1)</f>
        <v/>
      </c>
      <c r="P44" s="18" t="n"/>
    </row>
    <row r="45" ht="30" customHeight="1">
      <c r="A45" s="6" t="n">
        <v>6</v>
      </c>
      <c r="B45" s="10" t="inlineStr">
        <is>
          <t>迷っている後ろ姿、暗い廊下</t>
        </is>
      </c>
      <c r="C45" s="18" t="inlineStr">
        <is>
          <t>ストーリー型</t>
        </is>
      </c>
      <c r="D45" s="10" t="inlineStr">
        <is>
          <t>後ろ姿</t>
        </is>
      </c>
      <c r="E45" s="18" t="inlineStr">
        <is>
          <t>迷ってる？</t>
        </is>
      </c>
      <c r="F45" s="6">
        <f>IF(OR(E45="",E45="なし"),0,LEN(E45))</f>
        <v/>
      </c>
      <c r="G45" s="18" t="n"/>
      <c r="H45" s="18" t="n"/>
      <c r="I45" s="18" t="n"/>
      <c r="J45" s="18" t="n">
        <v>4</v>
      </c>
      <c r="K45" s="18" t="n">
        <v>4</v>
      </c>
      <c r="L45" s="18" t="n">
        <v>4</v>
      </c>
      <c r="M45" s="6">
        <f>IF(COUNT(J45:L45)&lt;3,"",SUM(J45:L45))</f>
        <v/>
      </c>
      <c r="N45" s="6">
        <f>IF(B45="","",IF(COUNTIF(G45:I45,"×")&gt;0,"✕ 足切り",IF(COUNTA(G45:I45)&lt;3,"未チェック","◎ 通過")))</f>
        <v/>
      </c>
      <c r="O45" s="6">
        <f>IF(OR(M45="",N45="✕ 足切り"),"",COUNTIFS($N$40:$N$51,"&lt;&gt;✕ 足切り",$M$40:$M$51,"&gt;"&amp;M45)+1)</f>
        <v/>
      </c>
      <c r="P45" s="18" t="n"/>
    </row>
    <row r="46" ht="30" customHeight="1">
      <c r="A46" s="6" t="n">
        <v>7</v>
      </c>
      <c r="B46" s="10" t="inlineStr">
        <is>
          <t>階段を上っていく人たちと、立ち止まる本人</t>
        </is>
      </c>
      <c r="C46" s="18" t="inlineStr">
        <is>
          <t>ストーリー型</t>
        </is>
      </c>
      <c r="D46" s="10" t="inlineStr">
        <is>
          <t>動き／人物</t>
        </is>
      </c>
      <c r="E46" s="18" t="inlineStr">
        <is>
          <t>焦り</t>
        </is>
      </c>
      <c r="F46" s="6">
        <f>IF(OR(E46="",E46="なし"),0,LEN(E46))</f>
        <v/>
      </c>
      <c r="G46" s="18" t="n"/>
      <c r="H46" s="18" t="n"/>
      <c r="I46" s="18" t="n"/>
      <c r="J46" s="18" t="n">
        <v>3</v>
      </c>
      <c r="K46" s="18" t="n">
        <v>3</v>
      </c>
      <c r="L46" s="18" t="n">
        <v>4</v>
      </c>
      <c r="M46" s="6">
        <f>IF(COUNT(J46:L46)&lt;3,"",SUM(J46:L46))</f>
        <v/>
      </c>
      <c r="N46" s="6">
        <f>IF(B46="","",IF(COUNTIF(G46:I46,"×")&gt;0,"✕ 足切り",IF(COUNTA(G46:I46)&lt;3,"未チェック","◎ 通過")))</f>
        <v/>
      </c>
      <c r="O46" s="6">
        <f>IF(OR(M46="",N46="✕ 足切り"),"",COUNTIFS($N$40:$N$51,"&lt;&gt;✕ 足切り",$M$40:$M$51,"&gt;"&amp;M46)+1)</f>
        <v/>
      </c>
      <c r="P46" s="18" t="n"/>
    </row>
    <row r="47" ht="30" customHeight="1">
      <c r="A47" s="6" t="n">
        <v>8</v>
      </c>
      <c r="B47" s="10" t="inlineStr">
        <is>
          <t>本人が手で「遅くない」と示しているアップ</t>
        </is>
      </c>
      <c r="C47" s="18" t="inlineStr">
        <is>
          <t>瞬間型</t>
        </is>
      </c>
      <c r="D47" s="10" t="inlineStr">
        <is>
          <t>顔／手</t>
        </is>
      </c>
      <c r="E47" s="18" t="inlineStr">
        <is>
          <t>遅くない</t>
        </is>
      </c>
      <c r="F47" s="6">
        <f>IF(OR(E47="",E47="なし"),0,LEN(E47))</f>
        <v/>
      </c>
      <c r="G47" s="18" t="n"/>
      <c r="H47" s="18" t="n"/>
      <c r="I47" s="18" t="n"/>
      <c r="J47" s="18" t="n">
        <v>5</v>
      </c>
      <c r="K47" s="18" t="n">
        <v>5</v>
      </c>
      <c r="L47" s="18" t="n">
        <v>3</v>
      </c>
      <c r="M47" s="6">
        <f>IF(COUNT(J47:L47)&lt;3,"",SUM(J47:L47))</f>
        <v/>
      </c>
      <c r="N47" s="6">
        <f>IF(B47="","",IF(COUNTIF(G47:I47,"×")&gt;0,"✕ 足切り",IF(COUNTA(G47:I47)&lt;3,"未チェック","◎ 通過")))</f>
        <v/>
      </c>
      <c r="O47" s="6">
        <f>IF(OR(M47="",N47="✕ 足切り"),"",COUNTIFS($N$40:$N$51,"&lt;&gt;✕ 足切り",$M$40:$M$51,"&gt;"&amp;M47)+1)</f>
        <v/>
      </c>
      <c r="P47" s="18" t="n"/>
    </row>
    <row r="48" ht="30" customHeight="1">
      <c r="A48" s="6" t="n">
        <v>9</v>
      </c>
      <c r="B48" s="10" t="inlineStr">
        <is>
          <t>鏡の前に立つ本人（以前と今の対比）</t>
        </is>
      </c>
      <c r="C48" s="18" t="inlineStr">
        <is>
          <t>変身型</t>
        </is>
      </c>
      <c r="D48" s="10" t="inlineStr">
        <is>
          <t>人物／鏡</t>
        </is>
      </c>
      <c r="E48" s="18" t="inlineStr">
        <is>
          <t>変わった</t>
        </is>
      </c>
      <c r="F48" s="6">
        <f>IF(OR(E48="",E48="なし"),0,LEN(E48))</f>
        <v/>
      </c>
      <c r="G48" s="18" t="n"/>
      <c r="H48" s="18" t="n"/>
      <c r="I48" s="18" t="n"/>
      <c r="J48" s="18" t="n">
        <v>4</v>
      </c>
      <c r="K48" s="18" t="n">
        <v>4</v>
      </c>
      <c r="L48" s="18" t="n">
        <v>4</v>
      </c>
      <c r="M48" s="6">
        <f>IF(COUNT(J48:L48)&lt;3,"",SUM(J48:L48))</f>
        <v/>
      </c>
      <c r="N48" s="6">
        <f>IF(B48="","",IF(COUNTIF(G48:I48,"×")&gt;0,"✕ 足切り",IF(COUNTA(G48:I48)&lt;3,"未チェック","◎ 通過")))</f>
        <v/>
      </c>
      <c r="O48" s="6">
        <f>IF(OR(M48="",N48="✕ 足切り"),"",COUNTIFS($N$40:$N$51,"&lt;&gt;✕ 足切り",$M$40:$M$51,"&gt;"&amp;M48)+1)</f>
        <v/>
      </c>
      <c r="P48" s="18" t="n"/>
    </row>
    <row r="49" ht="30" customHeight="1">
      <c r="A49" s="6" t="n">
        <v>10</v>
      </c>
      <c r="B49" s="10" t="inlineStr">
        <is>
          <t>カレンダーと本人の顔を並べる</t>
        </is>
      </c>
      <c r="C49" s="18" t="inlineStr">
        <is>
          <t>ストーリー型</t>
        </is>
      </c>
      <c r="D49" s="10" t="inlineStr">
        <is>
          <t>小物／顔</t>
        </is>
      </c>
      <c r="E49" s="18" t="inlineStr">
        <is>
          <t>30代</t>
        </is>
      </c>
      <c r="F49" s="6">
        <f>IF(OR(E49="",E49="なし"),0,LEN(E49))</f>
        <v/>
      </c>
      <c r="G49" s="18" t="n"/>
      <c r="H49" s="18" t="n"/>
      <c r="I49" s="18" t="n"/>
      <c r="J49" s="18" t="n">
        <v>4</v>
      </c>
      <c r="K49" s="18" t="n">
        <v>4</v>
      </c>
      <c r="L49" s="18" t="n">
        <v>3</v>
      </c>
      <c r="M49" s="6">
        <f>IF(COUNT(J49:L49)&lt;3,"",SUM(J49:L49))</f>
        <v/>
      </c>
      <c r="N49" s="6">
        <f>IF(B49="","",IF(COUNTIF(G49:I49,"×")&gt;0,"✕ 足切り",IF(COUNTA(G49:I49)&lt;3,"未チェック","◎ 通過")))</f>
        <v/>
      </c>
      <c r="O49" s="6">
        <f>IF(OR(M49="",N49="✕ 足切り"),"",COUNTIFS($N$40:$N$51,"&lt;&gt;✕ 足切り",$M$40:$M$51,"&gt;"&amp;M49)+1)</f>
        <v/>
      </c>
      <c r="P49" s="18" t="n"/>
    </row>
    <row r="50" ht="30" customHeight="1">
      <c r="A50" s="6" t="n">
        <v>11</v>
      </c>
      <c r="B50" s="10" t="inlineStr">
        <is>
          <t>ボーディングパスと本人の写真</t>
        </is>
      </c>
      <c r="C50" s="18" t="inlineStr">
        <is>
          <t>結果型</t>
        </is>
      </c>
      <c r="D50" s="10" t="inlineStr">
        <is>
          <t>小物（証拠）／顔</t>
        </is>
      </c>
      <c r="E50" s="18" t="inlineStr">
        <is>
          <t>行ってきた</t>
        </is>
      </c>
      <c r="F50" s="6">
        <f>IF(OR(E50="",E50="なし"),0,LEN(E50))</f>
        <v/>
      </c>
      <c r="G50" s="18" t="n"/>
      <c r="H50" s="18" t="n"/>
      <c r="I50" s="18" t="n"/>
      <c r="J50" s="18" t="n">
        <v>5</v>
      </c>
      <c r="K50" s="18" t="n">
        <v>4</v>
      </c>
      <c r="L50" s="18" t="n">
        <v>4</v>
      </c>
      <c r="M50" s="6">
        <f>IF(COUNT(J50:L50)&lt;3,"",SUM(J50:L50))</f>
        <v/>
      </c>
      <c r="N50" s="6">
        <f>IF(B50="","",IF(COUNTIF(G50:I50,"×")&gt;0,"✕ 足切り",IF(COUNTA(G50:I50)&lt;3,"未チェック","◎ 通過")))</f>
        <v/>
      </c>
      <c r="O50" s="6">
        <f>IF(OR(M50="",N50="✕ 足切り"),"",COUNTIFS($N$40:$N$51,"&lt;&gt;✕ 足切り",$M$40:$M$51,"&gt;"&amp;M50)+1)</f>
        <v/>
      </c>
      <c r="P50" s="18" t="n"/>
    </row>
    <row r="51" ht="30" customHeight="1">
      <c r="A51" s="6" t="n">
        <v>12</v>
      </c>
      <c r="B51" s="10" t="inlineStr">
        <is>
          <t>「もう遅い？」の吹き出しと本人の顔</t>
        </is>
      </c>
      <c r="C51" s="18" t="inlineStr">
        <is>
          <t>ストーリー型</t>
        </is>
      </c>
      <c r="D51" s="10" t="inlineStr">
        <is>
          <t>顔／問い</t>
        </is>
      </c>
      <c r="E51" s="18" t="inlineStr">
        <is>
          <t>もう遅い？</t>
        </is>
      </c>
      <c r="F51" s="6">
        <f>IF(OR(E51="",E51="なし"),0,LEN(E51))</f>
        <v/>
      </c>
      <c r="G51" s="18" t="n"/>
      <c r="H51" s="18" t="n"/>
      <c r="I51" s="18" t="n"/>
      <c r="J51" s="18" t="n">
        <v>5</v>
      </c>
      <c r="K51" s="18" t="n">
        <v>5</v>
      </c>
      <c r="L51" s="18" t="n">
        <v>3</v>
      </c>
      <c r="M51" s="6">
        <f>IF(COUNT(J51:L51)&lt;3,"",SUM(J51:L51))</f>
        <v/>
      </c>
      <c r="N51" s="6">
        <f>IF(B51="","",IF(COUNTIF(G51:I51,"×")&gt;0,"✕ 足切り",IF(COUNTA(G51:I51)&lt;3,"未チェック","◎ 通過")))</f>
        <v/>
      </c>
      <c r="O51" s="6">
        <f>IF(OR(M51="",N51="✕ 足切り"),"",COUNTIFS($N$40:$N$51,"&lt;&gt;✕ 足切り",$M$40:$M$51,"&gt;"&amp;M51)+1)</f>
        <v/>
      </c>
      <c r="P51" s="18" t="n"/>
    </row>
    <row r="52">
      <c r="A52" s="19" t="inlineStr">
        <is>
          <t>※文字の字数が6字を超えると赤字（スマホで読みにくい目安）。「なし」は0字。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11" t="inlineStr">
        <is>
          <t>■ 組み合わせを決める（A／B／C）　タイトルNoとサムネNoを入れると自動で表示・合計。最後に1組だけ「公開用」に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30" customHeight="1">
      <c r="A54" s="21" t="inlineStr">
        <is>
          <t>自動
おすすめ</t>
        </is>
      </c>
      <c r="B54" s="22">
        <f>IFERROR("タイトル No"&amp;INDEX($A$16:$A$35,MATCH(1,$N$16:$N$35,0))&amp;"："&amp;INDEX($B$16:$B$35,MATCH(1,$N$16:$N$35,0)),"（タイトルの足切りを通過した案がありません）")</f>
        <v/>
      </c>
      <c r="C54" s="22">
        <f>IFERROR("サムネ No"&amp;INDEX($A$40:$A$51,MATCH(1,$O$40:$O$51,0))&amp;"："&amp;INDEX($B$40:$B$51,MATCH(1,$O$40:$O$51,0)),"（サムネの足切りを通過した案がありません）")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32" customHeight="1">
      <c r="A55" s="15" t="inlineStr">
        <is>
          <t>組</t>
        </is>
      </c>
      <c r="B55" s="15" t="inlineStr">
        <is>
          <t>タイトル（自動）</t>
        </is>
      </c>
      <c r="C55" s="15" t="inlineStr">
        <is>
          <t>タイトル
No</t>
        </is>
      </c>
      <c r="D55" s="15" t="inlineStr">
        <is>
          <t>サムネ（自動）</t>
        </is>
      </c>
      <c r="E55" s="15" t="inlineStr">
        <is>
          <t>サムネ
No</t>
        </is>
      </c>
      <c r="F55" s="15" t="inlineStr">
        <is>
          <t>①役割分担
できている</t>
        </is>
      </c>
      <c r="G55" s="15" t="inlineStr">
        <is>
          <t>②合わせて
1つの問い</t>
        </is>
      </c>
      <c r="H55" s="15" t="inlineStr">
        <is>
          <t>タイトル
点</t>
        </is>
      </c>
      <c r="I55" s="15" t="inlineStr">
        <is>
          <t>サムネ
点</t>
        </is>
      </c>
      <c r="J55" s="15" t="inlineStr">
        <is>
          <t>合計
/35</t>
        </is>
      </c>
      <c r="K55" s="15" t="inlineStr">
        <is>
          <t>判定</t>
        </is>
      </c>
      <c r="L55" s="15" t="inlineStr">
        <is>
          <t>採用</t>
        </is>
      </c>
      <c r="M55" s="9" t="n"/>
      <c r="N55" s="15" t="inlineStr">
        <is>
          <t>役割分担（タイトルが言うこと／サムネが見せること）</t>
        </is>
      </c>
      <c r="O55" s="9" t="n"/>
      <c r="P55" s="9" t="n"/>
    </row>
    <row r="56" ht="36" customHeight="1">
      <c r="A56" s="23" t="inlineStr">
        <is>
          <t>A</t>
        </is>
      </c>
      <c r="B56" s="5">
        <f>IF(C56="","",IFERROR(INDEX($B$16:$B$35,C56),"No不正"))</f>
        <v/>
      </c>
      <c r="C56" s="18" t="n">
        <v>2</v>
      </c>
      <c r="D56" s="5">
        <f>IF(E56="","",IFERROR(INDEX($B$40:$B$51,E56),"No不正"))</f>
        <v/>
      </c>
      <c r="E56" s="18" t="n">
        <v>1</v>
      </c>
      <c r="F56" s="18" t="n"/>
      <c r="G56" s="18" t="n"/>
      <c r="H56" s="6">
        <f>IF(C56="","",IFERROR(INDEX($L$16:$L$35,C56),""))</f>
        <v/>
      </c>
      <c r="I56" s="6">
        <f>IF(E56="","",IFERROR(INDEX($M$40:$M$51,E56),""))</f>
        <v/>
      </c>
      <c r="J56" s="6">
        <f>IF(OR(H56="",I56=""),"",H56+I56)</f>
        <v/>
      </c>
      <c r="K56" s="6">
        <f>IF(OR(C56="",E56=""),"",IF(OR(IFERROR(INDEX($M$16:$M$35,C56),"")="✕ 足切り",IFERROR(INDEX($N$40:$N$51,E56),"")="✕ 足切り"),"✕ 足切り案を含む",IF(COUNTIF(F56:G56,"×")&gt;0,"✕ 組み合わせNG",IF(COUNTA(F56:G56)&lt;2,"未チェック","◎ 通過"))))</f>
        <v/>
      </c>
      <c r="L56" s="24" t="n"/>
      <c r="M56" s="9" t="n"/>
      <c r="N56" s="10" t="inlineStr">
        <is>
          <t>タイトル＝問いを立てて答えを伏せる／サムネ＝迷いの感情を見せる</t>
        </is>
      </c>
      <c r="O56" s="9" t="n"/>
      <c r="P56" s="9" t="n"/>
    </row>
    <row r="57" ht="36" customHeight="1">
      <c r="A57" s="23" t="inlineStr">
        <is>
          <t>B</t>
        </is>
      </c>
      <c r="B57" s="5">
        <f>IF(C57="","",IFERROR(INDEX($B$16:$B$35,C57),"No不正"))</f>
        <v/>
      </c>
      <c r="C57" s="18" t="n">
        <v>11</v>
      </c>
      <c r="D57" s="5">
        <f>IF(E57="","",IFERROR(INDEX($B$40:$B$51,E57),"No不正"))</f>
        <v/>
      </c>
      <c r="E57" s="18" t="n">
        <v>12</v>
      </c>
      <c r="F57" s="18" t="n"/>
      <c r="G57" s="18" t="n"/>
      <c r="H57" s="6">
        <f>IF(C57="","",IFERROR(INDEX($L$16:$L$35,C57),""))</f>
        <v/>
      </c>
      <c r="I57" s="6">
        <f>IF(E57="","",IFERROR(INDEX($M$40:$M$51,E57),""))</f>
        <v/>
      </c>
      <c r="J57" s="6">
        <f>IF(OR(H57="",I57=""),"",H57+I57)</f>
        <v/>
      </c>
      <c r="K57" s="6">
        <f>IF(OR(C57="",E57=""),"",IF(OR(IFERROR(INDEX($M$16:$M$35,C57),"")="✕ 足切り",IFERROR(INDEX($N$40:$N$51,E57),"")="✕ 足切り"),"✕ 足切り案を含む",IF(COUNTIF(F57:G57,"×")&gt;0,"✕ 組み合わせNG",IF(COUNTA(F57:G57)&lt;2,"未チェック","◎ 通過"))))</f>
        <v/>
      </c>
      <c r="L57" s="24" t="n"/>
      <c r="M57" s="9" t="n"/>
      <c r="N57" s="10" t="inlineStr">
        <is>
          <t>タイトル＝対立（遅い／有利）を作る／サムネ＝問いを視覚化する</t>
        </is>
      </c>
      <c r="O57" s="9" t="n"/>
      <c r="P57" s="9" t="n"/>
    </row>
    <row r="58" ht="36" customHeight="1">
      <c r="A58" s="23" t="inlineStr">
        <is>
          <t>C</t>
        </is>
      </c>
      <c r="B58" s="5">
        <f>IF(C58="","",IFERROR(INDEX($B$16:$B$35,C58),"No不正"))</f>
        <v/>
      </c>
      <c r="C58" s="18" t="n">
        <v>6</v>
      </c>
      <c r="D58" s="5">
        <f>IF(E58="","",IFERROR(INDEX($B$40:$B$51,E58),"No不正"))</f>
        <v/>
      </c>
      <c r="E58" s="18" t="n">
        <v>3</v>
      </c>
      <c r="F58" s="18" t="n"/>
      <c r="G58" s="18" t="n"/>
      <c r="H58" s="6">
        <f>IF(C58="","",IFERROR(INDEX($L$16:$L$35,C58),""))</f>
        <v/>
      </c>
      <c r="I58" s="6">
        <f>IF(E58="","",IFERROR(INDEX($M$40:$M$51,E58),""))</f>
        <v/>
      </c>
      <c r="J58" s="6">
        <f>IF(OR(H58="",I58=""),"",H58+I58)</f>
        <v/>
      </c>
      <c r="K58" s="6">
        <f>IF(OR(C58="",E58=""),"",IF(OR(IFERROR(INDEX($M$16:$M$35,C58),"")="✕ 足切り",IFERROR(INDEX($N$40:$N$51,E58),"")="✕ 足切り"),"✕ 足切り案を含む",IF(COUNTIF(F58:G58,"×")&gt;0,"✕ 組み合わせNG",IF(COUNTA(F58:G58)&lt;2,"未チェック","◎ 通過"))))</f>
        <v/>
      </c>
      <c r="L58" s="24" t="n"/>
      <c r="M58" s="9" t="n"/>
      <c r="N58" s="10" t="inlineStr">
        <is>
          <t>タイトル＝比較を明言／サムネ＝対比で差を見せる</t>
        </is>
      </c>
      <c r="O58" s="9" t="n"/>
      <c r="P58" s="9" t="n"/>
    </row>
    <row r="59">
      <c r="A59" s="25">
        <f>IF(COUNTIF(L56:L58,"公開用")&gt;1,"⚠ 「公開用」が2組以上あります。1組に絞ってください","")</f>
        <v/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19" t="inlineStr">
        <is>
          <t>※公開後に伸びなければ「差し替え用」の組に入れ替えてテストする。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</sheetData>
  <mergeCells count="35">
    <mergeCell ref="A14:P14"/>
    <mergeCell ref="N58:P58"/>
    <mergeCell ref="A11:B11"/>
    <mergeCell ref="C6:P6"/>
    <mergeCell ref="A53:P53"/>
    <mergeCell ref="L57:M57"/>
    <mergeCell ref="A38:P38"/>
    <mergeCell ref="C5:P5"/>
    <mergeCell ref="A52:P52"/>
    <mergeCell ref="A6:B6"/>
    <mergeCell ref="A10:P10"/>
    <mergeCell ref="N57:P57"/>
    <mergeCell ref="A7:B7"/>
    <mergeCell ref="C4:P4"/>
    <mergeCell ref="C54:P54"/>
    <mergeCell ref="A59:P59"/>
    <mergeCell ref="L55:M55"/>
    <mergeCell ref="A12:B12"/>
    <mergeCell ref="A60:P60"/>
    <mergeCell ref="A36:P36"/>
    <mergeCell ref="L58:M58"/>
    <mergeCell ref="A1:P1"/>
    <mergeCell ref="C12:P12"/>
    <mergeCell ref="A5:B5"/>
    <mergeCell ref="C11:P11"/>
    <mergeCell ref="N55:P55"/>
    <mergeCell ref="A8:B8"/>
    <mergeCell ref="A4:B4"/>
    <mergeCell ref="L56:M56"/>
    <mergeCell ref="C8:P8"/>
    <mergeCell ref="C7:P7"/>
    <mergeCell ref="A13:B13"/>
    <mergeCell ref="N56:P56"/>
    <mergeCell ref="C13:P13"/>
    <mergeCell ref="A2:P2"/>
  </mergeCells>
  <conditionalFormatting sqref="E16:G35">
    <cfRule type="expression" priority="1" dxfId="1">
      <formula>E16="○"</formula>
    </cfRule>
    <cfRule type="expression" priority="2" dxfId="2">
      <formula>E16="×"</formula>
    </cfRule>
  </conditionalFormatting>
  <conditionalFormatting sqref="M16:M35">
    <cfRule type="expression" priority="3" dxfId="1">
      <formula>LEFT($M16,1)="◎"</formula>
    </cfRule>
    <cfRule type="expression" priority="4" dxfId="2">
      <formula>LEFT($M16,1)="✕"</formula>
    </cfRule>
    <cfRule type="expression" priority="5" dxfId="3">
      <formula>LEFT($M16,1)="未"</formula>
    </cfRule>
  </conditionalFormatting>
  <conditionalFormatting sqref="C16:C35">
    <cfRule type="expression" priority="6" dxfId="4">
      <formula>AND(C16&lt;&gt;"",C16&gt;40)</formula>
    </cfRule>
  </conditionalFormatting>
  <conditionalFormatting sqref="N16:N35">
    <cfRule type="expression" priority="7" dxfId="5">
      <formula>AND(N16&lt;&gt;"",N16&lt;=3)</formula>
    </cfRule>
  </conditionalFormatting>
  <conditionalFormatting sqref="A16:P35">
    <cfRule type="expression" priority="8" dxfId="6">
      <formula>$O16="ボツ"</formula>
    </cfRule>
  </conditionalFormatting>
  <conditionalFormatting sqref="G40:I51">
    <cfRule type="expression" priority="9" dxfId="1">
      <formula>G40="○"</formula>
    </cfRule>
    <cfRule type="expression" priority="10" dxfId="2">
      <formula>G40="×"</formula>
    </cfRule>
  </conditionalFormatting>
  <conditionalFormatting sqref="N40:N51">
    <cfRule type="expression" priority="11" dxfId="1">
      <formula>LEFT($N40,1)="◎"</formula>
    </cfRule>
    <cfRule type="expression" priority="12" dxfId="2">
      <formula>LEFT($N40,1)="✕"</formula>
    </cfRule>
    <cfRule type="expression" priority="13" dxfId="3">
      <formula>LEFT($N40,1)="未"</formula>
    </cfRule>
  </conditionalFormatting>
  <conditionalFormatting sqref="F40:F51">
    <cfRule type="expression" priority="14" dxfId="4">
      <formula>F40&gt;6</formula>
    </cfRule>
  </conditionalFormatting>
  <conditionalFormatting sqref="O40:O51">
    <cfRule type="expression" priority="15" dxfId="5">
      <formula>AND(O40&lt;&gt;"",O40&lt;=3)</formula>
    </cfRule>
  </conditionalFormatting>
  <conditionalFormatting sqref="A40:P51">
    <cfRule type="expression" priority="16" dxfId="6">
      <formula>$P40="ボツ"</formula>
    </cfRule>
  </conditionalFormatting>
  <conditionalFormatting sqref="F56:G58">
    <cfRule type="expression" priority="17" dxfId="1">
      <formula>F56="○"</formula>
    </cfRule>
    <cfRule type="expression" priority="18" dxfId="2">
      <formula>F56="×"</formula>
    </cfRule>
  </conditionalFormatting>
  <conditionalFormatting sqref="K56:K58">
    <cfRule type="expression" priority="19" dxfId="1">
      <formula>LEFT($K56,1)="◎"</formula>
    </cfRule>
    <cfRule type="expression" priority="20" dxfId="2">
      <formula>LEFT($K56,1)="✕"</formula>
    </cfRule>
    <cfRule type="expression" priority="21" dxfId="3">
      <formula>LEFT($K56,1)="未"</formula>
    </cfRule>
  </conditionalFormatting>
  <conditionalFormatting sqref="L56:M58">
    <cfRule type="expression" priority="22" dxfId="7">
      <formula>$L56="公開用"</formula>
    </cfRule>
  </conditionalFormatting>
  <dataValidations count="10">
    <dataValidation sqref="E16:G35" showDropDown="0" showInputMessage="0" showErrorMessage="0" allowBlank="1" type="list">
      <formula1>"○,×"</formula1>
    </dataValidation>
    <dataValidation sqref="H16:K35" showDropDown="0" showInputMessage="0" showErrorMessage="0" allowBlank="1" type="whole" operator="between">
      <formula1>1</formula1>
      <formula2>5</formula2>
    </dataValidation>
    <dataValidation sqref="O16:O35" showDropDown="0" showInputMessage="0" showErrorMessage="0" allowBlank="1" type="list">
      <formula1>"本命,差し替え候補,保留,ボツ"</formula1>
    </dataValidation>
    <dataValidation sqref="G40:I51" showDropDown="0" showInputMessage="0" showErrorMessage="0" allowBlank="1" type="list">
      <formula1>"○,×"</formula1>
    </dataValidation>
    <dataValidation sqref="J40:L51" showDropDown="0" showInputMessage="0" showErrorMessage="0" allowBlank="1" type="whole" operator="between">
      <formula1>1</formula1>
      <formula2>5</formula2>
    </dataValidation>
    <dataValidation sqref="P40:P51" showDropDown="0" showInputMessage="0" showErrorMessage="0" allowBlank="1" type="list">
      <formula1>"本命,差し替え候補,保留,ボツ"</formula1>
    </dataValidation>
    <dataValidation sqref="C56:C58" showDropDown="0" showInputMessage="0" showErrorMessage="0" allowBlank="1" type="whole" operator="between">
      <formula1>1</formula1>
      <formula2>20</formula2>
    </dataValidation>
    <dataValidation sqref="E56:E58" showDropDown="0" showInputMessage="0" showErrorMessage="0" allowBlank="1" type="whole" operator="between">
      <formula1>1</formula1>
      <formula2>12</formula2>
    </dataValidation>
    <dataValidation sqref="F56:G58" showDropDown="0" showInputMessage="0" showErrorMessage="0" allowBlank="1" type="list">
      <formula1>"○,×"</formula1>
    </dataValidation>
    <dataValidation sqref="L56:L58" showDropDown="0" showInputMessage="0" showErrorMessage="0" allowBlank="1" type="list">
      <formula1>"公開用,差し替え用,ボツ"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7" customWidth="1" min="3" max="3"/>
    <col width="30" customWidth="1" min="4" max="4"/>
    <col width="9" customWidth="1" min="5" max="5"/>
    <col width="9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7" customWidth="1" min="14" max="14"/>
    <col width="11" customWidth="1" min="15" max="15"/>
    <col width="24" customWidth="1" min="16" max="16"/>
    <col width="4" customWidth="1" min="17" max="17"/>
  </cols>
  <sheetData>
    <row r="1">
      <c r="A1" s="1" t="inlineStr">
        <is>
          <t>タイトル・サムネ決定シート｜③ 3週間で伸びる人と伸びない人の練習の違い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30" customHeight="1">
      <c r="A2" s="2" t="inlineStr">
        <is>
          <t>手順：❶タイトル足切り（○/×）→ ❷タイトル採点（1〜5）→ ❸サムネ足切り → ❹サムネ採点 → ❺上位からA/B/Cの組み合わせを作る → ❻1組だけ「公開用」にする。黄色セルだけ入力、他は自動。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4" ht="18" customHeight="1">
      <c r="A4" s="8" t="inlineStr">
        <is>
          <t>動画のテーマ</t>
        </is>
      </c>
      <c r="B4" s="9" t="n"/>
      <c r="C4" s="10" t="inlineStr">
        <is>
          <t>IELTSスピーキング｜3週間で伸びる人と伸びない人の練習の違い</t>
        </is>
      </c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8" customHeight="1">
      <c r="A5" s="8" t="inlineStr">
        <is>
          <t>好奇心の型</t>
        </is>
      </c>
      <c r="B5" s="9" t="n"/>
      <c r="C5" s="10" t="inlineStr">
        <is>
          <t>対立（比べて戦わせる）＋結果型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8" customHeight="1">
      <c r="A6" s="8" t="inlineStr">
        <is>
          <t>伏せる情報（答え）</t>
        </is>
      </c>
      <c r="B6" s="9" t="n"/>
      <c r="C6" s="10" t="inlineStr">
        <is>
          <t>伸びた人が具体的にやめた練習／伸びなかった人がつまずいた点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30" customHeight="1">
      <c r="A7" s="8" t="inlineStr">
        <is>
          <t>借りる要素（アウトライヤー）</t>
        </is>
      </c>
      <c r="B7" s="9" t="n"/>
      <c r="C7" s="10" t="inlineStr">
        <is>
          <t>Nepal BBC「BAND 6.0 vs 7.5」6.9x／11,926の比較提示 ＋ ORIENT ACADEMY 58x／76,246の模試型 → 借りるのは1つ：同じ条件の2人を並べる構図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8" customHeight="1">
      <c r="A8" s="8" t="inlineStr">
        <is>
          <t>ストッパー（1〜2個）</t>
        </is>
      </c>
      <c r="B8" s="9" t="n"/>
      <c r="C8" s="10" t="inlineStr">
        <is>
          <t>大きな数字（3週間）／対比（分割・矢印）／感情（焦り）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10">
      <c r="A10" s="11" t="inlineStr">
        <is>
          <t>■ 決定（自動）：下の組み合わせで「公開用」を選んだものが表示されます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24" customHeight="1">
      <c r="A11" s="12" t="inlineStr">
        <is>
          <t>公開するタイトル</t>
        </is>
      </c>
      <c r="B11" s="9" t="n"/>
      <c r="C11" s="13">
        <f>IFERROR(INDEX($B$56:$B$58,MATCH("公開用",$L$56:$L$58,0)),"未決定（組み合わせ表で「公開用」を選んでください）")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24" customHeight="1">
      <c r="A12" s="12" t="inlineStr">
        <is>
          <t>公開するサムネ</t>
        </is>
      </c>
      <c r="B12" s="9" t="n"/>
      <c r="C12" s="13">
        <f>IFERROR(INDEX($D$56:$D$58,MATCH("公開用",$L$56:$L$58,0)),"未決定")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24" customHeight="1">
      <c r="A13" s="12" t="inlineStr">
        <is>
          <t>差し替え用</t>
        </is>
      </c>
      <c r="B13" s="9" t="n"/>
      <c r="C13" s="4">
        <f>COUNTIF($L$56:$L$58,"差し替え用")&amp;" 組"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>
      <c r="A14" s="14" t="inlineStr">
        <is>
          <t>■ タイトル案（20案）　足切り：1つでも×なら除外 ／ 採点：1〜5（5が最高）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32" customHeight="1">
      <c r="A15" s="15" t="inlineStr">
        <is>
          <t>No</t>
        </is>
      </c>
      <c r="B15" s="15" t="inlineStr">
        <is>
          <t>タイトル案</t>
        </is>
      </c>
      <c r="C15" s="15" t="inlineStr">
        <is>
          <t>字数</t>
        </is>
      </c>
      <c r="D15" s="15" t="inlineStr">
        <is>
          <t>スマホで見える前半30字</t>
        </is>
      </c>
      <c r="E15" s="16" t="inlineStr">
        <is>
          <t>①中身と
一致</t>
        </is>
      </c>
      <c r="F15" s="16" t="inlineStr">
        <is>
          <t>②答えを
伏せる</t>
        </is>
      </c>
      <c r="G15" s="16" t="inlineStr">
        <is>
          <t>③30字で
伝わる</t>
        </is>
      </c>
      <c r="H15" s="17" t="inlineStr">
        <is>
          <t>好奇心</t>
        </is>
      </c>
      <c r="I15" s="17" t="inlineStr">
        <is>
          <t>強い言葉</t>
        </is>
      </c>
      <c r="J15" s="17" t="inlineStr">
        <is>
          <t>分かり
やすさ</t>
        </is>
      </c>
      <c r="K15" s="17" t="inlineStr">
        <is>
          <t>サムネと
重複しない</t>
        </is>
      </c>
      <c r="L15" s="17" t="inlineStr">
        <is>
          <t>合計
/20</t>
        </is>
      </c>
      <c r="M15" s="15" t="inlineStr">
        <is>
          <t>判定</t>
        </is>
      </c>
      <c r="N15" s="15" t="inlineStr">
        <is>
          <t>順位</t>
        </is>
      </c>
      <c r="O15" s="15" t="inlineStr">
        <is>
          <t>最終判断</t>
        </is>
      </c>
      <c r="P15" s="15" t="inlineStr">
        <is>
          <t>メモ</t>
        </is>
      </c>
    </row>
    <row r="16" ht="30" customHeight="1">
      <c r="A16" s="6" t="n">
        <v>1</v>
      </c>
      <c r="B16" s="10" t="inlineStr">
        <is>
          <t>3週間で伸びた人と伸びなかった人、練習の何が違ったか</t>
        </is>
      </c>
      <c r="C16" s="6">
        <f>IF(B16="","",LEN(B16))</f>
        <v/>
      </c>
      <c r="D16" s="5">
        <f>IF(B16="","",LEFT(B16,30))</f>
        <v/>
      </c>
      <c r="E16" s="18" t="n"/>
      <c r="F16" s="18" t="n"/>
      <c r="G16" s="18" t="n"/>
      <c r="H16" s="18" t="n">
        <v>5</v>
      </c>
      <c r="I16" s="18" t="n">
        <v>4</v>
      </c>
      <c r="J16" s="18" t="n">
        <v>5</v>
      </c>
      <c r="K16" s="18" t="n">
        <v>4</v>
      </c>
      <c r="L16" s="6">
        <f>IF(COUNT(H16:K16)&lt;4,"",SUM(H16:K16))</f>
        <v/>
      </c>
      <c r="M16" s="6">
        <f>IF(B16="","",IF(COUNTIF(E16:G16,"×")&gt;0,"✕ 足切り",IF(COUNTA(E16:G16)&lt;3,"未チェック","◎ 通過")))</f>
        <v/>
      </c>
      <c r="N16" s="6">
        <f>IF(OR(L16="",M16="✕ 足切り"),"",COUNTIFS($M$16:$M$35,"&lt;&gt;✕ 足切り",$L$16:$L$35,"&gt;"&amp;L16)+1)</f>
        <v/>
      </c>
      <c r="O16" s="18" t="n"/>
      <c r="P16" s="10" t="n"/>
    </row>
    <row r="17" ht="30" customHeight="1">
      <c r="A17" s="6" t="n">
        <v>2</v>
      </c>
      <c r="B17" s="10" t="inlineStr">
        <is>
          <t>同じ3週間でも、スコアが上がる人と上がらない人の差</t>
        </is>
      </c>
      <c r="C17" s="6">
        <f>IF(B17="","",LEN(B17))</f>
        <v/>
      </c>
      <c r="D17" s="5">
        <f>IF(B17="","",LEFT(B17,30))</f>
        <v/>
      </c>
      <c r="E17" s="18" t="n"/>
      <c r="F17" s="18" t="n"/>
      <c r="G17" s="18" t="n"/>
      <c r="H17" s="18" t="n">
        <v>5</v>
      </c>
      <c r="I17" s="18" t="n">
        <v>4</v>
      </c>
      <c r="J17" s="18" t="n">
        <v>5</v>
      </c>
      <c r="K17" s="18" t="n">
        <v>4</v>
      </c>
      <c r="L17" s="6">
        <f>IF(COUNT(H17:K17)&lt;4,"",SUM(H17:K17))</f>
        <v/>
      </c>
      <c r="M17" s="6">
        <f>IF(B17="","",IF(COUNTIF(E17:G17,"×")&gt;0,"✕ 足切り",IF(COUNTA(E17:G17)&lt;3,"未チェック","◎ 通過")))</f>
        <v/>
      </c>
      <c r="N17" s="6">
        <f>IF(OR(L17="",M17="✕ 足切り"),"",COUNTIFS($M$16:$M$35,"&lt;&gt;✕ 足切り",$L$16:$L$35,"&gt;"&amp;L17)+1)</f>
        <v/>
      </c>
      <c r="O17" s="18" t="n"/>
      <c r="P17" s="10" t="n"/>
    </row>
    <row r="18" ht="30" customHeight="1">
      <c r="A18" s="6" t="n">
        <v>3</v>
      </c>
      <c r="B18" s="10" t="inlineStr">
        <is>
          <t>3週間で6.0→6.5を取った人が、やめた練習</t>
        </is>
      </c>
      <c r="C18" s="6">
        <f>IF(B18="","",LEN(B18))</f>
        <v/>
      </c>
      <c r="D18" s="5">
        <f>IF(B18="","",LEFT(B18,30))</f>
        <v/>
      </c>
      <c r="E18" s="18" t="n"/>
      <c r="F18" s="18" t="n"/>
      <c r="G18" s="18" t="n"/>
      <c r="H18" s="18" t="n">
        <v>5</v>
      </c>
      <c r="I18" s="18" t="n">
        <v>5</v>
      </c>
      <c r="J18" s="18" t="n">
        <v>5</v>
      </c>
      <c r="K18" s="18" t="n">
        <v>4</v>
      </c>
      <c r="L18" s="6">
        <f>IF(COUNT(H18:K18)&lt;4,"",SUM(H18:K18))</f>
        <v/>
      </c>
      <c r="M18" s="6">
        <f>IF(B18="","",IF(COUNTIF(E18:G18,"×")&gt;0,"✕ 足切り",IF(COUNTA(E18:G18)&lt;3,"未チェック","◎ 通過")))</f>
        <v/>
      </c>
      <c r="N18" s="6">
        <f>IF(OR(L18="",M18="✕ 足切り"),"",COUNTIFS($M$16:$M$35,"&lt;&gt;✕ 足切り",$L$16:$L$35,"&gt;"&amp;L18)+1)</f>
        <v/>
      </c>
      <c r="O18" s="18" t="n"/>
      <c r="P18" s="10" t="n"/>
    </row>
    <row r="19" ht="30" customHeight="1">
      <c r="A19" s="6" t="n">
        <v>4</v>
      </c>
      <c r="B19" s="10" t="inlineStr">
        <is>
          <t>伸びる人は3週間で何を変えたのか。受講生を比べて分かったこと</t>
        </is>
      </c>
      <c r="C19" s="6">
        <f>IF(B19="","",LEN(B19))</f>
        <v/>
      </c>
      <c r="D19" s="5">
        <f>IF(B19="","",LEFT(B19,30))</f>
        <v/>
      </c>
      <c r="E19" s="18" t="n"/>
      <c r="F19" s="18" t="n"/>
      <c r="G19" s="18" t="n"/>
      <c r="H19" s="18" t="n">
        <v>4</v>
      </c>
      <c r="I19" s="18" t="n">
        <v>3</v>
      </c>
      <c r="J19" s="18" t="n">
        <v>4</v>
      </c>
      <c r="K19" s="18" t="n">
        <v>4</v>
      </c>
      <c r="L19" s="6">
        <f>IF(COUNT(H19:K19)&lt;4,"",SUM(H19:K19))</f>
        <v/>
      </c>
      <c r="M19" s="6">
        <f>IF(B19="","",IF(COUNTIF(E19:G19,"×")&gt;0,"✕ 足切り",IF(COUNTA(E19:G19)&lt;3,"未チェック","◎ 通過")))</f>
        <v/>
      </c>
      <c r="N19" s="6">
        <f>IF(OR(L19="",M19="✕ 足切り"),"",COUNTIFS($M$16:$M$35,"&lt;&gt;✕ 足切り",$L$16:$L$35,"&gt;"&amp;L19)+1)</f>
        <v/>
      </c>
      <c r="O19" s="18" t="n"/>
      <c r="P19" s="10" t="n"/>
    </row>
    <row r="20" ht="30" customHeight="1">
      <c r="A20" s="6" t="n">
        <v>5</v>
      </c>
      <c r="B20" s="10" t="inlineStr">
        <is>
          <t>3週間で結果を出す人と出せない人、分かれ目はここでした</t>
        </is>
      </c>
      <c r="C20" s="6">
        <f>IF(B20="","",LEN(B20))</f>
        <v/>
      </c>
      <c r="D20" s="5">
        <f>IF(B20="","",LEFT(B20,30))</f>
        <v/>
      </c>
      <c r="E20" s="18" t="n"/>
      <c r="F20" s="18" t="n"/>
      <c r="G20" s="18" t="n"/>
      <c r="H20" s="18" t="n">
        <v>5</v>
      </c>
      <c r="I20" s="18" t="n">
        <v>4</v>
      </c>
      <c r="J20" s="18" t="n">
        <v>5</v>
      </c>
      <c r="K20" s="18" t="n">
        <v>4</v>
      </c>
      <c r="L20" s="6">
        <f>IF(COUNT(H20:K20)&lt;4,"",SUM(H20:K20))</f>
        <v/>
      </c>
      <c r="M20" s="6">
        <f>IF(B20="","",IF(COUNTIF(E20:G20,"×")&gt;0,"✕ 足切り",IF(COUNTA(E20:G20)&lt;3,"未チェック","◎ 通過")))</f>
        <v/>
      </c>
      <c r="N20" s="6">
        <f>IF(OR(L20="",M20="✕ 足切り"),"",COUNTIFS($M$16:$M$35,"&lt;&gt;✕ 足切り",$L$16:$L$35,"&gt;"&amp;L20)+1)</f>
        <v/>
      </c>
      <c r="O20" s="18" t="n"/>
      <c r="P20" s="10" t="n"/>
    </row>
    <row r="21" ht="30" customHeight="1">
      <c r="A21" s="6" t="n">
        <v>6</v>
      </c>
      <c r="B21" s="10" t="inlineStr">
        <is>
          <t>同じ教材を使っても伸びる人と伸びない人がいる理由</t>
        </is>
      </c>
      <c r="C21" s="6">
        <f>IF(B21="","",LEN(B21))</f>
        <v/>
      </c>
      <c r="D21" s="5">
        <f>IF(B21="","",LEFT(B21,30))</f>
        <v/>
      </c>
      <c r="E21" s="18" t="n"/>
      <c r="F21" s="18" t="n"/>
      <c r="G21" s="18" t="n"/>
      <c r="H21" s="18" t="n">
        <v>5</v>
      </c>
      <c r="I21" s="18" t="n">
        <v>4</v>
      </c>
      <c r="J21" s="18" t="n">
        <v>5</v>
      </c>
      <c r="K21" s="18" t="n">
        <v>5</v>
      </c>
      <c r="L21" s="6">
        <f>IF(COUNT(H21:K21)&lt;4,"",SUM(H21:K21))</f>
        <v/>
      </c>
      <c r="M21" s="6">
        <f>IF(B21="","",IF(COUNTIF(E21:G21,"×")&gt;0,"✕ 足切り",IF(COUNTA(E21:G21)&lt;3,"未チェック","◎ 通過")))</f>
        <v/>
      </c>
      <c r="N21" s="6">
        <f>IF(OR(L21="",M21="✕ 足切り"),"",COUNTIFS($M$16:$M$35,"&lt;&gt;✕ 足切り",$L$16:$L$35,"&gt;"&amp;L21)+1)</f>
        <v/>
      </c>
      <c r="O21" s="18" t="n"/>
      <c r="P21" s="10" t="n"/>
    </row>
    <row r="22" ht="30" customHeight="1">
      <c r="A22" s="6" t="n">
        <v>7</v>
      </c>
      <c r="B22" s="10" t="inlineStr">
        <is>
          <t>3週間で0.5上げた人の練習メニュー、全部公開します</t>
        </is>
      </c>
      <c r="C22" s="6">
        <f>IF(B22="","",LEN(B22))</f>
        <v/>
      </c>
      <c r="D22" s="5">
        <f>IF(B22="","",LEFT(B22,30))</f>
        <v/>
      </c>
      <c r="E22" s="18" t="n"/>
      <c r="F22" s="18" t="n"/>
      <c r="G22" s="18" t="n"/>
      <c r="H22" s="18" t="n">
        <v>4</v>
      </c>
      <c r="I22" s="18" t="n">
        <v>3</v>
      </c>
      <c r="J22" s="18" t="n">
        <v>4</v>
      </c>
      <c r="K22" s="18" t="n">
        <v>3</v>
      </c>
      <c r="L22" s="6">
        <f>IF(COUNT(H22:K22)&lt;4,"",SUM(H22:K22))</f>
        <v/>
      </c>
      <c r="M22" s="6">
        <f>IF(B22="","",IF(COUNTIF(E22:G22,"×")&gt;0,"✕ 足切り",IF(COUNTA(E22:G22)&lt;3,"未チェック","◎ 通過")))</f>
        <v/>
      </c>
      <c r="N22" s="6">
        <f>IF(OR(L22="",M22="✕ 足切り"),"",COUNTIFS($M$16:$M$35,"&lt;&gt;✕ 足切り",$L$16:$L$35,"&gt;"&amp;L22)+1)</f>
        <v/>
      </c>
      <c r="O22" s="18" t="n"/>
      <c r="P22" s="10" t="n"/>
    </row>
    <row r="23" ht="30" customHeight="1">
      <c r="A23" s="6" t="n">
        <v>8</v>
      </c>
      <c r="B23" s="10" t="inlineStr">
        <is>
          <t>伸びない人は3週間、何をしていたのか</t>
        </is>
      </c>
      <c r="C23" s="6">
        <f>IF(B23="","",LEN(B23))</f>
        <v/>
      </c>
      <c r="D23" s="5">
        <f>IF(B23="","",LEFT(B23,30))</f>
        <v/>
      </c>
      <c r="E23" s="18" t="n"/>
      <c r="F23" s="18" t="n"/>
      <c r="G23" s="18" t="n"/>
      <c r="H23" s="18" t="n">
        <v>5</v>
      </c>
      <c r="I23" s="18" t="n">
        <v>5</v>
      </c>
      <c r="J23" s="18" t="n">
        <v>5</v>
      </c>
      <c r="K23" s="18" t="n">
        <v>5</v>
      </c>
      <c r="L23" s="6">
        <f>IF(COUNT(H23:K23)&lt;4,"",SUM(H23:K23))</f>
        <v/>
      </c>
      <c r="M23" s="6">
        <f>IF(B23="","",IF(COUNTIF(E23:G23,"×")&gt;0,"✕ 足切り",IF(COUNTA(E23:G23)&lt;3,"未チェック","◎ 通過")))</f>
        <v/>
      </c>
      <c r="N23" s="6">
        <f>IF(OR(L23="",M23="✕ 足切り"),"",COUNTIFS($M$16:$M$35,"&lt;&gt;✕ 足切り",$L$16:$L$35,"&gt;"&amp;L23)+1)</f>
        <v/>
      </c>
      <c r="O23" s="18" t="n"/>
      <c r="P23" s="10" t="n"/>
    </row>
    <row r="24" ht="30" customHeight="1">
      <c r="A24" s="6" t="n">
        <v>9</v>
      </c>
      <c r="B24" s="10" t="inlineStr">
        <is>
          <t>短期間でスコアを上げた人だけがやっていた3つのこと</t>
        </is>
      </c>
      <c r="C24" s="6">
        <f>IF(B24="","",LEN(B24))</f>
        <v/>
      </c>
      <c r="D24" s="5">
        <f>IF(B24="","",LEFT(B24,30))</f>
        <v/>
      </c>
      <c r="E24" s="18" t="n"/>
      <c r="F24" s="18" t="n"/>
      <c r="G24" s="18" t="n"/>
      <c r="H24" s="18" t="n">
        <v>4</v>
      </c>
      <c r="I24" s="18" t="n">
        <v>3</v>
      </c>
      <c r="J24" s="18" t="n">
        <v>4</v>
      </c>
      <c r="K24" s="18" t="n">
        <v>5</v>
      </c>
      <c r="L24" s="6">
        <f>IF(COUNT(H24:K24)&lt;4,"",SUM(H24:K24))</f>
        <v/>
      </c>
      <c r="M24" s="6">
        <f>IF(B24="","",IF(COUNTIF(E24:G24,"×")&gt;0,"✕ 足切り",IF(COUNTA(E24:G24)&lt;3,"未チェック","◎ 通過")))</f>
        <v/>
      </c>
      <c r="N24" s="6">
        <f>IF(OR(L24="",M24="✕ 足切り"),"",COUNTIFS($M$16:$M$35,"&lt;&gt;✕ 足切り",$L$16:$L$35,"&gt;"&amp;L24)+1)</f>
        <v/>
      </c>
      <c r="O24" s="18" t="n"/>
      <c r="P24" s="10" t="n"/>
    </row>
    <row r="25" ht="30" customHeight="1">
      <c r="A25" s="6" t="n">
        <v>10</v>
      </c>
      <c r="B25" s="10" t="inlineStr">
        <is>
          <t>3週間で結果を変えた人と変えられなかった人の差</t>
        </is>
      </c>
      <c r="C25" s="6">
        <f>IF(B25="","",LEN(B25))</f>
        <v/>
      </c>
      <c r="D25" s="5">
        <f>IF(B25="","",LEFT(B25,30))</f>
        <v/>
      </c>
      <c r="E25" s="18" t="n"/>
      <c r="F25" s="18" t="n"/>
      <c r="G25" s="18" t="n"/>
      <c r="H25" s="18" t="n">
        <v>4</v>
      </c>
      <c r="I25" s="18" t="n">
        <v>4</v>
      </c>
      <c r="J25" s="18" t="n">
        <v>5</v>
      </c>
      <c r="K25" s="18" t="n">
        <v>4</v>
      </c>
      <c r="L25" s="6">
        <f>IF(COUNT(H25:K25)&lt;4,"",SUM(H25:K25))</f>
        <v/>
      </c>
      <c r="M25" s="6">
        <f>IF(B25="","",IF(COUNTIF(E25:G25,"×")&gt;0,"✕ 足切り",IF(COUNTA(E25:G25)&lt;3,"未チェック","◎ 通過")))</f>
        <v/>
      </c>
      <c r="N25" s="6">
        <f>IF(OR(L25="",M25="✕ 足切り"),"",COUNTIFS($M$16:$M$35,"&lt;&gt;✕ 足切り",$L$16:$L$35,"&gt;"&amp;L25)+1)</f>
        <v/>
      </c>
      <c r="O25" s="18" t="n"/>
      <c r="P25" s="10" t="n"/>
    </row>
    <row r="26" ht="30" customHeight="1">
      <c r="A26" s="6" t="n">
        <v>11</v>
      </c>
      <c r="B26" s="10" t="inlineStr">
        <is>
          <t>同じ期間・同じ教材。それでも差がついた理由を話します</t>
        </is>
      </c>
      <c r="C26" s="6">
        <f>IF(B26="","",LEN(B26))</f>
        <v/>
      </c>
      <c r="D26" s="5">
        <f>IF(B26="","",LEFT(B26,30))</f>
        <v/>
      </c>
      <c r="E26" s="18" t="n"/>
      <c r="F26" s="18" t="n"/>
      <c r="G26" s="18" t="n"/>
      <c r="H26" s="18" t="n">
        <v>4</v>
      </c>
      <c r="I26" s="18" t="n">
        <v>3</v>
      </c>
      <c r="J26" s="18" t="n">
        <v>5</v>
      </c>
      <c r="K26" s="18" t="n">
        <v>4</v>
      </c>
      <c r="L26" s="6">
        <f>IF(COUNT(H26:K26)&lt;4,"",SUM(H26:K26))</f>
        <v/>
      </c>
      <c r="M26" s="6">
        <f>IF(B26="","",IF(COUNTIF(E26:G26,"×")&gt;0,"✕ 足切り",IF(COUNTA(E26:G26)&lt;3,"未チェック","◎ 通過")))</f>
        <v/>
      </c>
      <c r="N26" s="6">
        <f>IF(OR(L26="",M26="✕ 足切り"),"",COUNTIFS($M$16:$M$35,"&lt;&gt;✕ 足切り",$L$16:$L$35,"&gt;"&amp;L26)+1)</f>
        <v/>
      </c>
      <c r="O26" s="18" t="n"/>
      <c r="P26" s="10" t="n"/>
    </row>
    <row r="27" ht="30" customHeight="1">
      <c r="A27" s="6" t="n">
        <v>12</v>
      </c>
      <c r="B27" s="10" t="inlineStr">
        <is>
          <t>3週間でスコアが動く人の練習は、ここが違っていた</t>
        </is>
      </c>
      <c r="C27" s="6">
        <f>IF(B27="","",LEN(B27))</f>
        <v/>
      </c>
      <c r="D27" s="5">
        <f>IF(B27="","",LEFT(B27,30))</f>
        <v/>
      </c>
      <c r="E27" s="18" t="n"/>
      <c r="F27" s="18" t="n"/>
      <c r="G27" s="18" t="n"/>
      <c r="H27" s="18" t="n">
        <v>4</v>
      </c>
      <c r="I27" s="18" t="n">
        <v>3</v>
      </c>
      <c r="J27" s="18" t="n">
        <v>4</v>
      </c>
      <c r="K27" s="18" t="n">
        <v>4</v>
      </c>
      <c r="L27" s="6">
        <f>IF(COUNT(H27:K27)&lt;4,"",SUM(H27:K27))</f>
        <v/>
      </c>
      <c r="M27" s="6">
        <f>IF(B27="","",IF(COUNTIF(E27:G27,"×")&gt;0,"✕ 足切り",IF(COUNTA(E27:G27)&lt;3,"未チェック","◎ 通過")))</f>
        <v/>
      </c>
      <c r="N27" s="6">
        <f>IF(OR(L27="",M27="✕ 足切り"),"",COUNTIFS($M$16:$M$35,"&lt;&gt;✕ 足切り",$L$16:$L$35,"&gt;"&amp;L27)+1)</f>
        <v/>
      </c>
      <c r="O27" s="18" t="n"/>
      <c r="P27" s="10" t="n"/>
    </row>
    <row r="28" ht="30" customHeight="1">
      <c r="A28" s="6" t="n">
        <v>13</v>
      </c>
      <c r="B28" s="10" t="inlineStr">
        <is>
          <t>「間に合わない」と言う人と「間に合った」人の違い</t>
        </is>
      </c>
      <c r="C28" s="6">
        <f>IF(B28="","",LEN(B28))</f>
        <v/>
      </c>
      <c r="D28" s="5">
        <f>IF(B28="","",LEFT(B28,30))</f>
        <v/>
      </c>
      <c r="E28" s="18" t="n"/>
      <c r="F28" s="18" t="n"/>
      <c r="G28" s="18" t="n"/>
      <c r="H28" s="18" t="n">
        <v>5</v>
      </c>
      <c r="I28" s="18" t="n">
        <v>4</v>
      </c>
      <c r="J28" s="18" t="n">
        <v>5</v>
      </c>
      <c r="K28" s="18" t="n">
        <v>4</v>
      </c>
      <c r="L28" s="6">
        <f>IF(COUNT(H28:K28)&lt;4,"",SUM(H28:K28))</f>
        <v/>
      </c>
      <c r="M28" s="6">
        <f>IF(B28="","",IF(COUNTIF(E28:G28,"×")&gt;0,"✕ 足切り",IF(COUNTA(E28:G28)&lt;3,"未チェック","◎ 通過")))</f>
        <v/>
      </c>
      <c r="N28" s="6">
        <f>IF(OR(L28="",M28="✕ 足切り"),"",COUNTIFS($M$16:$M$35,"&lt;&gt;✕ 足切り",$L$16:$L$35,"&gt;"&amp;L28)+1)</f>
        <v/>
      </c>
      <c r="O28" s="18" t="n"/>
      <c r="P28" s="10" t="n"/>
    </row>
    <row r="29" ht="30" customHeight="1">
      <c r="A29" s="6" t="n">
        <v>14</v>
      </c>
      <c r="B29" s="10" t="inlineStr">
        <is>
          <t>短期間で伸びた人の共通点を、受講生の記録から見つけました</t>
        </is>
      </c>
      <c r="C29" s="6">
        <f>IF(B29="","",LEN(B29))</f>
        <v/>
      </c>
      <c r="D29" s="5">
        <f>IF(B29="","",LEFT(B29,30))</f>
        <v/>
      </c>
      <c r="E29" s="18" t="n"/>
      <c r="F29" s="18" t="n"/>
      <c r="G29" s="18" t="n"/>
      <c r="H29" s="18" t="n">
        <v>4</v>
      </c>
      <c r="I29" s="18" t="n">
        <v>3</v>
      </c>
      <c r="J29" s="18" t="n">
        <v>4</v>
      </c>
      <c r="K29" s="18" t="n">
        <v>4</v>
      </c>
      <c r="L29" s="6">
        <f>IF(COUNT(H29:K29)&lt;4,"",SUM(H29:K29))</f>
        <v/>
      </c>
      <c r="M29" s="6">
        <f>IF(B29="","",IF(COUNTIF(E29:G29,"×")&gt;0,"✕ 足切り",IF(COUNTA(E29:G29)&lt;3,"未チェック","◎ 通過")))</f>
        <v/>
      </c>
      <c r="N29" s="6">
        <f>IF(OR(L29="",M29="✕ 足切り"),"",COUNTIFS($M$16:$M$35,"&lt;&gt;✕ 足切り",$L$16:$L$35,"&gt;"&amp;L29)+1)</f>
        <v/>
      </c>
      <c r="O29" s="18" t="n"/>
      <c r="P29" s="10" t="n"/>
    </row>
    <row r="30" ht="30" customHeight="1">
      <c r="A30" s="6" t="n">
        <v>15</v>
      </c>
      <c r="B30" s="10" t="inlineStr">
        <is>
          <t>3週間で伸びる人と伸びない人、机の上はこう違う</t>
        </is>
      </c>
      <c r="C30" s="6">
        <f>IF(B30="","",LEN(B30))</f>
        <v/>
      </c>
      <c r="D30" s="5">
        <f>IF(B30="","",LEFT(B30,30))</f>
        <v/>
      </c>
      <c r="E30" s="18" t="n"/>
      <c r="F30" s="18" t="n"/>
      <c r="G30" s="18" t="n"/>
      <c r="H30" s="18" t="n">
        <v>4</v>
      </c>
      <c r="I30" s="18" t="n">
        <v>4</v>
      </c>
      <c r="J30" s="18" t="n">
        <v>4</v>
      </c>
      <c r="K30" s="18" t="n">
        <v>3</v>
      </c>
      <c r="L30" s="6">
        <f>IF(COUNT(H30:K30)&lt;4,"",SUM(H30:K30))</f>
        <v/>
      </c>
      <c r="M30" s="6">
        <f>IF(B30="","",IF(COUNTIF(E30:G30,"×")&gt;0,"✕ 足切り",IF(COUNTA(E30:G30)&lt;3,"未チェック","◎ 通過")))</f>
        <v/>
      </c>
      <c r="N30" s="6">
        <f>IF(OR(L30="",M30="✕ 足切り"),"",COUNTIFS($M$16:$M$35,"&lt;&gt;✕ 足切り",$L$16:$L$35,"&gt;"&amp;L30)+1)</f>
        <v/>
      </c>
      <c r="O30" s="18" t="n"/>
      <c r="P30" s="10" t="n"/>
    </row>
    <row r="31" ht="30" customHeight="1">
      <c r="A31" s="6" t="n">
        <v>16</v>
      </c>
      <c r="B31" s="10" t="inlineStr">
        <is>
          <t>スコアが動く人は3週間、何を削っていたのか</t>
        </is>
      </c>
      <c r="C31" s="6">
        <f>IF(B31="","",LEN(B31))</f>
        <v/>
      </c>
      <c r="D31" s="5">
        <f>IF(B31="","",LEFT(B31,30))</f>
        <v/>
      </c>
      <c r="E31" s="18" t="n"/>
      <c r="F31" s="18" t="n"/>
      <c r="G31" s="18" t="n"/>
      <c r="H31" s="18" t="n">
        <v>5</v>
      </c>
      <c r="I31" s="18" t="n">
        <v>5</v>
      </c>
      <c r="J31" s="18" t="n">
        <v>4</v>
      </c>
      <c r="K31" s="18" t="n">
        <v>4</v>
      </c>
      <c r="L31" s="6">
        <f>IF(COUNT(H31:K31)&lt;4,"",SUM(H31:K31))</f>
        <v/>
      </c>
      <c r="M31" s="6">
        <f>IF(B31="","",IF(COUNTIF(E31:G31,"×")&gt;0,"✕ 足切り",IF(COUNTA(E31:G31)&lt;3,"未チェック","◎ 通過")))</f>
        <v/>
      </c>
      <c r="N31" s="6">
        <f>IF(OR(L31="",M31="✕ 足切り"),"",COUNTIFS($M$16:$M$35,"&lt;&gt;✕ 足切り",$L$16:$L$35,"&gt;"&amp;L31)+1)</f>
        <v/>
      </c>
      <c r="O31" s="18" t="n"/>
      <c r="P31" s="10" t="n"/>
    </row>
    <row r="32" ht="30" customHeight="1">
      <c r="A32" s="6" t="n">
        <v>17</v>
      </c>
      <c r="B32" s="10" t="inlineStr">
        <is>
          <t>3週間で0.5アップ。伸びた人が捨てた練習と残した練習</t>
        </is>
      </c>
      <c r="C32" s="6">
        <f>IF(B32="","",LEN(B32))</f>
        <v/>
      </c>
      <c r="D32" s="5">
        <f>IF(B32="","",LEFT(B32,30))</f>
        <v/>
      </c>
      <c r="E32" s="18" t="n"/>
      <c r="F32" s="18" t="n"/>
      <c r="G32" s="18" t="n"/>
      <c r="H32" s="18" t="n">
        <v>4</v>
      </c>
      <c r="I32" s="18" t="n">
        <v>4</v>
      </c>
      <c r="J32" s="18" t="n">
        <v>5</v>
      </c>
      <c r="K32" s="18" t="n">
        <v>3</v>
      </c>
      <c r="L32" s="6">
        <f>IF(COUNT(H32:K32)&lt;4,"",SUM(H32:K32))</f>
        <v/>
      </c>
      <c r="M32" s="6">
        <f>IF(B32="","",IF(COUNTIF(E32:G32,"×")&gt;0,"✕ 足切り",IF(COUNTA(E32:G32)&lt;3,"未チェック","◎ 通過")))</f>
        <v/>
      </c>
      <c r="N32" s="6">
        <f>IF(OR(L32="",M32="✕ 足切り"),"",COUNTIFS($M$16:$M$35,"&lt;&gt;✕ 足切り",$L$16:$L$35,"&gt;"&amp;L32)+1)</f>
        <v/>
      </c>
      <c r="O32" s="18" t="n"/>
      <c r="P32" s="10" t="n"/>
    </row>
    <row r="33" ht="30" customHeight="1">
      <c r="A33" s="6" t="n">
        <v>18</v>
      </c>
      <c r="B33" s="10" t="inlineStr">
        <is>
          <t>同じスタートから3週間。結果が分かれた理由</t>
        </is>
      </c>
      <c r="C33" s="6">
        <f>IF(B33="","",LEN(B33))</f>
        <v/>
      </c>
      <c r="D33" s="5">
        <f>IF(B33="","",LEFT(B33,30))</f>
        <v/>
      </c>
      <c r="E33" s="18" t="n"/>
      <c r="F33" s="18" t="n"/>
      <c r="G33" s="18" t="n"/>
      <c r="H33" s="18" t="n">
        <v>4</v>
      </c>
      <c r="I33" s="18" t="n">
        <v>3</v>
      </c>
      <c r="J33" s="18" t="n">
        <v>5</v>
      </c>
      <c r="K33" s="18" t="n">
        <v>4</v>
      </c>
      <c r="L33" s="6">
        <f>IF(COUNT(H33:K33)&lt;4,"",SUM(H33:K33))</f>
        <v/>
      </c>
      <c r="M33" s="6">
        <f>IF(B33="","",IF(COUNTIF(E33:G33,"×")&gt;0,"✕ 足切り",IF(COUNTA(E33:G33)&lt;3,"未チェック","◎ 通過")))</f>
        <v/>
      </c>
      <c r="N33" s="6">
        <f>IF(OR(L33="",M33="✕ 足切り"),"",COUNTIFS($M$16:$M$35,"&lt;&gt;✕ 足切り",$L$16:$L$35,"&gt;"&amp;L33)+1)</f>
        <v/>
      </c>
      <c r="O33" s="18" t="n"/>
      <c r="P33" s="10" t="n"/>
    </row>
    <row r="34" ht="30" customHeight="1">
      <c r="A34" s="6" t="n">
        <v>19</v>
      </c>
      <c r="B34" s="10" t="inlineStr">
        <is>
          <t>短期間で結果を出した人の練習法、伸びなかった人と比べます</t>
        </is>
      </c>
      <c r="C34" s="6">
        <f>IF(B34="","",LEN(B34))</f>
        <v/>
      </c>
      <c r="D34" s="5">
        <f>IF(B34="","",LEFT(B34,30))</f>
        <v/>
      </c>
      <c r="E34" s="18" t="n"/>
      <c r="F34" s="18" t="n"/>
      <c r="G34" s="18" t="n"/>
      <c r="H34" s="18" t="n">
        <v>4</v>
      </c>
      <c r="I34" s="18" t="n">
        <v>3</v>
      </c>
      <c r="J34" s="18" t="n">
        <v>4</v>
      </c>
      <c r="K34" s="18" t="n">
        <v>4</v>
      </c>
      <c r="L34" s="6">
        <f>IF(COUNT(H34:K34)&lt;4,"",SUM(H34:K34))</f>
        <v/>
      </c>
      <c r="M34" s="6">
        <f>IF(B34="","",IF(COUNTIF(E34:G34,"×")&gt;0,"✕ 足切り",IF(COUNTA(E34:G34)&lt;3,"未チェック","◎ 通過")))</f>
        <v/>
      </c>
      <c r="N34" s="6">
        <f>IF(OR(L34="",M34="✕ 足切り"),"",COUNTIFS($M$16:$M$35,"&lt;&gt;✕ 足切り",$L$16:$L$35,"&gt;"&amp;L34)+1)</f>
        <v/>
      </c>
      <c r="O34" s="18" t="n"/>
      <c r="P34" s="10" t="n"/>
    </row>
    <row r="35" ht="30" customHeight="1">
      <c r="A35" s="6" t="n">
        <v>20</v>
      </c>
      <c r="B35" s="10" t="inlineStr">
        <is>
          <t>3週間で伸びなかった人は、ここでつまずいていました</t>
        </is>
      </c>
      <c r="C35" s="6">
        <f>IF(B35="","",LEN(B35))</f>
        <v/>
      </c>
      <c r="D35" s="5">
        <f>IF(B35="","",LEFT(B35,30))</f>
        <v/>
      </c>
      <c r="E35" s="18" t="n"/>
      <c r="F35" s="18" t="n"/>
      <c r="G35" s="18" t="n"/>
      <c r="H35" s="18" t="n">
        <v>5</v>
      </c>
      <c r="I35" s="18" t="n">
        <v>4</v>
      </c>
      <c r="J35" s="18" t="n">
        <v>5</v>
      </c>
      <c r="K35" s="18" t="n">
        <v>5</v>
      </c>
      <c r="L35" s="6">
        <f>IF(COUNT(H35:K35)&lt;4,"",SUM(H35:K35))</f>
        <v/>
      </c>
      <c r="M35" s="6">
        <f>IF(B35="","",IF(COUNTIF(E35:G35,"×")&gt;0,"✕ 足切り",IF(COUNTA(E35:G35)&lt;3,"未チェック","◎ 通過")))</f>
        <v/>
      </c>
      <c r="N35" s="6">
        <f>IF(OR(L35="",M35="✕ 足切り"),"",COUNTIFS($M$16:$M$35,"&lt;&gt;✕ 足切り",$L$16:$L$35,"&gt;"&amp;L35)+1)</f>
        <v/>
      </c>
      <c r="O35" s="18" t="n"/>
      <c r="P35" s="10" t="n"/>
    </row>
    <row r="36">
      <c r="A36" s="19" t="inlineStr">
        <is>
          <t>※字数が40字を超えると赤字（長すぎの目安）。順位は足切りされていない案の中での順位（同点は同順位）。上位3位は紫。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</row>
    <row r="38">
      <c r="A38" s="20" t="inlineStr">
        <is>
          <t>■ サムネ下書き（12案）　足切り：1つでも×なら除外 ／ 採点：1〜5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</row>
    <row r="39" ht="32" customHeight="1">
      <c r="A39" s="15" t="inlineStr">
        <is>
          <t>No</t>
        </is>
      </c>
      <c r="B39" s="15" t="inlineStr">
        <is>
          <t>コンセプト（何が映っている？）</t>
        </is>
      </c>
      <c r="C39" s="15" t="inlineStr">
        <is>
          <t>型</t>
        </is>
      </c>
      <c r="D39" s="15" t="inlineStr">
        <is>
          <t>主役／ストッパー</t>
        </is>
      </c>
      <c r="E39" s="15" t="inlineStr">
        <is>
          <t>文字</t>
        </is>
      </c>
      <c r="F39" s="15" t="inlineStr">
        <is>
          <t>字数</t>
        </is>
      </c>
      <c r="G39" s="16" t="inlineStr">
        <is>
          <t>①縮小でも
読める</t>
        </is>
      </c>
      <c r="H39" s="16" t="inlineStr">
        <is>
          <t>②主役は
1つ</t>
        </is>
      </c>
      <c r="I39" s="16" t="inlineStr">
        <is>
          <t>③制作
できる</t>
        </is>
      </c>
      <c r="J39" s="17" t="inlineStr">
        <is>
          <t>好奇心</t>
        </is>
      </c>
      <c r="K39" s="17" t="inlineStr">
        <is>
          <t>2秒で
伝わる</t>
        </is>
      </c>
      <c r="L39" s="17" t="inlineStr">
        <is>
          <t>目立つ</t>
        </is>
      </c>
      <c r="M39" s="17" t="inlineStr">
        <is>
          <t>合計
/15</t>
        </is>
      </c>
      <c r="N39" s="15" t="inlineStr">
        <is>
          <t>判定</t>
        </is>
      </c>
      <c r="O39" s="15" t="inlineStr">
        <is>
          <t>順位</t>
        </is>
      </c>
      <c r="P39" s="15" t="inlineStr">
        <is>
          <t>最終判断</t>
        </is>
      </c>
    </row>
    <row r="40" ht="30" customHeight="1">
      <c r="A40" s="6" t="n">
        <v>1</v>
      </c>
      <c r="B40" s="10" t="inlineStr">
        <is>
          <t>左に伸びた受講生、右に伸びなかった受講生、間に矢印</t>
        </is>
      </c>
      <c r="C40" s="18" t="inlineStr">
        <is>
          <t>変身型</t>
        </is>
      </c>
      <c r="D40" s="10" t="inlineStr">
        <is>
          <t>2人／矢印</t>
        </is>
      </c>
      <c r="E40" s="18" t="inlineStr">
        <is>
          <t>差</t>
        </is>
      </c>
      <c r="F40" s="6">
        <f>IF(OR(E40="",E40="なし"),0,LEN(E40))</f>
        <v/>
      </c>
      <c r="G40" s="18" t="n"/>
      <c r="H40" s="18" t="n"/>
      <c r="I40" s="18" t="n"/>
      <c r="J40" s="18" t="n">
        <v>4</v>
      </c>
      <c r="K40" s="18" t="n">
        <v>5</v>
      </c>
      <c r="L40" s="18" t="n">
        <v>4</v>
      </c>
      <c r="M40" s="6">
        <f>IF(COUNT(J40:L40)&lt;3,"",SUM(J40:L40))</f>
        <v/>
      </c>
      <c r="N40" s="6">
        <f>IF(B40="","",IF(COUNTIF(G40:I40,"×")&gt;0,"✕ 足切り",IF(COUNTA(G40:I40)&lt;3,"未チェック","◎ 通過")))</f>
        <v/>
      </c>
      <c r="O40" s="6">
        <f>IF(OR(M40="",N40="✕ 足切り"),"",COUNTIFS($N$40:$N$51,"&lt;&gt;✕ 足切り",$M$40:$M$51,"&gt;"&amp;M40)+1)</f>
        <v/>
      </c>
      <c r="P40" s="18" t="n"/>
    </row>
    <row r="41" ht="30" customHeight="1">
      <c r="A41" s="6" t="n">
        <v>2</v>
      </c>
      <c r="B41" s="10" t="inlineStr">
        <is>
          <t>3週間のカレンダーとスコアの推移グラフ</t>
        </is>
      </c>
      <c r="C41" s="18" t="inlineStr">
        <is>
          <t>結果型</t>
        </is>
      </c>
      <c r="D41" s="10" t="inlineStr">
        <is>
          <t>グラフ</t>
        </is>
      </c>
      <c r="E41" s="18" t="inlineStr">
        <is>
          <t>3週間</t>
        </is>
      </c>
      <c r="F41" s="6">
        <f>IF(OR(E41="",E41="なし"),0,LEN(E41))</f>
        <v/>
      </c>
      <c r="G41" s="18" t="n"/>
      <c r="H41" s="18" t="n"/>
      <c r="I41" s="18" t="n"/>
      <c r="J41" s="18" t="n">
        <v>5</v>
      </c>
      <c r="K41" s="18" t="n">
        <v>5</v>
      </c>
      <c r="L41" s="18" t="n">
        <v>4</v>
      </c>
      <c r="M41" s="6">
        <f>IF(COUNT(J41:L41)&lt;3,"",SUM(J41:L41))</f>
        <v/>
      </c>
      <c r="N41" s="6">
        <f>IF(B41="","",IF(COUNTIF(G41:I41,"×")&gt;0,"✕ 足切り",IF(COUNTA(G41:I41)&lt;3,"未チェック","◎ 通過")))</f>
        <v/>
      </c>
      <c r="O41" s="6">
        <f>IF(OR(M41="",N41="✕ 足切り"),"",COUNTIFS($N$40:$N$51,"&lt;&gt;✕ 足切り",$M$40:$M$51,"&gt;"&amp;M41)+1)</f>
        <v/>
      </c>
      <c r="P41" s="18" t="n"/>
    </row>
    <row r="42" ht="30" customHeight="1">
      <c r="A42" s="6" t="n">
        <v>3</v>
      </c>
      <c r="B42" s="10" t="inlineStr">
        <is>
          <t>2人の机の上を並べる（教材の量が違う）</t>
        </is>
      </c>
      <c r="C42" s="18" t="inlineStr">
        <is>
          <t>新奇性型</t>
        </is>
      </c>
      <c r="D42" s="10" t="inlineStr">
        <is>
          <t>机／教材</t>
        </is>
      </c>
      <c r="E42" s="18" t="inlineStr">
        <is>
          <t>同じ教材</t>
        </is>
      </c>
      <c r="F42" s="6">
        <f>IF(OR(E42="",E42="なし"),0,LEN(E42))</f>
        <v/>
      </c>
      <c r="G42" s="18" t="n"/>
      <c r="H42" s="18" t="n"/>
      <c r="I42" s="18" t="n"/>
      <c r="J42" s="18" t="n">
        <v>4</v>
      </c>
      <c r="K42" s="18" t="n">
        <v>4</v>
      </c>
      <c r="L42" s="18" t="n">
        <v>4</v>
      </c>
      <c r="M42" s="6">
        <f>IF(COUNT(J42:L42)&lt;3,"",SUM(J42:L42))</f>
        <v/>
      </c>
      <c r="N42" s="6">
        <f>IF(B42="","",IF(COUNTIF(G42:I42,"×")&gt;0,"✕ 足切り",IF(COUNTA(G42:I42)&lt;3,"未チェック","◎ 通過")))</f>
        <v/>
      </c>
      <c r="O42" s="6">
        <f>IF(OR(M42="",N42="✕ 足切り"),"",COUNTIFS($N$40:$N$51,"&lt;&gt;✕ 足切り",$M$40:$M$51,"&gt;"&amp;M42)+1)</f>
        <v/>
      </c>
      <c r="P42" s="18" t="n"/>
    </row>
    <row r="43" ht="30" customHeight="1">
      <c r="A43" s="6" t="n">
        <v>4</v>
      </c>
      <c r="B43" s="10" t="inlineStr">
        <is>
          <t>本人が2人の答案を指している</t>
        </is>
      </c>
      <c r="C43" s="18" t="inlineStr">
        <is>
          <t>ストーリー型</t>
        </is>
      </c>
      <c r="D43" s="10" t="inlineStr">
        <is>
          <t>人物の指／答案</t>
        </is>
      </c>
      <c r="E43" s="18" t="inlineStr">
        <is>
          <t>ここが違う</t>
        </is>
      </c>
      <c r="F43" s="6">
        <f>IF(OR(E43="",E43="なし"),0,LEN(E43))</f>
        <v/>
      </c>
      <c r="G43" s="18" t="n"/>
      <c r="H43" s="18" t="n"/>
      <c r="I43" s="18" t="n"/>
      <c r="J43" s="18" t="n">
        <v>4</v>
      </c>
      <c r="K43" s="18" t="n">
        <v>5</v>
      </c>
      <c r="L43" s="18" t="n">
        <v>4</v>
      </c>
      <c r="M43" s="6">
        <f>IF(COUNT(J43:L43)&lt;3,"",SUM(J43:L43))</f>
        <v/>
      </c>
      <c r="N43" s="6">
        <f>IF(B43="","",IF(COUNTIF(G43:I43,"×")&gt;0,"✕ 足切り",IF(COUNTA(G43:I43)&lt;3,"未チェック","◎ 通過")))</f>
        <v/>
      </c>
      <c r="O43" s="6">
        <f>IF(OR(M43="",N43="✕ 足切り"),"",COUNTIFS($N$40:$N$51,"&lt;&gt;✕ 足切り",$M$40:$M$51,"&gt;"&amp;M43)+1)</f>
        <v/>
      </c>
      <c r="P43" s="18" t="n"/>
    </row>
    <row r="44" ht="30" customHeight="1">
      <c r="A44" s="6" t="n">
        <v>5</v>
      </c>
      <c r="B44" s="10" t="inlineStr">
        <is>
          <t>「6.0」と「6.5」の大きな文字、間に3週間</t>
        </is>
      </c>
      <c r="C44" s="18" t="inlineStr">
        <is>
          <t>結果型</t>
        </is>
      </c>
      <c r="D44" s="10" t="inlineStr">
        <is>
          <t>大きな数字</t>
        </is>
      </c>
      <c r="E44" s="18" t="inlineStr">
        <is>
          <t>3週間</t>
        </is>
      </c>
      <c r="F44" s="6">
        <f>IF(OR(E44="",E44="なし"),0,LEN(E44))</f>
        <v/>
      </c>
      <c r="G44" s="18" t="n"/>
      <c r="H44" s="18" t="n"/>
      <c r="I44" s="18" t="n"/>
      <c r="J44" s="18" t="n">
        <v>5</v>
      </c>
      <c r="K44" s="18" t="n">
        <v>5</v>
      </c>
      <c r="L44" s="18" t="n">
        <v>4</v>
      </c>
      <c r="M44" s="6">
        <f>IF(COUNT(J44:L44)&lt;3,"",SUM(J44:L44))</f>
        <v/>
      </c>
      <c r="N44" s="6">
        <f>IF(B44="","",IF(COUNTIF(G44:I44,"×")&gt;0,"✕ 足切り",IF(COUNTA(G44:I44)&lt;3,"未チェック","◎ 通過")))</f>
        <v/>
      </c>
      <c r="O44" s="6">
        <f>IF(OR(M44="",N44="✕ 足切り"),"",COUNTIFS($N$40:$N$51,"&lt;&gt;✕ 足切り",$M$40:$M$51,"&gt;"&amp;M44)+1)</f>
        <v/>
      </c>
      <c r="P44" s="18" t="n"/>
    </row>
    <row r="45" ht="30" customHeight="1">
      <c r="A45" s="6" t="n">
        <v>6</v>
      </c>
      <c r="B45" s="10" t="inlineStr">
        <is>
          <t>時計と焦っている表情</t>
        </is>
      </c>
      <c r="C45" s="18" t="inlineStr">
        <is>
          <t>瞬間型</t>
        </is>
      </c>
      <c r="D45" s="10" t="inlineStr">
        <is>
          <t>時計／顔</t>
        </is>
      </c>
      <c r="E45" s="18" t="inlineStr">
        <is>
          <t>間に合う？</t>
        </is>
      </c>
      <c r="F45" s="6">
        <f>IF(OR(E45="",E45="なし"),0,LEN(E45))</f>
        <v/>
      </c>
      <c r="G45" s="18" t="n"/>
      <c r="H45" s="18" t="n"/>
      <c r="I45" s="18" t="n"/>
      <c r="J45" s="18" t="n">
        <v>4</v>
      </c>
      <c r="K45" s="18" t="n">
        <v>4</v>
      </c>
      <c r="L45" s="18" t="n">
        <v>4</v>
      </c>
      <c r="M45" s="6">
        <f>IF(COUNT(J45:L45)&lt;3,"",SUM(J45:L45))</f>
        <v/>
      </c>
      <c r="N45" s="6">
        <f>IF(B45="","",IF(COUNTIF(G45:I45,"×")&gt;0,"✕ 足切り",IF(COUNTA(G45:I45)&lt;3,"未チェック","◎ 通過")))</f>
        <v/>
      </c>
      <c r="O45" s="6">
        <f>IF(OR(M45="",N45="✕ 足切り"),"",COUNTIFS($N$40:$N$51,"&lt;&gt;✕ 足切り",$M$40:$M$51,"&gt;"&amp;M45)+1)</f>
        <v/>
      </c>
      <c r="P45" s="18" t="n"/>
    </row>
    <row r="46" ht="30" customHeight="1">
      <c r="A46" s="6" t="n">
        <v>7</v>
      </c>
      <c r="B46" s="10" t="inlineStr">
        <is>
          <t>練習メニュー2枚を並べる（やめたもの／やったもの）</t>
        </is>
      </c>
      <c r="C46" s="18" t="inlineStr">
        <is>
          <t>変身型</t>
        </is>
      </c>
      <c r="D46" s="10" t="inlineStr">
        <is>
          <t>リスト2枚</t>
        </is>
      </c>
      <c r="E46" s="18" t="inlineStr">
        <is>
          <t>やめた練習</t>
        </is>
      </c>
      <c r="F46" s="6">
        <f>IF(OR(E46="",E46="なし"),0,LEN(E46))</f>
        <v/>
      </c>
      <c r="G46" s="18" t="n"/>
      <c r="H46" s="18" t="n"/>
      <c r="I46" s="18" t="n"/>
      <c r="J46" s="18" t="n">
        <v>5</v>
      </c>
      <c r="K46" s="18" t="n">
        <v>4</v>
      </c>
      <c r="L46" s="18" t="n">
        <v>4</v>
      </c>
      <c r="M46" s="6">
        <f>IF(COUNT(J46:L46)&lt;3,"",SUM(J46:L46))</f>
        <v/>
      </c>
      <c r="N46" s="6">
        <f>IF(B46="","",IF(COUNTIF(G46:I46,"×")&gt;0,"✕ 足切り",IF(COUNTA(G46:I46)&lt;3,"未チェック","◎ 通過")))</f>
        <v/>
      </c>
      <c r="O46" s="6">
        <f>IF(OR(M46="",N46="✕ 足切り"),"",COUNTIFS($N$40:$N$51,"&lt;&gt;✕ 足切り",$M$40:$M$51,"&gt;"&amp;M46)+1)</f>
        <v/>
      </c>
      <c r="P46" s="18" t="n"/>
    </row>
    <row r="47" ht="30" customHeight="1">
      <c r="A47" s="6" t="n">
        <v>8</v>
      </c>
      <c r="B47" s="10" t="inlineStr">
        <is>
          <t>右肩上がりのスコアグラフだけ、背景は暗く</t>
        </is>
      </c>
      <c r="C47" s="18" t="inlineStr">
        <is>
          <t>結果型</t>
        </is>
      </c>
      <c r="D47" s="10" t="inlineStr">
        <is>
          <t>グラフ</t>
        </is>
      </c>
      <c r="E47" s="18" t="inlineStr">
        <is>
          <t>なし</t>
        </is>
      </c>
      <c r="F47" s="6">
        <f>IF(OR(E47="",E47="なし"),0,LEN(E47))</f>
        <v/>
      </c>
      <c r="G47" s="18" t="n"/>
      <c r="H47" s="18" t="n"/>
      <c r="I47" s="18" t="n"/>
      <c r="J47" s="18" t="n">
        <v>5</v>
      </c>
      <c r="K47" s="18" t="n">
        <v>5</v>
      </c>
      <c r="L47" s="18" t="n">
        <v>5</v>
      </c>
      <c r="M47" s="6">
        <f>IF(COUNT(J47:L47)&lt;3,"",SUM(J47:L47))</f>
        <v/>
      </c>
      <c r="N47" s="6">
        <f>IF(B47="","",IF(COUNTIF(G47:I47,"×")&gt;0,"✕ 足切り",IF(COUNTA(G47:I47)&lt;3,"未チェック","◎ 通過")))</f>
        <v/>
      </c>
      <c r="O47" s="6">
        <f>IF(OR(M47="",N47="✕ 足切り"),"",COUNTIFS($N$40:$N$51,"&lt;&gt;✕ 足切り",$M$40:$M$51,"&gt;"&amp;M47)+1)</f>
        <v/>
      </c>
      <c r="P47" s="18" t="n"/>
    </row>
    <row r="48" ht="30" customHeight="1">
      <c r="A48" s="6" t="n">
        <v>9</v>
      </c>
      <c r="B48" s="10" t="inlineStr">
        <is>
          <t>消しゴムで消された単語（削った練習の象徴）</t>
        </is>
      </c>
      <c r="C48" s="18" t="inlineStr">
        <is>
          <t>新奇性型</t>
        </is>
      </c>
      <c r="D48" s="10" t="inlineStr">
        <is>
          <t>小物</t>
        </is>
      </c>
      <c r="E48" s="18" t="inlineStr">
        <is>
          <t>削った</t>
        </is>
      </c>
      <c r="F48" s="6">
        <f>IF(OR(E48="",E48="なし"),0,LEN(E48))</f>
        <v/>
      </c>
      <c r="G48" s="18" t="n"/>
      <c r="H48" s="18" t="n"/>
      <c r="I48" s="18" t="n"/>
      <c r="J48" s="18" t="n">
        <v>3</v>
      </c>
      <c r="K48" s="18" t="n">
        <v>4</v>
      </c>
      <c r="L48" s="18" t="n">
        <v>3</v>
      </c>
      <c r="M48" s="6">
        <f>IF(COUNT(J48:L48)&lt;3,"",SUM(J48:L48))</f>
        <v/>
      </c>
      <c r="N48" s="6">
        <f>IF(B48="","",IF(COUNTIF(G48:I48,"×")&gt;0,"✕ 足切り",IF(COUNTA(G48:I48)&lt;3,"未チェック","◎ 通過")))</f>
        <v/>
      </c>
      <c r="O48" s="6">
        <f>IF(OR(M48="",N48="✕ 足切り"),"",COUNTIFS($N$40:$N$51,"&lt;&gt;✕ 足切り",$M$40:$M$51,"&gt;"&amp;M48)+1)</f>
        <v/>
      </c>
      <c r="P48" s="18" t="n"/>
    </row>
    <row r="49" ht="30" customHeight="1">
      <c r="A49" s="6" t="n">
        <v>10</v>
      </c>
      <c r="B49" s="10" t="inlineStr">
        <is>
          <t>2人のノートを見開きで対比</t>
        </is>
      </c>
      <c r="C49" s="18" t="inlineStr">
        <is>
          <t>変身型</t>
        </is>
      </c>
      <c r="D49" s="10" t="inlineStr">
        <is>
          <t>ノート2冊</t>
        </is>
      </c>
      <c r="E49" s="18" t="inlineStr">
        <is>
          <t>ノートの差</t>
        </is>
      </c>
      <c r="F49" s="6">
        <f>IF(OR(E49="",E49="なし"),0,LEN(E49))</f>
        <v/>
      </c>
      <c r="G49" s="18" t="n"/>
      <c r="H49" s="18" t="n"/>
      <c r="I49" s="18" t="n"/>
      <c r="J49" s="18" t="n">
        <v>4</v>
      </c>
      <c r="K49" s="18" t="n">
        <v>4</v>
      </c>
      <c r="L49" s="18" t="n">
        <v>4</v>
      </c>
      <c r="M49" s="6">
        <f>IF(COUNT(J49:L49)&lt;3,"",SUM(J49:L49))</f>
        <v/>
      </c>
      <c r="N49" s="6">
        <f>IF(B49="","",IF(COUNTIF(G49:I49,"×")&gt;0,"✕ 足切り",IF(COUNTA(G49:I49)&lt;3,"未チェック","◎ 通過")))</f>
        <v/>
      </c>
      <c r="O49" s="6">
        <f>IF(OR(M49="",N49="✕ 足切り"),"",COUNTIFS($N$40:$N$51,"&lt;&gt;✕ 足切り",$M$40:$M$51,"&gt;"&amp;M49)+1)</f>
        <v/>
      </c>
      <c r="P49" s="18" t="n"/>
    </row>
    <row r="50" ht="30" customHeight="1">
      <c r="A50" s="6" t="n">
        <v>11</v>
      </c>
      <c r="B50" s="10" t="inlineStr">
        <is>
          <t>本人が腕時計を気にしている横顔</t>
        </is>
      </c>
      <c r="C50" s="18" t="inlineStr">
        <is>
          <t>瞬間型</t>
        </is>
      </c>
      <c r="D50" s="10" t="inlineStr">
        <is>
          <t>顔／時計</t>
        </is>
      </c>
      <c r="E50" s="18" t="inlineStr">
        <is>
          <t>3週間</t>
        </is>
      </c>
      <c r="F50" s="6">
        <f>IF(OR(E50="",E50="なし"),0,LEN(E50))</f>
        <v/>
      </c>
      <c r="G50" s="18" t="n"/>
      <c r="H50" s="18" t="n"/>
      <c r="I50" s="18" t="n"/>
      <c r="J50" s="18" t="n">
        <v>4</v>
      </c>
      <c r="K50" s="18" t="n">
        <v>4</v>
      </c>
      <c r="L50" s="18" t="n">
        <v>4</v>
      </c>
      <c r="M50" s="6">
        <f>IF(COUNT(J50:L50)&lt;3,"",SUM(J50:L50))</f>
        <v/>
      </c>
      <c r="N50" s="6">
        <f>IF(B50="","",IF(COUNTIF(G50:I50,"×")&gt;0,"✕ 足切り",IF(COUNTA(G50:I50)&lt;3,"未チェック","◎ 通過")))</f>
        <v/>
      </c>
      <c r="O50" s="6">
        <f>IF(OR(M50="",N50="✕ 足切り"),"",COUNTIFS($N$40:$N$51,"&lt;&gt;✕ 足切り",$M$40:$M$51,"&gt;"&amp;M50)+1)</f>
        <v/>
      </c>
      <c r="P50" s="18" t="n"/>
    </row>
    <row r="51" ht="30" customHeight="1">
      <c r="A51" s="6" t="n">
        <v>12</v>
      </c>
      <c r="B51" s="10" t="inlineStr">
        <is>
          <t>「伸びた人」と「伸びない人」の分かれ道を図解</t>
        </is>
      </c>
      <c r="C51" s="18" t="inlineStr">
        <is>
          <t>ストーリー型</t>
        </is>
      </c>
      <c r="D51" s="10" t="inlineStr">
        <is>
          <t>図解／分岐</t>
        </is>
      </c>
      <c r="E51" s="18" t="inlineStr">
        <is>
          <t>分かれ目</t>
        </is>
      </c>
      <c r="F51" s="6">
        <f>IF(OR(E51="",E51="なし"),0,LEN(E51))</f>
        <v/>
      </c>
      <c r="G51" s="18" t="n"/>
      <c r="H51" s="18" t="n"/>
      <c r="I51" s="18" t="n"/>
      <c r="J51" s="18" t="n">
        <v>4</v>
      </c>
      <c r="K51" s="18" t="n">
        <v>4</v>
      </c>
      <c r="L51" s="18" t="n">
        <v>3</v>
      </c>
      <c r="M51" s="6">
        <f>IF(COUNT(J51:L51)&lt;3,"",SUM(J51:L51))</f>
        <v/>
      </c>
      <c r="N51" s="6">
        <f>IF(B51="","",IF(COUNTIF(G51:I51,"×")&gt;0,"✕ 足切り",IF(COUNTA(G51:I51)&lt;3,"未チェック","◎ 通過")))</f>
        <v/>
      </c>
      <c r="O51" s="6">
        <f>IF(OR(M51="",N51="✕ 足切り"),"",COUNTIFS($N$40:$N$51,"&lt;&gt;✕ 足切り",$M$40:$M$51,"&gt;"&amp;M51)+1)</f>
        <v/>
      </c>
      <c r="P51" s="18" t="n"/>
    </row>
    <row r="52">
      <c r="A52" s="19" t="inlineStr">
        <is>
          <t>※文字の字数が6字を超えると赤字（スマホで読みにくい目安）。「なし」は0字。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11" t="inlineStr">
        <is>
          <t>■ 組み合わせを決める（A／B／C）　タイトルNoとサムネNoを入れると自動で表示・合計。最後に1組だけ「公開用」に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30" customHeight="1">
      <c r="A54" s="21" t="inlineStr">
        <is>
          <t>自動
おすすめ</t>
        </is>
      </c>
      <c r="B54" s="22">
        <f>IFERROR("タイトル No"&amp;INDEX($A$16:$A$35,MATCH(1,$N$16:$N$35,0))&amp;"："&amp;INDEX($B$16:$B$35,MATCH(1,$N$16:$N$35,0)),"（タイトルの足切りを通過した案がありません）")</f>
        <v/>
      </c>
      <c r="C54" s="22">
        <f>IFERROR("サムネ No"&amp;INDEX($A$40:$A$51,MATCH(1,$O$40:$O$51,0))&amp;"："&amp;INDEX($B$40:$B$51,MATCH(1,$O$40:$O$51,0)),"（サムネの足切りを通過した案がありません）")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</row>
    <row r="55" ht="32" customHeight="1">
      <c r="A55" s="15" t="inlineStr">
        <is>
          <t>組</t>
        </is>
      </c>
      <c r="B55" s="15" t="inlineStr">
        <is>
          <t>タイトル（自動）</t>
        </is>
      </c>
      <c r="C55" s="15" t="inlineStr">
        <is>
          <t>タイトル
No</t>
        </is>
      </c>
      <c r="D55" s="15" t="inlineStr">
        <is>
          <t>サムネ（自動）</t>
        </is>
      </c>
      <c r="E55" s="15" t="inlineStr">
        <is>
          <t>サムネ
No</t>
        </is>
      </c>
      <c r="F55" s="15" t="inlineStr">
        <is>
          <t>①役割分担
できている</t>
        </is>
      </c>
      <c r="G55" s="15" t="inlineStr">
        <is>
          <t>②合わせて
1つの問い</t>
        </is>
      </c>
      <c r="H55" s="15" t="inlineStr">
        <is>
          <t>タイトル
点</t>
        </is>
      </c>
      <c r="I55" s="15" t="inlineStr">
        <is>
          <t>サムネ
点</t>
        </is>
      </c>
      <c r="J55" s="15" t="inlineStr">
        <is>
          <t>合計
/35</t>
        </is>
      </c>
      <c r="K55" s="15" t="inlineStr">
        <is>
          <t>判定</t>
        </is>
      </c>
      <c r="L55" s="15" t="inlineStr">
        <is>
          <t>採用</t>
        </is>
      </c>
      <c r="M55" s="9" t="n"/>
      <c r="N55" s="15" t="inlineStr">
        <is>
          <t>役割分担（タイトルが言うこと／サムネが見せること）</t>
        </is>
      </c>
      <c r="O55" s="9" t="n"/>
      <c r="P55" s="9" t="n"/>
    </row>
    <row r="56" ht="36" customHeight="1">
      <c r="A56" s="23" t="inlineStr">
        <is>
          <t>A</t>
        </is>
      </c>
      <c r="B56" s="5">
        <f>IF(C56="","",IFERROR(INDEX($B$16:$B$35,C56),"No不正"))</f>
        <v/>
      </c>
      <c r="C56" s="18" t="n">
        <v>1</v>
      </c>
      <c r="D56" s="5">
        <f>IF(E56="","",IFERROR(INDEX($B$40:$B$51,E56),"No不正"))</f>
        <v/>
      </c>
      <c r="E56" s="18" t="n">
        <v>1</v>
      </c>
      <c r="F56" s="18" t="n"/>
      <c r="G56" s="18" t="n"/>
      <c r="H56" s="6">
        <f>IF(C56="","",IFERROR(INDEX($L$16:$L$35,C56),""))</f>
        <v/>
      </c>
      <c r="I56" s="6">
        <f>IF(E56="","",IFERROR(INDEX($M$40:$M$51,E56),""))</f>
        <v/>
      </c>
      <c r="J56" s="6">
        <f>IF(OR(H56="",I56=""),"",H56+I56)</f>
        <v/>
      </c>
      <c r="K56" s="6">
        <f>IF(OR(C56="",E56=""),"",IF(OR(IFERROR(INDEX($M$16:$M$35,C56),"")="✕ 足切り",IFERROR(INDEX($N$40:$N$51,E56),"")="✕ 足切り"),"✕ 足切り案を含む",IF(COUNTIF(F56:G56,"×")&gt;0,"✕ 組み合わせNG",IF(COUNTA(F56:G56)&lt;2,"未チェック","◎ 通過"))))</f>
        <v/>
      </c>
      <c r="L56" s="24" t="n"/>
      <c r="M56" s="9" t="n"/>
      <c r="N56" s="10" t="inlineStr">
        <is>
          <t>タイトル＝違いの中身を伏せる／サムネ＝対比で差を見せる</t>
        </is>
      </c>
      <c r="O56" s="9" t="n"/>
      <c r="P56" s="9" t="n"/>
    </row>
    <row r="57" ht="36" customHeight="1">
      <c r="A57" s="23" t="inlineStr">
        <is>
          <t>B</t>
        </is>
      </c>
      <c r="B57" s="5">
        <f>IF(C57="","",IFERROR(INDEX($B$16:$B$35,C57),"No不正"))</f>
        <v/>
      </c>
      <c r="C57" s="18" t="n">
        <v>3</v>
      </c>
      <c r="D57" s="5">
        <f>IF(E57="","",IFERROR(INDEX($B$40:$B$51,E57),"No不正"))</f>
        <v/>
      </c>
      <c r="E57" s="18" t="n">
        <v>7</v>
      </c>
      <c r="F57" s="18" t="n"/>
      <c r="G57" s="18" t="n"/>
      <c r="H57" s="6">
        <f>IF(C57="","",IFERROR(INDEX($L$16:$L$35,C57),""))</f>
        <v/>
      </c>
      <c r="I57" s="6">
        <f>IF(E57="","",IFERROR(INDEX($M$40:$M$51,E57),""))</f>
        <v/>
      </c>
      <c r="J57" s="6">
        <f>IF(OR(H57="",I57=""),"",H57+I57)</f>
        <v/>
      </c>
      <c r="K57" s="6">
        <f>IF(OR(C57="",E57=""),"",IF(OR(IFERROR(INDEX($M$16:$M$35,C57),"")="✕ 足切り",IFERROR(INDEX($N$40:$N$51,E57),"")="✕ 足切り"),"✕ 足切り案を含む",IF(COUNTIF(F57:G57,"×")&gt;0,"✕ 組み合わせNG",IF(COUNTA(F57:G57)&lt;2,"未チェック","◎ 通過"))))</f>
        <v/>
      </c>
      <c r="L57" s="24" t="n"/>
      <c r="M57" s="9" t="n"/>
      <c r="N57" s="10" t="inlineStr">
        <is>
          <t>タイトル＝対立（やめた／やった）を作る／サムネ＝練習内容の違いを見せる</t>
        </is>
      </c>
      <c r="O57" s="9" t="n"/>
      <c r="P57" s="9" t="n"/>
    </row>
    <row r="58" ht="36" customHeight="1">
      <c r="A58" s="23" t="inlineStr">
        <is>
          <t>C</t>
        </is>
      </c>
      <c r="B58" s="5">
        <f>IF(C58="","",IFERROR(INDEX($B$16:$B$35,C58),"No不正"))</f>
        <v/>
      </c>
      <c r="C58" s="18" t="n">
        <v>2</v>
      </c>
      <c r="D58" s="5">
        <f>IF(E58="","",IFERROR(INDEX($B$40:$B$51,E58),"No不正"))</f>
        <v/>
      </c>
      <c r="E58" s="18" t="n">
        <v>8</v>
      </c>
      <c r="F58" s="18" t="n"/>
      <c r="G58" s="18" t="n"/>
      <c r="H58" s="6">
        <f>IF(C58="","",IFERROR(INDEX($L$16:$L$35,C58),""))</f>
        <v/>
      </c>
      <c r="I58" s="6">
        <f>IF(E58="","",IFERROR(INDEX($M$40:$M$51,E58),""))</f>
        <v/>
      </c>
      <c r="J58" s="6">
        <f>IF(OR(H58="",I58=""),"",H58+I58)</f>
        <v/>
      </c>
      <c r="K58" s="6">
        <f>IF(OR(C58="",E58=""),"",IF(OR(IFERROR(INDEX($M$16:$M$35,C58),"")="✕ 足切り",IFERROR(INDEX($N$40:$N$51,E58),"")="✕ 足切り"),"✕ 足切り案を含む",IF(COUNTIF(F58:G58,"×")&gt;0,"✕ 組み合わせNG",IF(COUNTA(F58:G58)&lt;2,"未チェック","◎ 通過"))))</f>
        <v/>
      </c>
      <c r="L58" s="24" t="n"/>
      <c r="M58" s="9" t="n"/>
      <c r="N58" s="10" t="inlineStr">
        <is>
          <t>タイトル＝比較を明言／サムネ＝結果の形を1枚で見せる</t>
        </is>
      </c>
      <c r="O58" s="9" t="n"/>
      <c r="P58" s="9" t="n"/>
    </row>
    <row r="59">
      <c r="A59" s="25">
        <f>IF(COUNTIF(L56:L58,"公開用")&gt;1,"⚠ 「公開用」が2組以上あります。1組に絞ってください","")</f>
        <v/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</row>
    <row r="60">
      <c r="A60" s="19" t="inlineStr">
        <is>
          <t>※公開後に伸びなければ「差し替え用」の組に入れ替えてテストする。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</row>
  </sheetData>
  <mergeCells count="35">
    <mergeCell ref="A14:P14"/>
    <mergeCell ref="N58:P58"/>
    <mergeCell ref="A11:B11"/>
    <mergeCell ref="C6:P6"/>
    <mergeCell ref="A53:P53"/>
    <mergeCell ref="L57:M57"/>
    <mergeCell ref="A38:P38"/>
    <mergeCell ref="C5:P5"/>
    <mergeCell ref="A52:P52"/>
    <mergeCell ref="A6:B6"/>
    <mergeCell ref="A10:P10"/>
    <mergeCell ref="N57:P57"/>
    <mergeCell ref="A7:B7"/>
    <mergeCell ref="C4:P4"/>
    <mergeCell ref="C54:P54"/>
    <mergeCell ref="A59:P59"/>
    <mergeCell ref="L55:M55"/>
    <mergeCell ref="A12:B12"/>
    <mergeCell ref="A60:P60"/>
    <mergeCell ref="A36:P36"/>
    <mergeCell ref="L58:M58"/>
    <mergeCell ref="A1:P1"/>
    <mergeCell ref="C12:P12"/>
    <mergeCell ref="A5:B5"/>
    <mergeCell ref="C11:P11"/>
    <mergeCell ref="N55:P55"/>
    <mergeCell ref="A8:B8"/>
    <mergeCell ref="A4:B4"/>
    <mergeCell ref="L56:M56"/>
    <mergeCell ref="C8:P8"/>
    <mergeCell ref="C7:P7"/>
    <mergeCell ref="A13:B13"/>
    <mergeCell ref="N56:P56"/>
    <mergeCell ref="C13:P13"/>
    <mergeCell ref="A2:P2"/>
  </mergeCells>
  <conditionalFormatting sqref="E16:G35">
    <cfRule type="expression" priority="1" dxfId="1">
      <formula>E16="○"</formula>
    </cfRule>
    <cfRule type="expression" priority="2" dxfId="2">
      <formula>E16="×"</formula>
    </cfRule>
  </conditionalFormatting>
  <conditionalFormatting sqref="M16:M35">
    <cfRule type="expression" priority="3" dxfId="1">
      <formula>LEFT($M16,1)="◎"</formula>
    </cfRule>
    <cfRule type="expression" priority="4" dxfId="2">
      <formula>LEFT($M16,1)="✕"</formula>
    </cfRule>
    <cfRule type="expression" priority="5" dxfId="3">
      <formula>LEFT($M16,1)="未"</formula>
    </cfRule>
  </conditionalFormatting>
  <conditionalFormatting sqref="C16:C35">
    <cfRule type="expression" priority="6" dxfId="4">
      <formula>AND(C16&lt;&gt;"",C16&gt;40)</formula>
    </cfRule>
  </conditionalFormatting>
  <conditionalFormatting sqref="N16:N35">
    <cfRule type="expression" priority="7" dxfId="5">
      <formula>AND(N16&lt;&gt;"",N16&lt;=3)</formula>
    </cfRule>
  </conditionalFormatting>
  <conditionalFormatting sqref="A16:P35">
    <cfRule type="expression" priority="8" dxfId="6">
      <formula>$O16="ボツ"</formula>
    </cfRule>
  </conditionalFormatting>
  <conditionalFormatting sqref="G40:I51">
    <cfRule type="expression" priority="9" dxfId="1">
      <formula>G40="○"</formula>
    </cfRule>
    <cfRule type="expression" priority="10" dxfId="2">
      <formula>G40="×"</formula>
    </cfRule>
  </conditionalFormatting>
  <conditionalFormatting sqref="N40:N51">
    <cfRule type="expression" priority="11" dxfId="1">
      <formula>LEFT($N40,1)="◎"</formula>
    </cfRule>
    <cfRule type="expression" priority="12" dxfId="2">
      <formula>LEFT($N40,1)="✕"</formula>
    </cfRule>
    <cfRule type="expression" priority="13" dxfId="3">
      <formula>LEFT($N40,1)="未"</formula>
    </cfRule>
  </conditionalFormatting>
  <conditionalFormatting sqref="F40:F51">
    <cfRule type="expression" priority="14" dxfId="4">
      <formula>F40&gt;6</formula>
    </cfRule>
  </conditionalFormatting>
  <conditionalFormatting sqref="O40:O51">
    <cfRule type="expression" priority="15" dxfId="5">
      <formula>AND(O40&lt;&gt;"",O40&lt;=3)</formula>
    </cfRule>
  </conditionalFormatting>
  <conditionalFormatting sqref="A40:P51">
    <cfRule type="expression" priority="16" dxfId="6">
      <formula>$P40="ボツ"</formula>
    </cfRule>
  </conditionalFormatting>
  <conditionalFormatting sqref="F56:G58">
    <cfRule type="expression" priority="17" dxfId="1">
      <formula>F56="○"</formula>
    </cfRule>
    <cfRule type="expression" priority="18" dxfId="2">
      <formula>F56="×"</formula>
    </cfRule>
  </conditionalFormatting>
  <conditionalFormatting sqref="K56:K58">
    <cfRule type="expression" priority="19" dxfId="1">
      <formula>LEFT($K56,1)="◎"</formula>
    </cfRule>
    <cfRule type="expression" priority="20" dxfId="2">
      <formula>LEFT($K56,1)="✕"</formula>
    </cfRule>
    <cfRule type="expression" priority="21" dxfId="3">
      <formula>LEFT($K56,1)="未"</formula>
    </cfRule>
  </conditionalFormatting>
  <conditionalFormatting sqref="L56:M58">
    <cfRule type="expression" priority="22" dxfId="7">
      <formula>$L56="公開用"</formula>
    </cfRule>
  </conditionalFormatting>
  <dataValidations count="10">
    <dataValidation sqref="E16:G35" showDropDown="0" showInputMessage="0" showErrorMessage="0" allowBlank="1" type="list">
      <formula1>"○,×"</formula1>
    </dataValidation>
    <dataValidation sqref="H16:K35" showDropDown="0" showInputMessage="0" showErrorMessage="0" allowBlank="1" type="whole" operator="between">
      <formula1>1</formula1>
      <formula2>5</formula2>
    </dataValidation>
    <dataValidation sqref="O16:O35" showDropDown="0" showInputMessage="0" showErrorMessage="0" allowBlank="1" type="list">
      <formula1>"本命,差し替え候補,保留,ボツ"</formula1>
    </dataValidation>
    <dataValidation sqref="G40:I51" showDropDown="0" showInputMessage="0" showErrorMessage="0" allowBlank="1" type="list">
      <formula1>"○,×"</formula1>
    </dataValidation>
    <dataValidation sqref="J40:L51" showDropDown="0" showInputMessage="0" showErrorMessage="0" allowBlank="1" type="whole" operator="between">
      <formula1>1</formula1>
      <formula2>5</formula2>
    </dataValidation>
    <dataValidation sqref="P40:P51" showDropDown="0" showInputMessage="0" showErrorMessage="0" allowBlank="1" type="list">
      <formula1>"本命,差し替え候補,保留,ボツ"</formula1>
    </dataValidation>
    <dataValidation sqref="C56:C58" showDropDown="0" showInputMessage="0" showErrorMessage="0" allowBlank="1" type="whole" operator="between">
      <formula1>1</formula1>
      <formula2>20</formula2>
    </dataValidation>
    <dataValidation sqref="E56:E58" showDropDown="0" showInputMessage="0" showErrorMessage="0" allowBlank="1" type="whole" operator="between">
      <formula1>1</formula1>
      <formula2>12</formula2>
    </dataValidation>
    <dataValidation sqref="F56:G58" showDropDown="0" showInputMessage="0" showErrorMessage="0" allowBlank="1" type="list">
      <formula1>"○,×"</formula1>
    </dataValidation>
    <dataValidation sqref="L56:L58" showDropDown="0" showInputMessage="0" showErrorMessage="0" allowBlank="1" type="list">
      <formula1>"公開用,差し替え用,ボツ"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2026-09-25T03:42:46Z</dcterms:created>
  <dcterms:modified xsi:type="dcterms:W3CDTF">2026-09-25T03:42:46Z</dcterms:modified>
</cp:coreProperties>
</file>