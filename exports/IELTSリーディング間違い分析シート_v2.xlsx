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一覧" sheetId="1" state="visible" r:id="rId1"/>
    <sheet xmlns:r="http://schemas.openxmlformats.org/officeDocument/2006/relationships" name="記入例" sheetId="2" state="visible" r:id="rId2"/>
    <sheet xmlns:r="http://schemas.openxmlformats.org/officeDocument/2006/relationships" name="テスト1" sheetId="3" state="visible" r:id="rId3"/>
    <sheet xmlns:r="http://schemas.openxmlformats.org/officeDocument/2006/relationships" name="テスト2" sheetId="4" state="visible" r:id="rId4"/>
    <sheet xmlns:r="http://schemas.openxmlformats.org/officeDocument/2006/relationships" name="テスト3" sheetId="5" state="visible" r:id="rId5"/>
    <sheet xmlns:r="http://schemas.openxmlformats.org/officeDocument/2006/relationships" name="テスト4" sheetId="6" state="visible" r:id="rId6"/>
    <sheet xmlns:r="http://schemas.openxmlformats.org/officeDocument/2006/relationships" name="テスト5" sheetId="7" state="visible" r:id="rId7"/>
    <sheet xmlns:r="http://schemas.openxmlformats.org/officeDocument/2006/relationships" name="選択肢マスタ" sheetId="8" state="visible" r:id="rId8"/>
  </sheets>
  <definedNames>
    <definedName name="_xlnm.Print_Area" localSheetId="1">'記入例'!$A$1:$H$118</definedName>
    <definedName name="_xlnm.Print_Area" localSheetId="2">'テスト1'!$A$1:$H$118</definedName>
    <definedName name="_xlnm.Print_Area" localSheetId="3">'テスト2'!$A$1:$H$118</definedName>
    <definedName name="_xlnm.Print_Area" localSheetId="4">'テスト3'!$A$1:$H$118</definedName>
    <definedName name="_xlnm.Print_Area" localSheetId="5">'テスト4'!$A$1:$H$118</definedName>
    <definedName name="_xlnm.Print_Area" localSheetId="6">'テスト5'!$A$1:$H$118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</font>
    <font>
      <name val="Arial"/>
    </font>
    <font>
      <name val="Arial"/>
      <i val="1"/>
      <color rgb="00808080"/>
      <sz val="9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</font>
    <font>
      <name val="Arial"/>
      <color rgb="000000FF"/>
    </font>
    <font>
      <name val="Arial"/>
      <b val="1"/>
      <sz val="11"/>
    </font>
    <font>
      <name val="Arial"/>
      <color rgb="00000000"/>
    </font>
    <font>
      <name val="Arial"/>
      <b val="1"/>
      <color rgb="00FFFFFF"/>
      <sz val="13"/>
    </font>
    <font>
      <name val="Arial"/>
      <color rgb="00808080"/>
      <sz val="9"/>
    </font>
    <font>
      <name val="Arial"/>
      <b val="1"/>
      <color rgb="000000FF"/>
    </font>
    <font>
      <name val="Arial"/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9D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7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  <xf numFmtId="164" fontId="13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2E2"/>
        </patternFill>
      </fill>
    </dxf>
    <dxf>
      <fill>
        <patternFill patternType="solid">
          <fgColor rgb="00E2F0D9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大カテゴリー別 間違いの割合</a:t>
            </a:r>
          </a:p>
        </rich>
      </tx>
    </title>
    <plotArea>
      <pieChart>
        <varyColors val="1"/>
        <ser>
          <idx val="0"/>
          <order val="0"/>
          <tx>
            <strRef>
              <f>'記入例'!D52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'記入例'!$A$53:$A$57</f>
            </numRef>
          </cat>
          <val>
            <numRef>
              <f>'記入例'!$D$53:$D$57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大カテゴリー別 間違いの割合</a:t>
            </a:r>
          </a:p>
        </rich>
      </tx>
    </title>
    <plotArea>
      <pieChart>
        <varyColors val="1"/>
        <ser>
          <idx val="0"/>
          <order val="0"/>
          <tx>
            <strRef>
              <f>'テスト1'!D52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'テスト1'!$A$53:$A$57</f>
            </numRef>
          </cat>
          <val>
            <numRef>
              <f>'テスト1'!$D$53:$D$57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大カテゴリー別 間違いの割合</a:t>
            </a:r>
          </a:p>
        </rich>
      </tx>
    </title>
    <plotArea>
      <pieChart>
        <varyColors val="1"/>
        <ser>
          <idx val="0"/>
          <order val="0"/>
          <tx>
            <strRef>
              <f>'テスト2'!D52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'テスト2'!$A$53:$A$57</f>
            </numRef>
          </cat>
          <val>
            <numRef>
              <f>'テスト2'!$D$53:$D$57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大カテゴリー別 間違いの割合</a:t>
            </a:r>
          </a:p>
        </rich>
      </tx>
    </title>
    <plotArea>
      <pieChart>
        <varyColors val="1"/>
        <ser>
          <idx val="0"/>
          <order val="0"/>
          <tx>
            <strRef>
              <f>'テスト3'!D52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'テスト3'!$A$53:$A$57</f>
            </numRef>
          </cat>
          <val>
            <numRef>
              <f>'テスト3'!$D$53:$D$57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大カテゴリー別 間違いの割合</a:t>
            </a:r>
          </a:p>
        </rich>
      </tx>
    </title>
    <plotArea>
      <pieChart>
        <varyColors val="1"/>
        <ser>
          <idx val="0"/>
          <order val="0"/>
          <tx>
            <strRef>
              <f>'テスト4'!D52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'テスト4'!$A$53:$A$57</f>
            </numRef>
          </cat>
          <val>
            <numRef>
              <f>'テスト4'!$D$53:$D$57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大カテゴリー別 間違いの割合</a:t>
            </a:r>
          </a:p>
        </rich>
      </tx>
    </title>
    <plotArea>
      <pieChart>
        <varyColors val="1"/>
        <ser>
          <idx val="0"/>
          <order val="0"/>
          <tx>
            <strRef>
              <f>'テスト5'!D52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'テスト5'!$A$53:$A$57</f>
            </numRef>
          </cat>
          <val>
            <numRef>
              <f>'テスト5'!$D$53:$D$57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coach</author>
  </authors>
  <commentList>
    <comment ref="C4" authorId="0" shapeId="0">
      <text>
        <t>例: Cambridge 18 Test 1</t>
      </text>
    </comment>
    <comment ref="A99" authorId="0" shapeId="0">
      <text>
        <t>上の円グラフ・表を見て、どんな間違いが多かったか、どの設問タイプ・Passageで間違えやすいかを書きましょう。</t>
      </text>
    </comment>
    <comment ref="A106" authorId="0" shapeId="0">
      <text>
        <t>例：パラフレーズ表現を毎日10個ノートにまとめる／T/F/NGを1日1セット解く など</t>
      </text>
    </comment>
    <comment ref="A113" authorId="0" shapeId="0">
      <text>
        <t>例：NOT GIVENは「本文に書いていない」を根拠にする／転記後に単数・複数を確認する など</t>
      </text>
    </comment>
  </commentList>
</comments>
</file>

<file path=xl/comments/comment2.xml><?xml version="1.0" encoding="utf-8"?>
<comments xmlns="http://schemas.openxmlformats.org/spreadsheetml/2006/main">
  <authors>
    <author>coach</author>
  </authors>
  <commentList>
    <comment ref="C4" authorId="0" shapeId="0">
      <text>
        <t>例: Cambridge 18 Test 1</t>
      </text>
    </comment>
    <comment ref="A99" authorId="0" shapeId="0">
      <text>
        <t>上の円グラフ・表を見て、どんな間違いが多かったか、どの設問タイプ・Passageで間違えやすいかを書きましょう。</t>
      </text>
    </comment>
    <comment ref="A106" authorId="0" shapeId="0">
      <text>
        <t>例：パラフレーズ表現を毎日10個ノートにまとめる／T/F/NGを1日1セット解く など</t>
      </text>
    </comment>
    <comment ref="A113" authorId="0" shapeId="0">
      <text>
        <t>例：NOT GIVENは「本文に書いていない」を根拠にする／転記後に単数・複数を確認する など</t>
      </text>
    </comment>
  </commentList>
</comments>
</file>

<file path=xl/comments/comment3.xml><?xml version="1.0" encoding="utf-8"?>
<comments xmlns="http://schemas.openxmlformats.org/spreadsheetml/2006/main">
  <authors>
    <author>coach</author>
  </authors>
  <commentList>
    <comment ref="C4" authorId="0" shapeId="0">
      <text>
        <t>例: Cambridge 18 Test 1</t>
      </text>
    </comment>
    <comment ref="A99" authorId="0" shapeId="0">
      <text>
        <t>上の円グラフ・表を見て、どんな間違いが多かったか、どの設問タイプ・Passageで間違えやすいかを書きましょう。</t>
      </text>
    </comment>
    <comment ref="A106" authorId="0" shapeId="0">
      <text>
        <t>例：パラフレーズ表現を毎日10個ノートにまとめる／T/F/NGを1日1セット解く など</t>
      </text>
    </comment>
    <comment ref="A113" authorId="0" shapeId="0">
      <text>
        <t>例：NOT GIVENは「本文に書いていない」を根拠にする／転記後に単数・複数を確認する など</t>
      </text>
    </comment>
  </commentList>
</comments>
</file>

<file path=xl/comments/comment4.xml><?xml version="1.0" encoding="utf-8"?>
<comments xmlns="http://schemas.openxmlformats.org/spreadsheetml/2006/main">
  <authors>
    <author>coach</author>
  </authors>
  <commentList>
    <comment ref="C4" authorId="0" shapeId="0">
      <text>
        <t>例: Cambridge 18 Test 1</t>
      </text>
    </comment>
    <comment ref="A99" authorId="0" shapeId="0">
      <text>
        <t>上の円グラフ・表を見て、どんな間違いが多かったか、どの設問タイプ・Passageで間違えやすいかを書きましょう。</t>
      </text>
    </comment>
    <comment ref="A106" authorId="0" shapeId="0">
      <text>
        <t>例：パラフレーズ表現を毎日10個ノートにまとめる／T/F/NGを1日1セット解く など</t>
      </text>
    </comment>
    <comment ref="A113" authorId="0" shapeId="0">
      <text>
        <t>例：NOT GIVENは「本文に書いていない」を根拠にする／転記後に単数・複数を確認する など</t>
      </text>
    </comment>
  </commentList>
</comments>
</file>

<file path=xl/comments/comment5.xml><?xml version="1.0" encoding="utf-8"?>
<comments xmlns="http://schemas.openxmlformats.org/spreadsheetml/2006/main">
  <authors>
    <author>coach</author>
  </authors>
  <commentList>
    <comment ref="C4" authorId="0" shapeId="0">
      <text>
        <t>例: Cambridge 18 Test 1</t>
      </text>
    </comment>
    <comment ref="A99" authorId="0" shapeId="0">
      <text>
        <t>上の円グラフ・表を見て、どんな間違いが多かったか、どの設問タイプ・Passageで間違えやすいかを書きましょう。</t>
      </text>
    </comment>
    <comment ref="A106" authorId="0" shapeId="0">
      <text>
        <t>例：パラフレーズ表現を毎日10個ノートにまとめる／T/F/NGを1日1セット解く など</t>
      </text>
    </comment>
    <comment ref="A113" authorId="0" shapeId="0">
      <text>
        <t>例：NOT GIVENは「本文に書いていない」を根拠にする／転記後に単数・複数を確認する など</t>
      </text>
    </comment>
  </commentList>
</comments>
</file>

<file path=xl/comments/comment6.xml><?xml version="1.0" encoding="utf-8"?>
<comments xmlns="http://schemas.openxmlformats.org/spreadsheetml/2006/main">
  <authors>
    <author>coach</author>
  </authors>
  <commentList>
    <comment ref="C4" authorId="0" shapeId="0">
      <text>
        <t>例: Cambridge 18 Test 1</t>
      </text>
    </comment>
    <comment ref="A99" authorId="0" shapeId="0">
      <text>
        <t>上の円グラフ・表を見て、どんな間違いが多かったか、どの設問タイプ・Passageで間違えやすいかを書きましょう。</t>
      </text>
    </comment>
    <comment ref="A106" authorId="0" shapeId="0">
      <text>
        <t>例：パラフレーズ表現を毎日10個ノートにまとめる／T/F/NGを1日1セット解く など</t>
      </text>
    </comment>
    <comment ref="A113" authorId="0" shapeId="0">
      <text>
        <t>例：NOT GIVENは「本文に書いていない」を根拠にする／転記後に単数・複数を確認する など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51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51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51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51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51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5352;&#20837;&#20363;'!A1" TargetMode="External" Id="rId1"/><Relationship Type="http://schemas.openxmlformats.org/officeDocument/2006/relationships/hyperlink" Target="#'&#12486;&#12473;&#12488;1'!A1" TargetMode="External" Id="rId2"/><Relationship Type="http://schemas.openxmlformats.org/officeDocument/2006/relationships/hyperlink" Target="#'&#12486;&#12473;&#12488;2'!A1" TargetMode="External" Id="rId3"/><Relationship Type="http://schemas.openxmlformats.org/officeDocument/2006/relationships/hyperlink" Target="#'&#12486;&#12473;&#12488;3'!A1" TargetMode="External" Id="rId4"/><Relationship Type="http://schemas.openxmlformats.org/officeDocument/2006/relationships/hyperlink" Target="#'&#12486;&#12473;&#12488;4'!A1" TargetMode="External" Id="rId5"/><Relationship Type="http://schemas.openxmlformats.org/officeDocument/2006/relationships/hyperlink" Target="#'&#12486;&#12473;&#12488;5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6" customWidth="1" min="11" max="11"/>
  </cols>
  <sheetData>
    <row r="1" ht="32" customHeight="1">
      <c r="A1" s="1" t="inlineStr">
        <is>
          <t>IELTSリーディング テスト一覧（各テストシートから自動で集計）</t>
        </is>
      </c>
    </row>
    <row r="2">
      <c r="A2" s="2" t="inlineStr">
        <is>
          <t>このシートは入力不要です。各「テスト」シートに記入すると自動で反映されます。テストを増やす時は「テスト5」シートをコピーし、この表に1行追加してください。</t>
        </is>
      </c>
    </row>
    <row r="4" ht="30" customHeight="1">
      <c r="A4" s="3" t="inlineStr">
        <is>
          <t>シート</t>
        </is>
      </c>
      <c r="B4" s="3" t="inlineStr">
        <is>
          <t>テスト名</t>
        </is>
      </c>
      <c r="C4" s="3" t="inlineStr">
        <is>
          <t>解いた日</t>
        </is>
      </c>
      <c r="D4" s="3" t="inlineStr">
        <is>
          <t>分析日</t>
        </is>
      </c>
      <c r="E4" s="3" t="inlineStr">
        <is>
          <t>正解数</t>
        </is>
      </c>
      <c r="F4" s="3" t="inlineStr">
        <is>
          <t>バンド目安</t>
        </is>
      </c>
      <c r="G4" s="3" t="inlineStr">
        <is>
          <t>語彙・文法</t>
        </is>
      </c>
      <c r="H4" s="3" t="inlineStr">
        <is>
          <t>情報検索</t>
        </is>
      </c>
      <c r="I4" s="3" t="inlineStr">
        <is>
          <t>論理・推論</t>
        </is>
      </c>
      <c r="J4" s="3" t="inlineStr">
        <is>
          <t>注意力・正確性</t>
        </is>
      </c>
      <c r="K4" s="3" t="inlineStr">
        <is>
          <t>次回の問題を解く日</t>
        </is>
      </c>
    </row>
    <row r="5">
      <c r="A5" s="4" t="inlineStr">
        <is>
          <t>記入例</t>
        </is>
      </c>
      <c r="B5" s="5">
        <f>IF('記入例'!C4="","",'記入例'!C4)</f>
        <v/>
      </c>
      <c r="C5" s="6">
        <f>IF('記入例'!C5="","",'記入例'!C5)</f>
        <v/>
      </c>
      <c r="D5" s="6">
        <f>IF('記入例'!C6="","",'記入例'!C6)</f>
        <v/>
      </c>
      <c r="E5" s="5">
        <f>IF(COUNTA('記入例'!D10:D49)=0,"",COUNTIF('記入例'!D10:D49,"正解"))</f>
        <v/>
      </c>
      <c r="F5" s="5">
        <f>'記入例'!G5</f>
        <v/>
      </c>
      <c r="G5" s="5">
        <f>'記入例'!D53</f>
        <v/>
      </c>
      <c r="H5" s="5">
        <f>'記入例'!D54</f>
        <v/>
      </c>
      <c r="I5" s="5">
        <f>'記入例'!D55</f>
        <v/>
      </c>
      <c r="J5" s="5">
        <f>'記入例'!D56</f>
        <v/>
      </c>
      <c r="K5" s="6">
        <f>IF('記入例'!C118="","",'記入例'!C118)</f>
        <v/>
      </c>
    </row>
    <row r="6">
      <c r="A6" s="7" t="inlineStr">
        <is>
          <t>テスト1</t>
        </is>
      </c>
      <c r="B6" s="8">
        <f>IF('テスト1'!C4="","",'テスト1'!C4)</f>
        <v/>
      </c>
      <c r="C6" s="9">
        <f>IF('テスト1'!C5="","",'テスト1'!C5)</f>
        <v/>
      </c>
      <c r="D6" s="9">
        <f>IF('テスト1'!C6="","",'テスト1'!C6)</f>
        <v/>
      </c>
      <c r="E6" s="8">
        <f>IF(COUNTA('テスト1'!D10:D49)=0,"",COUNTIF('テスト1'!D10:D49,"正解"))</f>
        <v/>
      </c>
      <c r="F6" s="8">
        <f>'テスト1'!G5</f>
        <v/>
      </c>
      <c r="G6" s="8">
        <f>'テスト1'!D53</f>
        <v/>
      </c>
      <c r="H6" s="8">
        <f>'テスト1'!D54</f>
        <v/>
      </c>
      <c r="I6" s="8">
        <f>'テスト1'!D55</f>
        <v/>
      </c>
      <c r="J6" s="8">
        <f>'テスト1'!D56</f>
        <v/>
      </c>
      <c r="K6" s="9">
        <f>IF('テスト1'!C118="","",'テスト1'!C118)</f>
        <v/>
      </c>
    </row>
    <row r="7">
      <c r="A7" s="7" t="inlineStr">
        <is>
          <t>テスト2</t>
        </is>
      </c>
      <c r="B7" s="8">
        <f>IF('テスト2'!C4="","",'テスト2'!C4)</f>
        <v/>
      </c>
      <c r="C7" s="9">
        <f>IF('テスト2'!C5="","",'テスト2'!C5)</f>
        <v/>
      </c>
      <c r="D7" s="9">
        <f>IF('テスト2'!C6="","",'テスト2'!C6)</f>
        <v/>
      </c>
      <c r="E7" s="8">
        <f>IF(COUNTA('テスト2'!D10:D49)=0,"",COUNTIF('テスト2'!D10:D49,"正解"))</f>
        <v/>
      </c>
      <c r="F7" s="8">
        <f>'テスト2'!G5</f>
        <v/>
      </c>
      <c r="G7" s="8">
        <f>'テスト2'!D53</f>
        <v/>
      </c>
      <c r="H7" s="8">
        <f>'テスト2'!D54</f>
        <v/>
      </c>
      <c r="I7" s="8">
        <f>'テスト2'!D55</f>
        <v/>
      </c>
      <c r="J7" s="8">
        <f>'テスト2'!D56</f>
        <v/>
      </c>
      <c r="K7" s="9">
        <f>IF('テスト2'!C118="","",'テスト2'!C118)</f>
        <v/>
      </c>
    </row>
    <row r="8">
      <c r="A8" s="7" t="inlineStr">
        <is>
          <t>テスト3</t>
        </is>
      </c>
      <c r="B8" s="8">
        <f>IF('テスト3'!C4="","",'テスト3'!C4)</f>
        <v/>
      </c>
      <c r="C8" s="9">
        <f>IF('テスト3'!C5="","",'テスト3'!C5)</f>
        <v/>
      </c>
      <c r="D8" s="9">
        <f>IF('テスト3'!C6="","",'テスト3'!C6)</f>
        <v/>
      </c>
      <c r="E8" s="8">
        <f>IF(COUNTA('テスト3'!D10:D49)=0,"",COUNTIF('テスト3'!D10:D49,"正解"))</f>
        <v/>
      </c>
      <c r="F8" s="8">
        <f>'テスト3'!G5</f>
        <v/>
      </c>
      <c r="G8" s="8">
        <f>'テスト3'!D53</f>
        <v/>
      </c>
      <c r="H8" s="8">
        <f>'テスト3'!D54</f>
        <v/>
      </c>
      <c r="I8" s="8">
        <f>'テスト3'!D55</f>
        <v/>
      </c>
      <c r="J8" s="8">
        <f>'テスト3'!D56</f>
        <v/>
      </c>
      <c r="K8" s="9">
        <f>IF('テスト3'!C118="","",'テスト3'!C118)</f>
        <v/>
      </c>
    </row>
    <row r="9">
      <c r="A9" s="7" t="inlineStr">
        <is>
          <t>テスト4</t>
        </is>
      </c>
      <c r="B9" s="8">
        <f>IF('テスト4'!C4="","",'テスト4'!C4)</f>
        <v/>
      </c>
      <c r="C9" s="9">
        <f>IF('テスト4'!C5="","",'テスト4'!C5)</f>
        <v/>
      </c>
      <c r="D9" s="9">
        <f>IF('テスト4'!C6="","",'テスト4'!C6)</f>
        <v/>
      </c>
      <c r="E9" s="8">
        <f>IF(COUNTA('テスト4'!D10:D49)=0,"",COUNTIF('テスト4'!D10:D49,"正解"))</f>
        <v/>
      </c>
      <c r="F9" s="8">
        <f>'テスト4'!G5</f>
        <v/>
      </c>
      <c r="G9" s="8">
        <f>'テスト4'!D53</f>
        <v/>
      </c>
      <c r="H9" s="8">
        <f>'テスト4'!D54</f>
        <v/>
      </c>
      <c r="I9" s="8">
        <f>'テスト4'!D55</f>
        <v/>
      </c>
      <c r="J9" s="8">
        <f>'テスト4'!D56</f>
        <v/>
      </c>
      <c r="K9" s="9">
        <f>IF('テスト4'!C118="","",'テスト4'!C118)</f>
        <v/>
      </c>
    </row>
    <row r="10">
      <c r="A10" s="7" t="inlineStr">
        <is>
          <t>テスト5</t>
        </is>
      </c>
      <c r="B10" s="8">
        <f>IF('テスト5'!C4="","",'テスト5'!C4)</f>
        <v/>
      </c>
      <c r="C10" s="9">
        <f>IF('テスト5'!C5="","",'テスト5'!C5)</f>
        <v/>
      </c>
      <c r="D10" s="9">
        <f>IF('テスト5'!C6="","",'テスト5'!C6)</f>
        <v/>
      </c>
      <c r="E10" s="8">
        <f>IF(COUNTA('テスト5'!D10:D49)=0,"",COUNTIF('テスト5'!D10:D49,"正解"))</f>
        <v/>
      </c>
      <c r="F10" s="8">
        <f>'テスト5'!G5</f>
        <v/>
      </c>
      <c r="G10" s="8">
        <f>'テスト5'!D53</f>
        <v/>
      </c>
      <c r="H10" s="8">
        <f>'テスト5'!D54</f>
        <v/>
      </c>
      <c r="I10" s="8">
        <f>'テスト5'!D55</f>
        <v/>
      </c>
      <c r="J10" s="8">
        <f>'テスト5'!D56</f>
        <v/>
      </c>
      <c r="K10" s="9">
        <f>IF('テスト5'!C118="","",'テスト5'!C118)</f>
        <v/>
      </c>
    </row>
    <row r="11">
      <c r="A11" s="10" t="inlineStr">
        <is>
          <t>※ 語彙・文法〜注意力・正確性の列は、各テストの不正解の件数です。</t>
        </is>
      </c>
    </row>
  </sheetData>
  <mergeCells count="2">
    <mergeCell ref="A2:K2"/>
    <mergeCell ref="A1:K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1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2" customWidth="1" min="4" max="4"/>
    <col width="28" customWidth="1" min="5" max="5"/>
    <col width="38" customWidth="1" min="6" max="6"/>
    <col width="42" customWidth="1" min="7" max="7"/>
    <col width="42" customWidth="1" min="8" max="8"/>
  </cols>
  <sheetData>
    <row r="1" ht="32" customHeight="1">
      <c r="A1" s="1" t="inlineStr">
        <is>
          <t>IELTSリーディング 間違い分析シート（記入例）</t>
        </is>
      </c>
    </row>
    <row r="2">
      <c r="A2" s="2" t="inlineStr">
        <is>
          <t>使い方：黄色のセルに入力 → 正解/不正解・大カテゴリー・詳細理由はプルダウンで選択。集計と円グラフは自動で更新されます。</t>
        </is>
      </c>
    </row>
    <row r="4">
      <c r="A4" s="11" t="inlineStr">
        <is>
          <t>テスト名</t>
        </is>
      </c>
      <c r="B4" s="12" t="n"/>
      <c r="C4" s="13" t="inlineStr">
        <is>
          <t>Cambridge 18 Test 1</t>
        </is>
      </c>
      <c r="D4" s="12" t="n"/>
      <c r="F4" s="11" t="inlineStr">
        <is>
          <t>正解数</t>
        </is>
      </c>
      <c r="G4" s="14">
        <f>COUNTIF(D10:D49,"正解")&amp;" / 40"</f>
        <v/>
      </c>
    </row>
    <row r="5">
      <c r="A5" s="11" t="inlineStr">
        <is>
          <t>解いた日</t>
        </is>
      </c>
      <c r="B5" s="12" t="n"/>
      <c r="C5" s="15" t="n">
        <v>46315</v>
      </c>
      <c r="D5" s="12" t="n"/>
      <c r="F5" s="11" t="inlineStr">
        <is>
          <t>バンド目安（Academic）</t>
        </is>
      </c>
      <c r="G5" s="14">
        <f>IF(COUNTA(D10:D49)=0,"",LOOKUP(COUNTIF(D10:D49,"正解"),選択肢マスタ!$E$4:$E$15,選択肢マスタ!$F$4:$F$15))</f>
        <v/>
      </c>
    </row>
    <row r="6">
      <c r="A6" s="11" t="inlineStr">
        <is>
          <t>分析日</t>
        </is>
      </c>
      <c r="B6" s="12" t="n"/>
      <c r="C6" s="15" t="n">
        <v>46316</v>
      </c>
      <c r="D6" s="12" t="n"/>
      <c r="F6" s="11" t="inlineStr">
        <is>
          <t>Passage別 正解数</t>
        </is>
      </c>
      <c r="G6" s="14">
        <f>"P1: "&amp;COUNTIFS(B10:B49,1,D10:D49,"正解")&amp;"/13   P2: "&amp;COUNTIFS(B10:B49,2,D10:D49,"正解")&amp;"/13   P3: "&amp;COUNTIFS(B10:B49,3,D10:D49,"正解")&amp;"/14"</f>
        <v/>
      </c>
    </row>
    <row r="7">
      <c r="A7" s="11" t="inlineStr">
        <is>
          <t>解答時間（分）</t>
        </is>
      </c>
      <c r="B7" s="12" t="n"/>
      <c r="C7" s="13" t="n">
        <v>62</v>
      </c>
      <c r="D7" s="12" t="n"/>
      <c r="F7" s="11" t="inlineStr">
        <is>
          <t>不正解数</t>
        </is>
      </c>
      <c r="G7" s="14">
        <f>COUNTIF(D10:D49,"不正解")</f>
        <v/>
      </c>
    </row>
    <row r="9" ht="28" customHeight="1">
      <c r="A9" s="3" t="inlineStr">
        <is>
          <t>問題番号</t>
        </is>
      </c>
      <c r="B9" s="3" t="inlineStr">
        <is>
          <t>Passage</t>
        </is>
      </c>
      <c r="C9" s="3" t="inlineStr">
        <is>
          <t>設問タイプ</t>
        </is>
      </c>
      <c r="D9" s="3" t="inlineStr">
        <is>
          <t>正解/不正解</t>
        </is>
      </c>
      <c r="E9" s="3" t="inlineStr">
        <is>
          <t>大カテゴリー</t>
        </is>
      </c>
      <c r="F9" s="3" t="inlineStr">
        <is>
          <t>詳細理由</t>
        </is>
      </c>
      <c r="G9" s="3" t="inlineStr">
        <is>
          <t>具体的に間違いが起きた箇所</t>
        </is>
      </c>
      <c r="H9" s="3" t="inlineStr">
        <is>
          <t>同じミスを繰り返さないために</t>
        </is>
      </c>
    </row>
    <row r="10" ht="30" customHeight="1">
      <c r="A10" s="16" t="n">
        <v>1</v>
      </c>
      <c r="B10" s="16" t="n">
        <v>1</v>
      </c>
      <c r="C10" s="17" t="inlineStr">
        <is>
          <t>TRUE / FALSE / NOT GIVEN</t>
        </is>
      </c>
      <c r="D10" s="17" t="inlineStr">
        <is>
          <t>正解</t>
        </is>
      </c>
      <c r="E10" s="13" t="n"/>
      <c r="F10" s="13" t="n"/>
      <c r="G10" s="13" t="n"/>
      <c r="H10" s="13" t="n"/>
    </row>
    <row r="11" ht="30" customHeight="1">
      <c r="A11" s="16" t="n">
        <v>2</v>
      </c>
      <c r="B11" s="16" t="n">
        <v>1</v>
      </c>
      <c r="C11" s="17" t="inlineStr">
        <is>
          <t>TRUE / FALSE / NOT GIVEN</t>
        </is>
      </c>
      <c r="D11" s="17" t="inlineStr">
        <is>
          <t>正解</t>
        </is>
      </c>
      <c r="E11" s="13" t="n"/>
      <c r="F11" s="13" t="n"/>
      <c r="G11" s="13" t="n"/>
      <c r="H11" s="13" t="n"/>
    </row>
    <row r="12" ht="30" customHeight="1">
      <c r="A12" s="16" t="n">
        <v>3</v>
      </c>
      <c r="B12" s="16" t="n">
        <v>1</v>
      </c>
      <c r="C12" s="17" t="inlineStr">
        <is>
          <t>TRUE / FALSE / NOT GIVEN</t>
        </is>
      </c>
      <c r="D12" s="17" t="inlineStr">
        <is>
          <t>不正解</t>
        </is>
      </c>
      <c r="E12" s="13" t="inlineStr">
        <is>
          <t>論理的思考・推論の問題</t>
        </is>
      </c>
      <c r="F12" s="13" t="inlineStr">
        <is>
          <t>NOT GIVEN判定の誤り</t>
        </is>
      </c>
      <c r="G12" s="13" t="inlineStr">
        <is>
          <t>本文に近い記述があったのでTRUEにしたが、頻度の情報は書かれていなかった</t>
        </is>
      </c>
      <c r="H12" s="13" t="inlineStr">
        <is>
          <t>本文にない情報を自分の知識で補っていないか確認する</t>
        </is>
      </c>
    </row>
    <row r="13" ht="30" customHeight="1">
      <c r="A13" s="16" t="n">
        <v>4</v>
      </c>
      <c r="B13" s="16" t="n">
        <v>1</v>
      </c>
      <c r="C13" s="17" t="inlineStr">
        <is>
          <t>TRUE / FALSE / NOT GIVEN</t>
        </is>
      </c>
      <c r="D13" s="17" t="inlineStr">
        <is>
          <t>正解</t>
        </is>
      </c>
      <c r="E13" s="13" t="n"/>
      <c r="F13" s="13" t="n"/>
      <c r="G13" s="13" t="n"/>
      <c r="H13" s="13" t="n"/>
    </row>
    <row r="14" ht="30" customHeight="1">
      <c r="A14" s="16" t="n">
        <v>5</v>
      </c>
      <c r="B14" s="16" t="n">
        <v>1</v>
      </c>
      <c r="C14" s="17" t="inlineStr">
        <is>
          <t>TRUE / FALSE / NOT GIVEN</t>
        </is>
      </c>
      <c r="D14" s="17" t="inlineStr">
        <is>
          <t>正解</t>
        </is>
      </c>
      <c r="E14" s="13" t="n"/>
      <c r="F14" s="13" t="n"/>
      <c r="G14" s="13" t="n"/>
      <c r="H14" s="13" t="n"/>
    </row>
    <row r="15" ht="30" customHeight="1">
      <c r="A15" s="16" t="n">
        <v>6</v>
      </c>
      <c r="B15" s="16" t="n">
        <v>1</v>
      </c>
      <c r="C15" s="17" t="inlineStr">
        <is>
          <t>TRUE / FALSE / NOT GIVEN</t>
        </is>
      </c>
      <c r="D15" s="17" t="inlineStr">
        <is>
          <t>不正解</t>
        </is>
      </c>
      <c r="E15" s="13" t="inlineStr">
        <is>
          <t>論理的思考・推論の問題</t>
        </is>
      </c>
      <c r="F15" s="13" t="inlineStr">
        <is>
          <t>限定表現の見落とし</t>
        </is>
      </c>
      <c r="G15" s="13" t="inlineStr">
        <is>
          <t>問題文の only / always を見落とした</t>
        </is>
      </c>
      <c r="H15" s="13" t="inlineStr">
        <is>
          <t>only・all・always などの限定語に○をつける</t>
        </is>
      </c>
    </row>
    <row r="16" ht="30" customHeight="1">
      <c r="A16" s="16" t="n">
        <v>7</v>
      </c>
      <c r="B16" s="16" t="n">
        <v>1</v>
      </c>
      <c r="C16" s="17" t="inlineStr">
        <is>
          <t>TRUE / FALSE / NOT GIVEN</t>
        </is>
      </c>
      <c r="D16" s="17" t="inlineStr">
        <is>
          <t>正解</t>
        </is>
      </c>
      <c r="E16" s="13" t="n"/>
      <c r="F16" s="13" t="n"/>
      <c r="G16" s="13" t="n"/>
      <c r="H16" s="13" t="n"/>
    </row>
    <row r="17" ht="30" customHeight="1">
      <c r="A17" s="16" t="n">
        <v>8</v>
      </c>
      <c r="B17" s="16" t="n">
        <v>1</v>
      </c>
      <c r="C17" s="17" t="inlineStr">
        <is>
          <t>表・ノート・フローチャート完成</t>
        </is>
      </c>
      <c r="D17" s="17" t="inlineStr">
        <is>
          <t>正解</t>
        </is>
      </c>
      <c r="E17" s="13" t="n"/>
      <c r="F17" s="13" t="n"/>
      <c r="G17" s="13" t="n"/>
      <c r="H17" s="13" t="n"/>
    </row>
    <row r="18" ht="30" customHeight="1">
      <c r="A18" s="16" t="n">
        <v>9</v>
      </c>
      <c r="B18" s="16" t="n">
        <v>1</v>
      </c>
      <c r="C18" s="17" t="inlineStr">
        <is>
          <t>表・ノート・フローチャート完成</t>
        </is>
      </c>
      <c r="D18" s="17" t="inlineStr">
        <is>
          <t>正解</t>
        </is>
      </c>
      <c r="E18" s="13" t="n"/>
      <c r="F18" s="13" t="n"/>
      <c r="G18" s="13" t="n"/>
      <c r="H18" s="13" t="n"/>
    </row>
    <row r="19" ht="30" customHeight="1">
      <c r="A19" s="16" t="n">
        <v>10</v>
      </c>
      <c r="B19" s="16" t="n">
        <v>1</v>
      </c>
      <c r="C19" s="17" t="inlineStr">
        <is>
          <t>表・ノート・フローチャート完成</t>
        </is>
      </c>
      <c r="D19" s="17" t="inlineStr">
        <is>
          <t>不正解</t>
        </is>
      </c>
      <c r="E19" s="13" t="inlineStr">
        <is>
          <t>注意力・正確性の問題</t>
        </is>
      </c>
      <c r="F19" s="13" t="inlineStr">
        <is>
          <t>単数形・複数形の間違い</t>
        </is>
      </c>
      <c r="G19" s="13" t="inlineStr">
        <is>
          <t>正解は seeds なのに seed と書いた</t>
        </is>
      </c>
      <c r="H19" s="13" t="inlineStr">
        <is>
          <t>転記後に冠詞・複数形を本文と照合する</t>
        </is>
      </c>
    </row>
    <row r="20" ht="30" customHeight="1">
      <c r="A20" s="16" t="n">
        <v>11</v>
      </c>
      <c r="B20" s="16" t="n">
        <v>1</v>
      </c>
      <c r="C20" s="17" t="inlineStr">
        <is>
          <t>表・ノート・フローチャート完成</t>
        </is>
      </c>
      <c r="D20" s="17" t="inlineStr">
        <is>
          <t>正解</t>
        </is>
      </c>
      <c r="E20" s="13" t="n"/>
      <c r="F20" s="13" t="n"/>
      <c r="G20" s="13" t="n"/>
      <c r="H20" s="13" t="n"/>
    </row>
    <row r="21" ht="30" customHeight="1">
      <c r="A21" s="16" t="n">
        <v>12</v>
      </c>
      <c r="B21" s="16" t="n">
        <v>1</v>
      </c>
      <c r="C21" s="17" t="inlineStr">
        <is>
          <t>表・ノート・フローチャート完成</t>
        </is>
      </c>
      <c r="D21" s="17" t="inlineStr">
        <is>
          <t>正解</t>
        </is>
      </c>
      <c r="E21" s="13" t="n"/>
      <c r="F21" s="13" t="n"/>
      <c r="G21" s="13" t="n"/>
      <c r="H21" s="13" t="n"/>
    </row>
    <row r="22" ht="30" customHeight="1">
      <c r="A22" s="16" t="n">
        <v>13</v>
      </c>
      <c r="B22" s="16" t="n">
        <v>1</v>
      </c>
      <c r="C22" s="17" t="inlineStr">
        <is>
          <t>表・ノート・フローチャート完成</t>
        </is>
      </c>
      <c r="D22" s="17" t="inlineStr">
        <is>
          <t>正解</t>
        </is>
      </c>
      <c r="E22" s="13" t="n"/>
      <c r="F22" s="13" t="n"/>
      <c r="G22" s="13" t="n"/>
      <c r="H22" s="13" t="n"/>
    </row>
    <row r="23" ht="30" customHeight="1">
      <c r="A23" s="16" t="n">
        <v>14</v>
      </c>
      <c r="B23" s="16" t="n">
        <v>2</v>
      </c>
      <c r="C23" s="17" t="inlineStr">
        <is>
          <t>見出し選択 (Headings)</t>
        </is>
      </c>
      <c r="D23" s="17" t="inlineStr">
        <is>
          <t>正解</t>
        </is>
      </c>
      <c r="E23" s="13" t="n"/>
      <c r="F23" s="13" t="n"/>
      <c r="G23" s="13" t="n"/>
      <c r="H23" s="13" t="n"/>
    </row>
    <row r="24" ht="30" customHeight="1">
      <c r="A24" s="16" t="n">
        <v>15</v>
      </c>
      <c r="B24" s="16" t="n">
        <v>2</v>
      </c>
      <c r="C24" s="17" t="inlineStr">
        <is>
          <t>見出し選択 (Headings)</t>
        </is>
      </c>
      <c r="D24" s="17" t="inlineStr">
        <is>
          <t>不正解</t>
        </is>
      </c>
      <c r="E24" s="13" t="inlineStr">
        <is>
          <t>語彙・文法理解の問題</t>
        </is>
      </c>
      <c r="F24" s="13" t="inlineStr">
        <is>
          <t>同義語・言い換え表現に気づけなかった</t>
        </is>
      </c>
      <c r="G24" s="13" t="inlineStr">
        <is>
          <t>decline が decrease の言い換えだと気づかなかった</t>
        </is>
      </c>
      <c r="H24" s="13" t="inlineStr">
        <is>
          <t>パラフレーズノートに追加して復習</t>
        </is>
      </c>
    </row>
    <row r="25" ht="30" customHeight="1">
      <c r="A25" s="16" t="n">
        <v>16</v>
      </c>
      <c r="B25" s="16" t="n">
        <v>2</v>
      </c>
      <c r="C25" s="17" t="inlineStr">
        <is>
          <t>見出し選択 (Headings)</t>
        </is>
      </c>
      <c r="D25" s="17" t="inlineStr">
        <is>
          <t>正解</t>
        </is>
      </c>
      <c r="E25" s="13" t="n"/>
      <c r="F25" s="13" t="n"/>
      <c r="G25" s="13" t="n"/>
      <c r="H25" s="13" t="n"/>
    </row>
    <row r="26" ht="30" customHeight="1">
      <c r="A26" s="16" t="n">
        <v>17</v>
      </c>
      <c r="B26" s="16" t="n">
        <v>2</v>
      </c>
      <c r="C26" s="17" t="inlineStr">
        <is>
          <t>見出し選択 (Headings)</t>
        </is>
      </c>
      <c r="D26" s="17" t="inlineStr">
        <is>
          <t>不正解</t>
        </is>
      </c>
      <c r="E26" s="13" t="inlineStr">
        <is>
          <t>情報検索・スキャニングの問題</t>
        </is>
      </c>
      <c r="F26" s="13" t="inlineStr">
        <is>
          <t>該当箇所を見つけられなかった</t>
        </is>
      </c>
      <c r="G26" s="13" t="inlineStr">
        <is>
          <t>段落Dの主旨をつかめず見出しを決められなかった</t>
        </is>
      </c>
      <c r="H26" s="13" t="inlineStr">
        <is>
          <t>各段落の1文目と最後の文を先に読む</t>
        </is>
      </c>
    </row>
    <row r="27" ht="30" customHeight="1">
      <c r="A27" s="16" t="n">
        <v>18</v>
      </c>
      <c r="B27" s="16" t="n">
        <v>2</v>
      </c>
      <c r="C27" s="17" t="inlineStr">
        <is>
          <t>見出し選択 (Headings)</t>
        </is>
      </c>
      <c r="D27" s="17" t="inlineStr">
        <is>
          <t>正解</t>
        </is>
      </c>
      <c r="E27" s="13" t="n"/>
      <c r="F27" s="13" t="n"/>
      <c r="G27" s="13" t="n"/>
      <c r="H27" s="13" t="n"/>
    </row>
    <row r="28" ht="30" customHeight="1">
      <c r="A28" s="16" t="n">
        <v>19</v>
      </c>
      <c r="B28" s="16" t="n">
        <v>2</v>
      </c>
      <c r="C28" s="17" t="inlineStr">
        <is>
          <t>見出し選択 (Headings)</t>
        </is>
      </c>
      <c r="D28" s="17" t="inlineStr">
        <is>
          <t>不正解</t>
        </is>
      </c>
      <c r="E28" s="13" t="inlineStr">
        <is>
          <t>語彙・文法理解の問題</t>
        </is>
      </c>
      <c r="F28" s="13" t="inlineStr">
        <is>
          <t>同義語・言い換え表現に気づけなかった</t>
        </is>
      </c>
      <c r="G28" s="13" t="inlineStr">
        <is>
          <t>feasible = possible と結びつかなかった</t>
        </is>
      </c>
      <c r="H28" s="13" t="inlineStr">
        <is>
          <t>パラフレーズノートに追加して復習</t>
        </is>
      </c>
    </row>
    <row r="29" ht="30" customHeight="1">
      <c r="A29" s="16" t="n">
        <v>20</v>
      </c>
      <c r="B29" s="16" t="n">
        <v>2</v>
      </c>
      <c r="C29" s="17" t="inlineStr">
        <is>
          <t>見出し選択 (Headings)</t>
        </is>
      </c>
      <c r="D29" s="17" t="inlineStr">
        <is>
          <t>正解</t>
        </is>
      </c>
      <c r="E29" s="13" t="n"/>
      <c r="F29" s="13" t="n"/>
      <c r="G29" s="13" t="n"/>
      <c r="H29" s="13" t="n"/>
    </row>
    <row r="30" ht="30" customHeight="1">
      <c r="A30" s="16" t="n">
        <v>21</v>
      </c>
      <c r="B30" s="16" t="n">
        <v>2</v>
      </c>
      <c r="C30" s="17" t="inlineStr">
        <is>
          <t>YES / NO / NOT GIVEN</t>
        </is>
      </c>
      <c r="D30" s="17" t="inlineStr">
        <is>
          <t>正解</t>
        </is>
      </c>
      <c r="E30" s="13" t="n"/>
      <c r="F30" s="13" t="n"/>
      <c r="G30" s="13" t="n"/>
      <c r="H30" s="13" t="n"/>
    </row>
    <row r="31" ht="30" customHeight="1">
      <c r="A31" s="16" t="n">
        <v>22</v>
      </c>
      <c r="B31" s="16" t="n">
        <v>2</v>
      </c>
      <c r="C31" s="17" t="inlineStr">
        <is>
          <t>YES / NO / NOT GIVEN</t>
        </is>
      </c>
      <c r="D31" s="17" t="inlineStr">
        <is>
          <t>不正解</t>
        </is>
      </c>
      <c r="E31" s="13" t="inlineStr">
        <is>
          <t>論理的思考・推論の問題</t>
        </is>
      </c>
      <c r="F31" s="13" t="inlineStr">
        <is>
          <t>NOT GIVEN判定の誤り</t>
        </is>
      </c>
      <c r="G31" s="13" t="inlineStr">
        <is>
          <t>筆者の意見が書かれていないのにNOにした</t>
        </is>
      </c>
      <c r="H31" s="13" t="inlineStr">
        <is>
          <t>NO＝本文と逆の主張がある時だけ、と確認する</t>
        </is>
      </c>
    </row>
    <row r="32" ht="30" customHeight="1">
      <c r="A32" s="16" t="n">
        <v>23</v>
      </c>
      <c r="B32" s="16" t="n">
        <v>2</v>
      </c>
      <c r="C32" s="17" t="inlineStr">
        <is>
          <t>YES / NO / NOT GIVEN</t>
        </is>
      </c>
      <c r="D32" s="17" t="inlineStr">
        <is>
          <t>正解</t>
        </is>
      </c>
      <c r="E32" s="13" t="n"/>
      <c r="F32" s="13" t="n"/>
      <c r="G32" s="13" t="n"/>
      <c r="H32" s="13" t="n"/>
    </row>
    <row r="33" ht="30" customHeight="1">
      <c r="A33" s="16" t="n">
        <v>24</v>
      </c>
      <c r="B33" s="16" t="n">
        <v>2</v>
      </c>
      <c r="C33" s="17" t="inlineStr">
        <is>
          <t>YES / NO / NOT GIVEN</t>
        </is>
      </c>
      <c r="D33" s="17" t="inlineStr">
        <is>
          <t>正解</t>
        </is>
      </c>
      <c r="E33" s="13" t="n"/>
      <c r="F33" s="13" t="n"/>
      <c r="G33" s="13" t="n"/>
      <c r="H33" s="13" t="n"/>
    </row>
    <row r="34" ht="30" customHeight="1">
      <c r="A34" s="16" t="n">
        <v>25</v>
      </c>
      <c r="B34" s="16" t="n">
        <v>2</v>
      </c>
      <c r="C34" s="17" t="inlineStr">
        <is>
          <t>YES / NO / NOT GIVEN</t>
        </is>
      </c>
      <c r="D34" s="17" t="inlineStr">
        <is>
          <t>不正解</t>
        </is>
      </c>
      <c r="E34" s="13" t="inlineStr">
        <is>
          <t>論理的思考・推論の問題</t>
        </is>
      </c>
      <c r="F34" s="13" t="inlineStr">
        <is>
          <t>否定表現の見落とし</t>
        </is>
      </c>
      <c r="G34" s="13" t="inlineStr">
        <is>
          <t>hardly を見落として肯定文として読んだ</t>
        </is>
      </c>
      <c r="H34" s="13" t="inlineStr">
        <is>
          <t>否定語（hardly, rarely, few）に線を引く</t>
        </is>
      </c>
    </row>
    <row r="35" ht="30" customHeight="1">
      <c r="A35" s="16" t="n">
        <v>26</v>
      </c>
      <c r="B35" s="16" t="n">
        <v>2</v>
      </c>
      <c r="C35" s="17" t="inlineStr">
        <is>
          <t>YES / NO / NOT GIVEN</t>
        </is>
      </c>
      <c r="D35" s="17" t="inlineStr">
        <is>
          <t>正解</t>
        </is>
      </c>
      <c r="E35" s="13" t="n"/>
      <c r="F35" s="13" t="n"/>
      <c r="G35" s="13" t="n"/>
      <c r="H35" s="13" t="n"/>
    </row>
    <row r="36" ht="30" customHeight="1">
      <c r="A36" s="16" t="n">
        <v>27</v>
      </c>
      <c r="B36" s="16" t="n">
        <v>3</v>
      </c>
      <c r="C36" s="17" t="inlineStr">
        <is>
          <t>多肢選択 (Multiple Choice)</t>
        </is>
      </c>
      <c r="D36" s="17" t="inlineStr">
        <is>
          <t>正解</t>
        </is>
      </c>
      <c r="E36" s="13" t="n"/>
      <c r="F36" s="13" t="n"/>
      <c r="G36" s="13" t="n"/>
      <c r="H36" s="13" t="n"/>
    </row>
    <row r="37" ht="30" customHeight="1">
      <c r="A37" s="16" t="n">
        <v>28</v>
      </c>
      <c r="B37" s="16" t="n">
        <v>3</v>
      </c>
      <c r="C37" s="17" t="inlineStr">
        <is>
          <t>多肢選択 (Multiple Choice)</t>
        </is>
      </c>
      <c r="D37" s="17" t="inlineStr">
        <is>
          <t>不正解</t>
        </is>
      </c>
      <c r="E37" s="13" t="inlineStr">
        <is>
          <t>語彙・文法理解の問題</t>
        </is>
      </c>
      <c r="F37" s="13" t="inlineStr">
        <is>
          <t>文法構造が複雑で理解できなかった</t>
        </is>
      </c>
      <c r="G37" s="13" t="inlineStr">
        <is>
          <t>長い関係詞節で主語と動詞を取り違えた</t>
        </is>
      </c>
      <c r="H37" s="13" t="inlineStr">
        <is>
          <t>SVを先に見つけてから修飾部分を読む</t>
        </is>
      </c>
    </row>
    <row r="38" ht="30" customHeight="1">
      <c r="A38" s="16" t="n">
        <v>29</v>
      </c>
      <c r="B38" s="16" t="n">
        <v>3</v>
      </c>
      <c r="C38" s="17" t="inlineStr">
        <is>
          <t>多肢選択 (Multiple Choice)</t>
        </is>
      </c>
      <c r="D38" s="17" t="inlineStr">
        <is>
          <t>正解</t>
        </is>
      </c>
      <c r="E38" s="13" t="n"/>
      <c r="F38" s="13" t="n"/>
      <c r="G38" s="13" t="n"/>
      <c r="H38" s="13" t="n"/>
    </row>
    <row r="39" ht="30" customHeight="1">
      <c r="A39" s="16" t="n">
        <v>30</v>
      </c>
      <c r="B39" s="16" t="n">
        <v>3</v>
      </c>
      <c r="C39" s="17" t="inlineStr">
        <is>
          <t>多肢選択 (Multiple Choice)</t>
        </is>
      </c>
      <c r="D39" s="17" t="inlineStr">
        <is>
          <t>正解</t>
        </is>
      </c>
      <c r="E39" s="13" t="n"/>
      <c r="F39" s="13" t="n"/>
      <c r="G39" s="13" t="n"/>
      <c r="H39" s="13" t="n"/>
    </row>
    <row r="40" ht="30" customHeight="1">
      <c r="A40" s="16" t="n">
        <v>31</v>
      </c>
      <c r="B40" s="16" t="n">
        <v>3</v>
      </c>
      <c r="C40" s="17" t="inlineStr">
        <is>
          <t>多肢選択 (Multiple Choice)</t>
        </is>
      </c>
      <c r="D40" s="17" t="inlineStr">
        <is>
          <t>正解</t>
        </is>
      </c>
      <c r="E40" s="13" t="n"/>
      <c r="F40" s="13" t="n"/>
      <c r="G40" s="13" t="n"/>
      <c r="H40" s="13" t="n"/>
    </row>
    <row r="41" ht="30" customHeight="1">
      <c r="A41" s="16" t="n">
        <v>32</v>
      </c>
      <c r="B41" s="16" t="n">
        <v>3</v>
      </c>
      <c r="C41" s="17" t="inlineStr">
        <is>
          <t>特徴の組み合わせ (Matching Features)</t>
        </is>
      </c>
      <c r="D41" s="17" t="inlineStr">
        <is>
          <t>正解</t>
        </is>
      </c>
      <c r="E41" s="13" t="n"/>
      <c r="F41" s="13" t="n"/>
      <c r="G41" s="13" t="n"/>
      <c r="H41" s="13" t="n"/>
    </row>
    <row r="42" ht="30" customHeight="1">
      <c r="A42" s="16" t="n">
        <v>33</v>
      </c>
      <c r="B42" s="16" t="n">
        <v>3</v>
      </c>
      <c r="C42" s="17" t="inlineStr">
        <is>
          <t>特徴の組み合わせ (Matching Features)</t>
        </is>
      </c>
      <c r="D42" s="17" t="inlineStr">
        <is>
          <t>不正解</t>
        </is>
      </c>
      <c r="E42" s="13" t="inlineStr">
        <is>
          <t>情報検索・スキャニングの問題</t>
        </is>
      </c>
      <c r="F42" s="13" t="inlineStr">
        <is>
          <t>似た情報と混同した</t>
        </is>
      </c>
      <c r="G42" s="13" t="inlineStr">
        <is>
          <t>研究者Bの意見を研究者Cのものと混同した</t>
        </is>
      </c>
      <c r="H42" s="13" t="inlineStr">
        <is>
          <t>人名に□をつけて意見を整理しながら読む</t>
        </is>
      </c>
    </row>
    <row r="43" ht="30" customHeight="1">
      <c r="A43" s="16" t="n">
        <v>34</v>
      </c>
      <c r="B43" s="16" t="n">
        <v>3</v>
      </c>
      <c r="C43" s="17" t="inlineStr">
        <is>
          <t>特徴の組み合わせ (Matching Features)</t>
        </is>
      </c>
      <c r="D43" s="17" t="inlineStr">
        <is>
          <t>正解</t>
        </is>
      </c>
      <c r="E43" s="13" t="n"/>
      <c r="F43" s="13" t="n"/>
      <c r="G43" s="13" t="n"/>
      <c r="H43" s="13" t="n"/>
    </row>
    <row r="44" ht="30" customHeight="1">
      <c r="A44" s="16" t="n">
        <v>35</v>
      </c>
      <c r="B44" s="16" t="n">
        <v>3</v>
      </c>
      <c r="C44" s="17" t="inlineStr">
        <is>
          <t>特徴の組み合わせ (Matching Features)</t>
        </is>
      </c>
      <c r="D44" s="17" t="inlineStr">
        <is>
          <t>正解</t>
        </is>
      </c>
      <c r="E44" s="13" t="n"/>
      <c r="F44" s="13" t="n"/>
      <c r="G44" s="13" t="n"/>
      <c r="H44" s="13" t="n"/>
    </row>
    <row r="45" ht="30" customHeight="1">
      <c r="A45" s="16" t="n">
        <v>36</v>
      </c>
      <c r="B45" s="16" t="n">
        <v>3</v>
      </c>
      <c r="C45" s="17" t="inlineStr">
        <is>
          <t>要約完成 (Summary Completion)</t>
        </is>
      </c>
      <c r="D45" s="17" t="inlineStr">
        <is>
          <t>正解</t>
        </is>
      </c>
      <c r="E45" s="13" t="n"/>
      <c r="F45" s="13" t="n"/>
      <c r="G45" s="13" t="n"/>
      <c r="H45" s="13" t="n"/>
    </row>
    <row r="46" ht="30" customHeight="1">
      <c r="A46" s="16" t="n">
        <v>37</v>
      </c>
      <c r="B46" s="16" t="n">
        <v>3</v>
      </c>
      <c r="C46" s="17" t="inlineStr">
        <is>
          <t>要約完成 (Summary Completion)</t>
        </is>
      </c>
      <c r="D46" s="17" t="inlineStr">
        <is>
          <t>正解</t>
        </is>
      </c>
      <c r="E46" s="13" t="n"/>
      <c r="F46" s="13" t="n"/>
      <c r="G46" s="13" t="n"/>
      <c r="H46" s="13" t="n"/>
    </row>
    <row r="47" ht="30" customHeight="1">
      <c r="A47" s="16" t="n">
        <v>38</v>
      </c>
      <c r="B47" s="16" t="n">
        <v>3</v>
      </c>
      <c r="C47" s="17" t="inlineStr">
        <is>
          <t>要約完成 (Summary Completion)</t>
        </is>
      </c>
      <c r="D47" s="17" t="inlineStr">
        <is>
          <t>不正解</t>
        </is>
      </c>
      <c r="E47" s="13" t="inlineStr">
        <is>
          <t>注意力・正確性の問題</t>
        </is>
      </c>
      <c r="F47" s="13" t="inlineStr">
        <is>
          <t>時間切れで未解答</t>
        </is>
      </c>
      <c r="G47" s="13" t="inlineStr">
        <is>
          <t>Passage3に入った時点で残り12分しかなかった</t>
        </is>
      </c>
      <c r="H47" s="13" t="inlineStr">
        <is>
          <t>P1を17分以内で終える時間配分を練習する</t>
        </is>
      </c>
    </row>
    <row r="48" ht="30" customHeight="1">
      <c r="A48" s="16" t="n">
        <v>39</v>
      </c>
      <c r="B48" s="16" t="n">
        <v>3</v>
      </c>
      <c r="C48" s="17" t="inlineStr">
        <is>
          <t>要約完成 (Summary Completion)</t>
        </is>
      </c>
      <c r="D48" s="17" t="inlineStr">
        <is>
          <t>不正解</t>
        </is>
      </c>
      <c r="E48" s="13" t="inlineStr">
        <is>
          <t>注意力・正確性の問題</t>
        </is>
      </c>
      <c r="F48" s="13" t="inlineStr">
        <is>
          <t>時間切れで未解答</t>
        </is>
      </c>
      <c r="G48" s="13" t="inlineStr">
        <is>
          <t>同上</t>
        </is>
      </c>
      <c r="H48" s="13" t="inlineStr">
        <is>
          <t>同上</t>
        </is>
      </c>
    </row>
    <row r="49" ht="30" customHeight="1">
      <c r="A49" s="16" t="n">
        <v>40</v>
      </c>
      <c r="B49" s="16" t="n">
        <v>3</v>
      </c>
      <c r="C49" s="17" t="inlineStr">
        <is>
          <t>要約完成 (Summary Completion)</t>
        </is>
      </c>
      <c r="D49" s="17" t="inlineStr">
        <is>
          <t>正解</t>
        </is>
      </c>
      <c r="E49" s="13" t="n"/>
      <c r="F49" s="13" t="n"/>
      <c r="G49" s="13" t="n"/>
      <c r="H49" s="13" t="n"/>
    </row>
    <row r="51" ht="26" customHeight="1">
      <c r="A51" s="18" t="inlineStr">
        <is>
          <t>■ 何で間違えたのか（不正解の原因の割合）</t>
        </is>
      </c>
    </row>
    <row r="52">
      <c r="A52" s="11" t="inlineStr">
        <is>
          <t>大カテゴリー</t>
        </is>
      </c>
      <c r="B52" s="12" t="n"/>
      <c r="C52" s="12" t="n"/>
      <c r="D52" s="11" t="inlineStr">
        <is>
          <t>件数</t>
        </is>
      </c>
      <c r="E52" s="11" t="inlineStr">
        <is>
          <t>割合</t>
        </is>
      </c>
    </row>
    <row r="53">
      <c r="A53" s="19" t="inlineStr">
        <is>
          <t>語彙・文法理解の問題</t>
        </is>
      </c>
      <c r="B53" s="20" t="n"/>
      <c r="C53" s="20" t="n"/>
      <c r="D53" s="8">
        <f>COUNTIFS($D$10:$D$49,"不正解",$E$10:$E$49,A53)</f>
        <v/>
      </c>
      <c r="E53" s="21">
        <f>IF($D$58=0,"",D53/$D$58)</f>
        <v/>
      </c>
    </row>
    <row r="54">
      <c r="A54" s="19" t="inlineStr">
        <is>
          <t>情報検索・スキャニングの問題</t>
        </is>
      </c>
      <c r="B54" s="20" t="n"/>
      <c r="C54" s="20" t="n"/>
      <c r="D54" s="8">
        <f>COUNTIFS($D$10:$D$49,"不正解",$E$10:$E$49,A54)</f>
        <v/>
      </c>
      <c r="E54" s="21">
        <f>IF($D$58=0,"",D54/$D$58)</f>
        <v/>
      </c>
    </row>
    <row r="55">
      <c r="A55" s="19" t="inlineStr">
        <is>
          <t>論理的思考・推論の問題</t>
        </is>
      </c>
      <c r="B55" s="20" t="n"/>
      <c r="C55" s="20" t="n"/>
      <c r="D55" s="8">
        <f>COUNTIFS($D$10:$D$49,"不正解",$E$10:$E$49,A55)</f>
        <v/>
      </c>
      <c r="E55" s="21">
        <f>IF($D$58=0,"",D55/$D$58)</f>
        <v/>
      </c>
    </row>
    <row r="56">
      <c r="A56" s="19" t="inlineStr">
        <is>
          <t>注意力・正確性の問題</t>
        </is>
      </c>
      <c r="B56" s="20" t="n"/>
      <c r="C56" s="20" t="n"/>
      <c r="D56" s="8">
        <f>COUNTIFS($D$10:$D$49,"不正解",$E$10:$E$49,A56)</f>
        <v/>
      </c>
      <c r="E56" s="21">
        <f>IF($D$58=0,"",D56/$D$58)</f>
        <v/>
      </c>
    </row>
    <row r="57">
      <c r="A57" s="19" t="inlineStr">
        <is>
          <t>（カテゴリー未入力）</t>
        </is>
      </c>
      <c r="B57" s="20" t="n"/>
      <c r="C57" s="20" t="n"/>
      <c r="D57" s="8">
        <f>COUNTIFS($D$10:$D$49,"不正解",$E$10:$E$49,"")</f>
        <v/>
      </c>
      <c r="E57" s="21">
        <f>IF($D$58=0,"",D57/$D$58)</f>
        <v/>
      </c>
    </row>
    <row r="58">
      <c r="A58" s="22" t="inlineStr">
        <is>
          <t>合計（不正解数）</t>
        </is>
      </c>
      <c r="B58" s="23" t="n"/>
      <c r="C58" s="23" t="n"/>
      <c r="D58" s="24">
        <f>SUM(D53:D57)</f>
        <v/>
      </c>
      <c r="E58" s="25">
        <f>IF($D$58=0,"",D58/$D$58)</f>
        <v/>
      </c>
    </row>
    <row r="70">
      <c r="A70" s="11" t="inlineStr">
        <is>
          <t>詳細理由</t>
        </is>
      </c>
      <c r="B70" s="12" t="n"/>
      <c r="C70" s="12" t="n"/>
      <c r="D70" s="11" t="inlineStr">
        <is>
          <t>件数</t>
        </is>
      </c>
      <c r="E70" s="11" t="inlineStr">
        <is>
          <t>割合</t>
        </is>
      </c>
      <c r="F70" s="11" t="inlineStr">
        <is>
          <t>カテゴリー</t>
        </is>
      </c>
    </row>
    <row r="71">
      <c r="A71" s="19" t="inlineStr">
        <is>
          <t>単語の意味が分からなかった</t>
        </is>
      </c>
      <c r="B71" s="20" t="n"/>
      <c r="C71" s="20" t="n"/>
      <c r="D71" s="8">
        <f>COUNTIFS($D$10:$D$49,"不正解",$F$10:$F$49,A71)</f>
        <v/>
      </c>
      <c r="E71" s="21">
        <f>IF($D$58=0,"",D71/$D$58)</f>
        <v/>
      </c>
      <c r="F71" s="26" t="inlineStr">
        <is>
          <t>語彙・文法理解の問題</t>
        </is>
      </c>
    </row>
    <row r="72">
      <c r="A72" s="19" t="inlineStr">
        <is>
          <t>多義語の誤認識</t>
        </is>
      </c>
      <c r="B72" s="20" t="n"/>
      <c r="C72" s="20" t="n"/>
      <c r="D72" s="8">
        <f>COUNTIFS($D$10:$D$49,"不正解",$F$10:$F$49,A72)</f>
        <v/>
      </c>
      <c r="E72" s="21">
        <f>IF($D$58=0,"",D72/$D$58)</f>
        <v/>
      </c>
      <c r="F72" s="26" t="inlineStr">
        <is>
          <t>語彙・文法理解の問題</t>
        </is>
      </c>
    </row>
    <row r="73">
      <c r="A73" s="19" t="inlineStr">
        <is>
          <t>同義語・言い換え表現に気づけなかった</t>
        </is>
      </c>
      <c r="B73" s="20" t="n"/>
      <c r="C73" s="20" t="n"/>
      <c r="D73" s="8">
        <f>COUNTIFS($D$10:$D$49,"不正解",$F$10:$F$49,A73)</f>
        <v/>
      </c>
      <c r="E73" s="21">
        <f>IF($D$58=0,"",D73/$D$58)</f>
        <v/>
      </c>
      <c r="F73" s="26" t="inlineStr">
        <is>
          <t>語彙・文法理解の問題</t>
        </is>
      </c>
    </row>
    <row r="74">
      <c r="A74" s="19" t="inlineStr">
        <is>
          <t>文法構造が複雑で理解できなかった</t>
        </is>
      </c>
      <c r="B74" s="20" t="n"/>
      <c r="C74" s="20" t="n"/>
      <c r="D74" s="8">
        <f>COUNTIFS($D$10:$D$49,"不正解",$F$10:$F$49,A74)</f>
        <v/>
      </c>
      <c r="E74" s="21">
        <f>IF($D$58=0,"",D74/$D$58)</f>
        <v/>
      </c>
      <c r="F74" s="26" t="inlineStr">
        <is>
          <t>語彙・文法理解の問題</t>
        </is>
      </c>
    </row>
    <row r="75">
      <c r="A75" s="19" t="inlineStr">
        <is>
          <t>代名詞・指示語の指す内容を誤解</t>
        </is>
      </c>
      <c r="B75" s="20" t="n"/>
      <c r="C75" s="20" t="n"/>
      <c r="D75" s="8">
        <f>COUNTIFS($D$10:$D$49,"不正解",$F$10:$F$49,A75)</f>
        <v/>
      </c>
      <c r="E75" s="21">
        <f>IF($D$58=0,"",D75/$D$58)</f>
        <v/>
      </c>
      <c r="F75" s="26" t="inlineStr">
        <is>
          <t>語彙・文法理解の問題</t>
        </is>
      </c>
    </row>
    <row r="76">
      <c r="A76" s="19" t="inlineStr">
        <is>
          <t>接続詞・ディスコースマーカーの見落とし</t>
        </is>
      </c>
      <c r="B76" s="20" t="n"/>
      <c r="C76" s="20" t="n"/>
      <c r="D76" s="8">
        <f>COUNTIFS($D$10:$D$49,"不正解",$F$10:$F$49,A76)</f>
        <v/>
      </c>
      <c r="E76" s="21">
        <f>IF($D$58=0,"",D76/$D$58)</f>
        <v/>
      </c>
      <c r="F76" s="26" t="inlineStr">
        <is>
          <t>語彙・文法理解の問題</t>
        </is>
      </c>
    </row>
    <row r="77">
      <c r="A77" s="19" t="inlineStr">
        <is>
          <t>該当箇所を見つけられなかった</t>
        </is>
      </c>
      <c r="B77" s="20" t="n"/>
      <c r="C77" s="20" t="n"/>
      <c r="D77" s="8">
        <f>COUNTIFS($D$10:$D$49,"不正解",$F$10:$F$49,A77)</f>
        <v/>
      </c>
      <c r="E77" s="21">
        <f>IF($D$58=0,"",D77/$D$58)</f>
        <v/>
      </c>
      <c r="F77" s="26" t="inlineStr">
        <is>
          <t>情報検索・スキャニングの問題</t>
        </is>
      </c>
    </row>
    <row r="78">
      <c r="A78" s="19" t="inlineStr">
        <is>
          <t>キーワードのパラフレーズに気づけず探せなかった</t>
        </is>
      </c>
      <c r="B78" s="20" t="n"/>
      <c r="C78" s="20" t="n"/>
      <c r="D78" s="8">
        <f>COUNTIFS($D$10:$D$49,"不正解",$F$10:$F$49,A78)</f>
        <v/>
      </c>
      <c r="E78" s="21">
        <f>IF($D$58=0,"",D78/$D$58)</f>
        <v/>
      </c>
      <c r="F78" s="26" t="inlineStr">
        <is>
          <t>情報検索・スキャニングの問題</t>
        </is>
      </c>
    </row>
    <row r="79">
      <c r="A79" s="19" t="inlineStr">
        <is>
          <t>似た情報と混同した</t>
        </is>
      </c>
      <c r="B79" s="20" t="n"/>
      <c r="C79" s="20" t="n"/>
      <c r="D79" s="8">
        <f>COUNTIFS($D$10:$D$49,"不正解",$F$10:$F$49,A79)</f>
        <v/>
      </c>
      <c r="E79" s="21">
        <f>IF($D$58=0,"",D79/$D$58)</f>
        <v/>
      </c>
      <c r="F79" s="26" t="inlineStr">
        <is>
          <t>情報検索・スキャニングの問題</t>
        </is>
      </c>
    </row>
    <row r="80">
      <c r="A80" s="19" t="inlineStr">
        <is>
          <t>時間が足りず該当部分まで到達できなかった</t>
        </is>
      </c>
      <c r="B80" s="20" t="n"/>
      <c r="C80" s="20" t="n"/>
      <c r="D80" s="8">
        <f>COUNTIFS($D$10:$D$49,"不正解",$F$10:$F$49,A80)</f>
        <v/>
      </c>
      <c r="E80" s="21">
        <f>IF($D$58=0,"",D80/$D$58)</f>
        <v/>
      </c>
      <c r="F80" s="26" t="inlineStr">
        <is>
          <t>情報検索・スキャニングの問題</t>
        </is>
      </c>
    </row>
    <row r="81">
      <c r="A81" s="19" t="inlineStr">
        <is>
          <t>複数パラグラフにまたがる情報を統合できなかった</t>
        </is>
      </c>
      <c r="B81" s="20" t="n"/>
      <c r="C81" s="20" t="n"/>
      <c r="D81" s="8">
        <f>COUNTIFS($D$10:$D$49,"不正解",$F$10:$F$49,A81)</f>
        <v/>
      </c>
      <c r="E81" s="21">
        <f>IF($D$58=0,"",D81/$D$58)</f>
        <v/>
      </c>
      <c r="F81" s="26" t="inlineStr">
        <is>
          <t>情報検索・スキャニングの問題</t>
        </is>
      </c>
    </row>
    <row r="82">
      <c r="A82" s="19" t="inlineStr">
        <is>
          <t>因果関係の読み取りミス</t>
        </is>
      </c>
      <c r="B82" s="20" t="n"/>
      <c r="C82" s="20" t="n"/>
      <c r="D82" s="8">
        <f>COUNTIFS($D$10:$D$49,"不正解",$F$10:$F$49,A82)</f>
        <v/>
      </c>
      <c r="E82" s="21">
        <f>IF($D$58=0,"",D82/$D$58)</f>
        <v/>
      </c>
      <c r="F82" s="26" t="inlineStr">
        <is>
          <t>論理的思考・推論の問題</t>
        </is>
      </c>
    </row>
    <row r="83">
      <c r="A83" s="19" t="inlineStr">
        <is>
          <t>比較表現の理解不足</t>
        </is>
      </c>
      <c r="B83" s="20" t="n"/>
      <c r="C83" s="20" t="n"/>
      <c r="D83" s="8">
        <f>COUNTIFS($D$10:$D$49,"不正解",$F$10:$F$49,A83)</f>
        <v/>
      </c>
      <c r="E83" s="21">
        <f>IF($D$58=0,"",D83/$D$58)</f>
        <v/>
      </c>
      <c r="F83" s="26" t="inlineStr">
        <is>
          <t>論理的思考・推論の問題</t>
        </is>
      </c>
    </row>
    <row r="84">
      <c r="A84" s="19" t="inlineStr">
        <is>
          <t>筆者の主張と例示の区別ができなかった</t>
        </is>
      </c>
      <c r="B84" s="20" t="n"/>
      <c r="C84" s="20" t="n"/>
      <c r="D84" s="8">
        <f>COUNTIFS($D$10:$D$49,"不正解",$F$10:$F$49,A84)</f>
        <v/>
      </c>
      <c r="E84" s="21">
        <f>IF($D$58=0,"",D84/$D$58)</f>
        <v/>
      </c>
      <c r="F84" s="26" t="inlineStr">
        <is>
          <t>論理的思考・推論の問題</t>
        </is>
      </c>
    </row>
    <row r="85">
      <c r="A85" s="19" t="inlineStr">
        <is>
          <t>NOT GIVEN判定の誤り</t>
        </is>
      </c>
      <c r="B85" s="20" t="n"/>
      <c r="C85" s="20" t="n"/>
      <c r="D85" s="8">
        <f>COUNTIFS($D$10:$D$49,"不正解",$F$10:$F$49,A85)</f>
        <v/>
      </c>
      <c r="E85" s="21">
        <f>IF($D$58=0,"",D85/$D$58)</f>
        <v/>
      </c>
      <c r="F85" s="26" t="inlineStr">
        <is>
          <t>論理的思考・推論の問題</t>
        </is>
      </c>
    </row>
    <row r="86">
      <c r="A86" s="19" t="inlineStr">
        <is>
          <t>否定表現の見落とし</t>
        </is>
      </c>
      <c r="B86" s="20" t="n"/>
      <c r="C86" s="20" t="n"/>
      <c r="D86" s="8">
        <f>COUNTIFS($D$10:$D$49,"不正解",$F$10:$F$49,A86)</f>
        <v/>
      </c>
      <c r="E86" s="21">
        <f>IF($D$58=0,"",D86/$D$58)</f>
        <v/>
      </c>
      <c r="F86" s="26" t="inlineStr">
        <is>
          <t>論理的思考・推論の問題</t>
        </is>
      </c>
    </row>
    <row r="87">
      <c r="A87" s="19" t="inlineStr">
        <is>
          <t>限定表現の見落とし</t>
        </is>
      </c>
      <c r="B87" s="20" t="n"/>
      <c r="C87" s="20" t="n"/>
      <c r="D87" s="8">
        <f>COUNTIFS($D$10:$D$49,"不正解",$F$10:$F$49,A87)</f>
        <v/>
      </c>
      <c r="E87" s="21">
        <f>IF($D$58=0,"",D87/$D$58)</f>
        <v/>
      </c>
      <c r="F87" s="26" t="inlineStr">
        <is>
          <t>論理的思考・推論の問題</t>
        </is>
      </c>
    </row>
    <row r="88">
      <c r="A88" s="19" t="inlineStr">
        <is>
          <t>設問の指示を読み間違えた</t>
        </is>
      </c>
      <c r="B88" s="20" t="n"/>
      <c r="C88" s="20" t="n"/>
      <c r="D88" s="8">
        <f>COUNTIFS($D$10:$D$49,"不正解",$F$10:$F$49,A88)</f>
        <v/>
      </c>
      <c r="E88" s="21">
        <f>IF($D$58=0,"",D88/$D$58)</f>
        <v/>
      </c>
      <c r="F88" s="26" t="inlineStr">
        <is>
          <t>注意力・正確性の問題</t>
        </is>
      </c>
    </row>
    <row r="89">
      <c r="A89" s="19" t="inlineStr">
        <is>
          <t>答えを書き写す際のスペルミス</t>
        </is>
      </c>
      <c r="B89" s="20" t="n"/>
      <c r="C89" s="20" t="n"/>
      <c r="D89" s="8">
        <f>COUNTIFS($D$10:$D$49,"不正解",$F$10:$F$49,A89)</f>
        <v/>
      </c>
      <c r="E89" s="21">
        <f>IF($D$58=0,"",D89/$D$58)</f>
        <v/>
      </c>
      <c r="F89" s="26" t="inlineStr">
        <is>
          <t>注意力・正確性の問題</t>
        </is>
      </c>
    </row>
    <row r="90">
      <c r="A90" s="19" t="inlineStr">
        <is>
          <t>単数形・複数形の間違い</t>
        </is>
      </c>
      <c r="B90" s="20" t="n"/>
      <c r="C90" s="20" t="n"/>
      <c r="D90" s="8">
        <f>COUNTIFS($D$10:$D$49,"不正解",$F$10:$F$49,A90)</f>
        <v/>
      </c>
      <c r="E90" s="21">
        <f>IF($D$58=0,"",D90/$D$58)</f>
        <v/>
      </c>
      <c r="F90" s="26" t="inlineStr">
        <is>
          <t>注意力・正確性の問題</t>
        </is>
      </c>
    </row>
    <row r="91">
      <c r="A91" s="19" t="inlineStr">
        <is>
          <t>大文字・小文字の間違い</t>
        </is>
      </c>
      <c r="B91" s="20" t="n"/>
      <c r="C91" s="20" t="n"/>
      <c r="D91" s="8">
        <f>COUNTIFS($D$10:$D$49,"不正解",$F$10:$F$49,A91)</f>
        <v/>
      </c>
      <c r="E91" s="21">
        <f>IF($D$58=0,"",D91/$D$58)</f>
        <v/>
      </c>
      <c r="F91" s="26" t="inlineStr">
        <is>
          <t>注意力・正確性の問題</t>
        </is>
      </c>
    </row>
    <row r="92">
      <c r="A92" s="19" t="inlineStr">
        <is>
          <t>ハイフン・スペースの有無の間違い</t>
        </is>
      </c>
      <c r="B92" s="20" t="n"/>
      <c r="C92" s="20" t="n"/>
      <c r="D92" s="8">
        <f>COUNTIFS($D$10:$D$49,"不正解",$F$10:$F$49,A92)</f>
        <v/>
      </c>
      <c r="E92" s="21">
        <f>IF($D$58=0,"",D92/$D$58)</f>
        <v/>
      </c>
      <c r="F92" s="26" t="inlineStr">
        <is>
          <t>注意力・正確性の問題</t>
        </is>
      </c>
    </row>
    <row r="93">
      <c r="A93" s="19" t="inlineStr">
        <is>
          <t>解答欄のずれ</t>
        </is>
      </c>
      <c r="B93" s="20" t="n"/>
      <c r="C93" s="20" t="n"/>
      <c r="D93" s="8">
        <f>COUNTIFS($D$10:$D$49,"不正解",$F$10:$F$49,A93)</f>
        <v/>
      </c>
      <c r="E93" s="21">
        <f>IF($D$58=0,"",D93/$D$58)</f>
        <v/>
      </c>
      <c r="F93" s="26" t="inlineStr">
        <is>
          <t>注意力・正確性の問題</t>
        </is>
      </c>
    </row>
    <row r="94">
      <c r="A94" s="19" t="inlineStr">
        <is>
          <t>時間切れで未解答</t>
        </is>
      </c>
      <c r="B94" s="20" t="n"/>
      <c r="C94" s="20" t="n"/>
      <c r="D94" s="8">
        <f>COUNTIFS($D$10:$D$49,"不正解",$F$10:$F$49,A94)</f>
        <v/>
      </c>
      <c r="E94" s="21">
        <f>IF($D$58=0,"",D94/$D$58)</f>
        <v/>
      </c>
      <c r="F94" s="26" t="inlineStr">
        <is>
          <t>注意力・正確性の問題</t>
        </is>
      </c>
    </row>
    <row r="95">
      <c r="A95" s="10" t="inlineStr">
        <is>
          <t>※ 最も多い詳細理由は赤字で表示されます。</t>
        </is>
      </c>
    </row>
    <row r="97" ht="26" customHeight="1">
      <c r="A97" s="18" t="inlineStr">
        <is>
          <t>■ 振り返りと今後の対策</t>
        </is>
      </c>
    </row>
    <row r="98">
      <c r="A98" s="27" t="inlineStr">
        <is>
          <t>間違えた傾向（自分で書いてみよう）</t>
        </is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28" t="inlineStr">
        <is>
          <t>論理的思考・推論の問題（特にNOT GIVENの判定）が一番多い。T/F/NG と Y/N/NG で、本文に近い記述があると TRUE/YES にしてしまう。Passage3 は時間切れで2問落とした。</t>
        </is>
      </c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5">
      <c r="A105" s="27" t="inlineStr">
        <is>
          <t>解決するために、これから対策すること</t>
        </is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28" t="inlineStr">
        <is>
          <t>① T/F/NG・Y/N/NG を毎日1セット解き、「根拠の一文」を本文から書き出す
② 間違えた言い換えをパラフレーズノートにまとめ、週末に見直す
③ P1を17分・P2を20分で解く時間配分トレーニングをする</t>
        </is>
      </c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2">
      <c r="A112" s="27" t="inlineStr">
        <is>
          <t>今後、問題を解くときに意識すること</t>
        </is>
      </c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28" t="inlineStr">
        <is>
          <t>・NOT GIVEN は「本文に書かれていない」ことを根拠に選ぶ
・only / always / hardly など限定・否定の語に印をつける
・解答を書き写したら単数・複数をチェックする</t>
        </is>
      </c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8" ht="24" customHeight="1">
      <c r="A118" s="11" t="inlineStr">
        <is>
          <t>次回の問題を解く日</t>
        </is>
      </c>
      <c r="B118" s="12" t="n"/>
      <c r="C118" s="29" t="n">
        <v>46322</v>
      </c>
      <c r="D118" s="12" t="n"/>
      <c r="E118" s="11" t="inlineStr">
        <is>
          <t>次回解く予定の問題</t>
        </is>
      </c>
      <c r="F118" s="12" t="n"/>
      <c r="G118" s="13" t="inlineStr">
        <is>
          <t>Cambridge 18 Test 2</t>
        </is>
      </c>
      <c r="H118" s="12" t="n"/>
    </row>
  </sheetData>
  <mergeCells count="55">
    <mergeCell ref="A90:C90"/>
    <mergeCell ref="C6:D6"/>
    <mergeCell ref="A80:C80"/>
    <mergeCell ref="A75:C75"/>
    <mergeCell ref="A84:C84"/>
    <mergeCell ref="A89:C89"/>
    <mergeCell ref="A51:H51"/>
    <mergeCell ref="C5:D5"/>
    <mergeCell ref="A74:C74"/>
    <mergeCell ref="A56:C56"/>
    <mergeCell ref="A98:H98"/>
    <mergeCell ref="A1:H1"/>
    <mergeCell ref="A55:C55"/>
    <mergeCell ref="A57:C57"/>
    <mergeCell ref="A6:B6"/>
    <mergeCell ref="A86:C86"/>
    <mergeCell ref="C4:D4"/>
    <mergeCell ref="A76:C76"/>
    <mergeCell ref="A71:C71"/>
    <mergeCell ref="A113:H116"/>
    <mergeCell ref="A7:B7"/>
    <mergeCell ref="A85:C85"/>
    <mergeCell ref="A53:C53"/>
    <mergeCell ref="A91:C91"/>
    <mergeCell ref="A118:B118"/>
    <mergeCell ref="C118:D118"/>
    <mergeCell ref="A81:C81"/>
    <mergeCell ref="E118:F118"/>
    <mergeCell ref="A72:C72"/>
    <mergeCell ref="A52:C52"/>
    <mergeCell ref="G118:H118"/>
    <mergeCell ref="A105:H105"/>
    <mergeCell ref="A93:C93"/>
    <mergeCell ref="A95:H95"/>
    <mergeCell ref="A2:H2"/>
    <mergeCell ref="A99:H103"/>
    <mergeCell ref="A58:C58"/>
    <mergeCell ref="A5:B5"/>
    <mergeCell ref="A92:C92"/>
    <mergeCell ref="A77:C77"/>
    <mergeCell ref="A83:C83"/>
    <mergeCell ref="A73:C73"/>
    <mergeCell ref="A97:H97"/>
    <mergeCell ref="A4:B4"/>
    <mergeCell ref="A82:C82"/>
    <mergeCell ref="C7:D7"/>
    <mergeCell ref="A94:C94"/>
    <mergeCell ref="A79:C79"/>
    <mergeCell ref="A88:C88"/>
    <mergeCell ref="A70:C70"/>
    <mergeCell ref="A112:H112"/>
    <mergeCell ref="A78:C78"/>
    <mergeCell ref="A87:C87"/>
    <mergeCell ref="A54:C54"/>
    <mergeCell ref="A106:H110"/>
  </mergeCells>
  <conditionalFormatting sqref="A10:H49">
    <cfRule type="expression" priority="1" dxfId="0">
      <formula>$D10="不正解"</formula>
    </cfRule>
    <cfRule type="expression" priority="2" dxfId="1">
      <formula>$D10="正解"</formula>
    </cfRule>
  </conditionalFormatting>
  <conditionalFormatting sqref="D53:D57">
    <cfRule type="dataBar" priority="3">
      <dataBar>
        <cfvo type="num" val="0"/>
        <cfvo type="max"/>
        <color rgb="004472C4"/>
      </dataBar>
    </cfRule>
  </conditionalFormatting>
  <conditionalFormatting sqref="D71:D94">
    <cfRule type="dataBar" priority="4">
      <dataBar>
        <cfvo type="num" val="0"/>
        <cfvo type="max"/>
        <color rgb="00ED7D31"/>
      </dataBar>
    </cfRule>
  </conditionalFormatting>
  <conditionalFormatting sqref="A71:E94">
    <cfRule type="expression" priority="5" dxfId="2">
      <formula>AND($D71&gt;0,$D71=MAX($D$71:$D$94))</formula>
    </cfRule>
  </conditionalFormatting>
  <dataValidations count="4">
    <dataValidation sqref="C10:C49" showDropDown="0" showInputMessage="0" showErrorMessage="0" allowBlank="1" type="list">
      <formula1>=選択肢マスタ!$C$4:$C$15</formula1>
    </dataValidation>
    <dataValidation sqref="D10:D49" showDropDown="0" showInputMessage="0" showErrorMessage="0" allowBlank="1" type="list">
      <formula1>=選択肢マスタ!$D$4:$D$5</formula1>
    </dataValidation>
    <dataValidation sqref="E10:E49" showDropDown="0" showInputMessage="0" showErrorMessage="0" allowBlank="1" type="list">
      <formula1>=選択肢マスタ!$A$4:$A$7</formula1>
    </dataValidation>
    <dataValidation sqref="F10:F49" showDropDown="0" showInputMessage="0" showErrorMessage="0" allowBlank="1" type="list">
      <formula1>=選択肢マスタ!$B$4:$B$27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1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2" customWidth="1" min="4" max="4"/>
    <col width="28" customWidth="1" min="5" max="5"/>
    <col width="38" customWidth="1" min="6" max="6"/>
    <col width="42" customWidth="1" min="7" max="7"/>
    <col width="42" customWidth="1" min="8" max="8"/>
  </cols>
  <sheetData>
    <row r="1" ht="32" customHeight="1">
      <c r="A1" s="1" t="inlineStr">
        <is>
          <t>IELTSリーディング 間違い分析シート（テスト1）</t>
        </is>
      </c>
    </row>
    <row r="2">
      <c r="A2" s="2" t="inlineStr">
        <is>
          <t>使い方：黄色のセルに入力 → 正解/不正解・大カテゴリー・詳細理由はプルダウンで選択。集計と円グラフは自動で更新されます。</t>
        </is>
      </c>
    </row>
    <row r="4">
      <c r="A4" s="11" t="inlineStr">
        <is>
          <t>テスト名</t>
        </is>
      </c>
      <c r="B4" s="12" t="n"/>
      <c r="C4" s="13" t="n"/>
      <c r="D4" s="12" t="n"/>
      <c r="F4" s="11" t="inlineStr">
        <is>
          <t>正解数</t>
        </is>
      </c>
      <c r="G4" s="14">
        <f>COUNTIF(D10:D49,"正解")&amp;" / 40"</f>
        <v/>
      </c>
    </row>
    <row r="5">
      <c r="A5" s="11" t="inlineStr">
        <is>
          <t>解いた日</t>
        </is>
      </c>
      <c r="B5" s="12" t="n"/>
      <c r="C5" s="15" t="n"/>
      <c r="D5" s="12" t="n"/>
      <c r="F5" s="11" t="inlineStr">
        <is>
          <t>バンド目安（Academic）</t>
        </is>
      </c>
      <c r="G5" s="14">
        <f>IF(COUNTA(D10:D49)=0,"",LOOKUP(COUNTIF(D10:D49,"正解"),選択肢マスタ!$E$4:$E$15,選択肢マスタ!$F$4:$F$15))</f>
        <v/>
      </c>
    </row>
    <row r="6">
      <c r="A6" s="11" t="inlineStr">
        <is>
          <t>分析日</t>
        </is>
      </c>
      <c r="B6" s="12" t="n"/>
      <c r="C6" s="15" t="n"/>
      <c r="D6" s="12" t="n"/>
      <c r="F6" s="11" t="inlineStr">
        <is>
          <t>Passage別 正解数</t>
        </is>
      </c>
      <c r="G6" s="14">
        <f>"P1: "&amp;COUNTIFS(B10:B49,1,D10:D49,"正解")&amp;"/13   P2: "&amp;COUNTIFS(B10:B49,2,D10:D49,"正解")&amp;"/13   P3: "&amp;COUNTIFS(B10:B49,3,D10:D49,"正解")&amp;"/14"</f>
        <v/>
      </c>
    </row>
    <row r="7">
      <c r="A7" s="11" t="inlineStr">
        <is>
          <t>解答時間（分）</t>
        </is>
      </c>
      <c r="B7" s="12" t="n"/>
      <c r="C7" s="13" t="n"/>
      <c r="D7" s="12" t="n"/>
      <c r="F7" s="11" t="inlineStr">
        <is>
          <t>不正解数</t>
        </is>
      </c>
      <c r="G7" s="14">
        <f>COUNTIF(D10:D49,"不正解")</f>
        <v/>
      </c>
    </row>
    <row r="9" ht="28" customHeight="1">
      <c r="A9" s="3" t="inlineStr">
        <is>
          <t>問題番号</t>
        </is>
      </c>
      <c r="B9" s="3" t="inlineStr">
        <is>
          <t>Passage</t>
        </is>
      </c>
      <c r="C9" s="3" t="inlineStr">
        <is>
          <t>設問タイプ</t>
        </is>
      </c>
      <c r="D9" s="3" t="inlineStr">
        <is>
          <t>正解/不正解</t>
        </is>
      </c>
      <c r="E9" s="3" t="inlineStr">
        <is>
          <t>大カテゴリー</t>
        </is>
      </c>
      <c r="F9" s="3" t="inlineStr">
        <is>
          <t>詳細理由</t>
        </is>
      </c>
      <c r="G9" s="3" t="inlineStr">
        <is>
          <t>具体的に間違いが起きた箇所</t>
        </is>
      </c>
      <c r="H9" s="3" t="inlineStr">
        <is>
          <t>同じミスを繰り返さないために</t>
        </is>
      </c>
    </row>
    <row r="10" ht="30" customHeight="1">
      <c r="A10" s="16" t="n">
        <v>1</v>
      </c>
      <c r="B10" s="16" t="n">
        <v>1</v>
      </c>
      <c r="C10" s="17" t="n"/>
      <c r="D10" s="17" t="n"/>
      <c r="E10" s="13" t="n"/>
      <c r="F10" s="13" t="n"/>
      <c r="G10" s="13" t="n"/>
      <c r="H10" s="13" t="n"/>
    </row>
    <row r="11" ht="30" customHeight="1">
      <c r="A11" s="16" t="n">
        <v>2</v>
      </c>
      <c r="B11" s="16" t="n">
        <v>1</v>
      </c>
      <c r="C11" s="17" t="n"/>
      <c r="D11" s="17" t="n"/>
      <c r="E11" s="13" t="n"/>
      <c r="F11" s="13" t="n"/>
      <c r="G11" s="13" t="n"/>
      <c r="H11" s="13" t="n"/>
    </row>
    <row r="12" ht="30" customHeight="1">
      <c r="A12" s="16" t="n">
        <v>3</v>
      </c>
      <c r="B12" s="16" t="n">
        <v>1</v>
      </c>
      <c r="C12" s="17" t="n"/>
      <c r="D12" s="17" t="n"/>
      <c r="E12" s="13" t="n"/>
      <c r="F12" s="13" t="n"/>
      <c r="G12" s="13" t="n"/>
      <c r="H12" s="13" t="n"/>
    </row>
    <row r="13" ht="30" customHeight="1">
      <c r="A13" s="16" t="n">
        <v>4</v>
      </c>
      <c r="B13" s="16" t="n">
        <v>1</v>
      </c>
      <c r="C13" s="17" t="n"/>
      <c r="D13" s="17" t="n"/>
      <c r="E13" s="13" t="n"/>
      <c r="F13" s="13" t="n"/>
      <c r="G13" s="13" t="n"/>
      <c r="H13" s="13" t="n"/>
    </row>
    <row r="14" ht="30" customHeight="1">
      <c r="A14" s="16" t="n">
        <v>5</v>
      </c>
      <c r="B14" s="16" t="n">
        <v>1</v>
      </c>
      <c r="C14" s="17" t="n"/>
      <c r="D14" s="17" t="n"/>
      <c r="E14" s="13" t="n"/>
      <c r="F14" s="13" t="n"/>
      <c r="G14" s="13" t="n"/>
      <c r="H14" s="13" t="n"/>
    </row>
    <row r="15" ht="30" customHeight="1">
      <c r="A15" s="16" t="n">
        <v>6</v>
      </c>
      <c r="B15" s="16" t="n">
        <v>1</v>
      </c>
      <c r="C15" s="17" t="n"/>
      <c r="D15" s="17" t="n"/>
      <c r="E15" s="13" t="n"/>
      <c r="F15" s="13" t="n"/>
      <c r="G15" s="13" t="n"/>
      <c r="H15" s="13" t="n"/>
    </row>
    <row r="16" ht="30" customHeight="1">
      <c r="A16" s="16" t="n">
        <v>7</v>
      </c>
      <c r="B16" s="16" t="n">
        <v>1</v>
      </c>
      <c r="C16" s="17" t="n"/>
      <c r="D16" s="17" t="n"/>
      <c r="E16" s="13" t="n"/>
      <c r="F16" s="13" t="n"/>
      <c r="G16" s="13" t="n"/>
      <c r="H16" s="13" t="n"/>
    </row>
    <row r="17" ht="30" customHeight="1">
      <c r="A17" s="16" t="n">
        <v>8</v>
      </c>
      <c r="B17" s="16" t="n">
        <v>1</v>
      </c>
      <c r="C17" s="17" t="n"/>
      <c r="D17" s="17" t="n"/>
      <c r="E17" s="13" t="n"/>
      <c r="F17" s="13" t="n"/>
      <c r="G17" s="13" t="n"/>
      <c r="H17" s="13" t="n"/>
    </row>
    <row r="18" ht="30" customHeight="1">
      <c r="A18" s="16" t="n">
        <v>9</v>
      </c>
      <c r="B18" s="16" t="n">
        <v>1</v>
      </c>
      <c r="C18" s="17" t="n"/>
      <c r="D18" s="17" t="n"/>
      <c r="E18" s="13" t="n"/>
      <c r="F18" s="13" t="n"/>
      <c r="G18" s="13" t="n"/>
      <c r="H18" s="13" t="n"/>
    </row>
    <row r="19" ht="30" customHeight="1">
      <c r="A19" s="16" t="n">
        <v>10</v>
      </c>
      <c r="B19" s="16" t="n">
        <v>1</v>
      </c>
      <c r="C19" s="17" t="n"/>
      <c r="D19" s="17" t="n"/>
      <c r="E19" s="13" t="n"/>
      <c r="F19" s="13" t="n"/>
      <c r="G19" s="13" t="n"/>
      <c r="H19" s="13" t="n"/>
    </row>
    <row r="20" ht="30" customHeight="1">
      <c r="A20" s="16" t="n">
        <v>11</v>
      </c>
      <c r="B20" s="16" t="n">
        <v>1</v>
      </c>
      <c r="C20" s="17" t="n"/>
      <c r="D20" s="17" t="n"/>
      <c r="E20" s="13" t="n"/>
      <c r="F20" s="13" t="n"/>
      <c r="G20" s="13" t="n"/>
      <c r="H20" s="13" t="n"/>
    </row>
    <row r="21" ht="30" customHeight="1">
      <c r="A21" s="16" t="n">
        <v>12</v>
      </c>
      <c r="B21" s="16" t="n">
        <v>1</v>
      </c>
      <c r="C21" s="17" t="n"/>
      <c r="D21" s="17" t="n"/>
      <c r="E21" s="13" t="n"/>
      <c r="F21" s="13" t="n"/>
      <c r="G21" s="13" t="n"/>
      <c r="H21" s="13" t="n"/>
    </row>
    <row r="22" ht="30" customHeight="1">
      <c r="A22" s="16" t="n">
        <v>13</v>
      </c>
      <c r="B22" s="16" t="n">
        <v>1</v>
      </c>
      <c r="C22" s="17" t="n"/>
      <c r="D22" s="17" t="n"/>
      <c r="E22" s="13" t="n"/>
      <c r="F22" s="13" t="n"/>
      <c r="G22" s="13" t="n"/>
      <c r="H22" s="13" t="n"/>
    </row>
    <row r="23" ht="30" customHeight="1">
      <c r="A23" s="16" t="n">
        <v>14</v>
      </c>
      <c r="B23" s="16" t="n">
        <v>2</v>
      </c>
      <c r="C23" s="17" t="n"/>
      <c r="D23" s="17" t="n"/>
      <c r="E23" s="13" t="n"/>
      <c r="F23" s="13" t="n"/>
      <c r="G23" s="13" t="n"/>
      <c r="H23" s="13" t="n"/>
    </row>
    <row r="24" ht="30" customHeight="1">
      <c r="A24" s="16" t="n">
        <v>15</v>
      </c>
      <c r="B24" s="16" t="n">
        <v>2</v>
      </c>
      <c r="C24" s="17" t="n"/>
      <c r="D24" s="17" t="n"/>
      <c r="E24" s="13" t="n"/>
      <c r="F24" s="13" t="n"/>
      <c r="G24" s="13" t="n"/>
      <c r="H24" s="13" t="n"/>
    </row>
    <row r="25" ht="30" customHeight="1">
      <c r="A25" s="16" t="n">
        <v>16</v>
      </c>
      <c r="B25" s="16" t="n">
        <v>2</v>
      </c>
      <c r="C25" s="17" t="n"/>
      <c r="D25" s="17" t="n"/>
      <c r="E25" s="13" t="n"/>
      <c r="F25" s="13" t="n"/>
      <c r="G25" s="13" t="n"/>
      <c r="H25" s="13" t="n"/>
    </row>
    <row r="26" ht="30" customHeight="1">
      <c r="A26" s="16" t="n">
        <v>17</v>
      </c>
      <c r="B26" s="16" t="n">
        <v>2</v>
      </c>
      <c r="C26" s="17" t="n"/>
      <c r="D26" s="17" t="n"/>
      <c r="E26" s="13" t="n"/>
      <c r="F26" s="13" t="n"/>
      <c r="G26" s="13" t="n"/>
      <c r="H26" s="13" t="n"/>
    </row>
    <row r="27" ht="30" customHeight="1">
      <c r="A27" s="16" t="n">
        <v>18</v>
      </c>
      <c r="B27" s="16" t="n">
        <v>2</v>
      </c>
      <c r="C27" s="17" t="n"/>
      <c r="D27" s="17" t="n"/>
      <c r="E27" s="13" t="n"/>
      <c r="F27" s="13" t="n"/>
      <c r="G27" s="13" t="n"/>
      <c r="H27" s="13" t="n"/>
    </row>
    <row r="28" ht="30" customHeight="1">
      <c r="A28" s="16" t="n">
        <v>19</v>
      </c>
      <c r="B28" s="16" t="n">
        <v>2</v>
      </c>
      <c r="C28" s="17" t="n"/>
      <c r="D28" s="17" t="n"/>
      <c r="E28" s="13" t="n"/>
      <c r="F28" s="13" t="n"/>
      <c r="G28" s="13" t="n"/>
      <c r="H28" s="13" t="n"/>
    </row>
    <row r="29" ht="30" customHeight="1">
      <c r="A29" s="16" t="n">
        <v>20</v>
      </c>
      <c r="B29" s="16" t="n">
        <v>2</v>
      </c>
      <c r="C29" s="17" t="n"/>
      <c r="D29" s="17" t="n"/>
      <c r="E29" s="13" t="n"/>
      <c r="F29" s="13" t="n"/>
      <c r="G29" s="13" t="n"/>
      <c r="H29" s="13" t="n"/>
    </row>
    <row r="30" ht="30" customHeight="1">
      <c r="A30" s="16" t="n">
        <v>21</v>
      </c>
      <c r="B30" s="16" t="n">
        <v>2</v>
      </c>
      <c r="C30" s="17" t="n"/>
      <c r="D30" s="17" t="n"/>
      <c r="E30" s="13" t="n"/>
      <c r="F30" s="13" t="n"/>
      <c r="G30" s="13" t="n"/>
      <c r="H30" s="13" t="n"/>
    </row>
    <row r="31" ht="30" customHeight="1">
      <c r="A31" s="16" t="n">
        <v>22</v>
      </c>
      <c r="B31" s="16" t="n">
        <v>2</v>
      </c>
      <c r="C31" s="17" t="n"/>
      <c r="D31" s="17" t="n"/>
      <c r="E31" s="13" t="n"/>
      <c r="F31" s="13" t="n"/>
      <c r="G31" s="13" t="n"/>
      <c r="H31" s="13" t="n"/>
    </row>
    <row r="32" ht="30" customHeight="1">
      <c r="A32" s="16" t="n">
        <v>23</v>
      </c>
      <c r="B32" s="16" t="n">
        <v>2</v>
      </c>
      <c r="C32" s="17" t="n"/>
      <c r="D32" s="17" t="n"/>
      <c r="E32" s="13" t="n"/>
      <c r="F32" s="13" t="n"/>
      <c r="G32" s="13" t="n"/>
      <c r="H32" s="13" t="n"/>
    </row>
    <row r="33" ht="30" customHeight="1">
      <c r="A33" s="16" t="n">
        <v>24</v>
      </c>
      <c r="B33" s="16" t="n">
        <v>2</v>
      </c>
      <c r="C33" s="17" t="n"/>
      <c r="D33" s="17" t="n"/>
      <c r="E33" s="13" t="n"/>
      <c r="F33" s="13" t="n"/>
      <c r="G33" s="13" t="n"/>
      <c r="H33" s="13" t="n"/>
    </row>
    <row r="34" ht="30" customHeight="1">
      <c r="A34" s="16" t="n">
        <v>25</v>
      </c>
      <c r="B34" s="16" t="n">
        <v>2</v>
      </c>
      <c r="C34" s="17" t="n"/>
      <c r="D34" s="17" t="n"/>
      <c r="E34" s="13" t="n"/>
      <c r="F34" s="13" t="n"/>
      <c r="G34" s="13" t="n"/>
      <c r="H34" s="13" t="n"/>
    </row>
    <row r="35" ht="30" customHeight="1">
      <c r="A35" s="16" t="n">
        <v>26</v>
      </c>
      <c r="B35" s="16" t="n">
        <v>2</v>
      </c>
      <c r="C35" s="17" t="n"/>
      <c r="D35" s="17" t="n"/>
      <c r="E35" s="13" t="n"/>
      <c r="F35" s="13" t="n"/>
      <c r="G35" s="13" t="n"/>
      <c r="H35" s="13" t="n"/>
    </row>
    <row r="36" ht="30" customHeight="1">
      <c r="A36" s="16" t="n">
        <v>27</v>
      </c>
      <c r="B36" s="16" t="n">
        <v>3</v>
      </c>
      <c r="C36" s="17" t="n"/>
      <c r="D36" s="17" t="n"/>
      <c r="E36" s="13" t="n"/>
      <c r="F36" s="13" t="n"/>
      <c r="G36" s="13" t="n"/>
      <c r="H36" s="13" t="n"/>
    </row>
    <row r="37" ht="30" customHeight="1">
      <c r="A37" s="16" t="n">
        <v>28</v>
      </c>
      <c r="B37" s="16" t="n">
        <v>3</v>
      </c>
      <c r="C37" s="17" t="n"/>
      <c r="D37" s="17" t="n"/>
      <c r="E37" s="13" t="n"/>
      <c r="F37" s="13" t="n"/>
      <c r="G37" s="13" t="n"/>
      <c r="H37" s="13" t="n"/>
    </row>
    <row r="38" ht="30" customHeight="1">
      <c r="A38" s="16" t="n">
        <v>29</v>
      </c>
      <c r="B38" s="16" t="n">
        <v>3</v>
      </c>
      <c r="C38" s="17" t="n"/>
      <c r="D38" s="17" t="n"/>
      <c r="E38" s="13" t="n"/>
      <c r="F38" s="13" t="n"/>
      <c r="G38" s="13" t="n"/>
      <c r="H38" s="13" t="n"/>
    </row>
    <row r="39" ht="30" customHeight="1">
      <c r="A39" s="16" t="n">
        <v>30</v>
      </c>
      <c r="B39" s="16" t="n">
        <v>3</v>
      </c>
      <c r="C39" s="17" t="n"/>
      <c r="D39" s="17" t="n"/>
      <c r="E39" s="13" t="n"/>
      <c r="F39" s="13" t="n"/>
      <c r="G39" s="13" t="n"/>
      <c r="H39" s="13" t="n"/>
    </row>
    <row r="40" ht="30" customHeight="1">
      <c r="A40" s="16" t="n">
        <v>31</v>
      </c>
      <c r="B40" s="16" t="n">
        <v>3</v>
      </c>
      <c r="C40" s="17" t="n"/>
      <c r="D40" s="17" t="n"/>
      <c r="E40" s="13" t="n"/>
      <c r="F40" s="13" t="n"/>
      <c r="G40" s="13" t="n"/>
      <c r="H40" s="13" t="n"/>
    </row>
    <row r="41" ht="30" customHeight="1">
      <c r="A41" s="16" t="n">
        <v>32</v>
      </c>
      <c r="B41" s="16" t="n">
        <v>3</v>
      </c>
      <c r="C41" s="17" t="n"/>
      <c r="D41" s="17" t="n"/>
      <c r="E41" s="13" t="n"/>
      <c r="F41" s="13" t="n"/>
      <c r="G41" s="13" t="n"/>
      <c r="H41" s="13" t="n"/>
    </row>
    <row r="42" ht="30" customHeight="1">
      <c r="A42" s="16" t="n">
        <v>33</v>
      </c>
      <c r="B42" s="16" t="n">
        <v>3</v>
      </c>
      <c r="C42" s="17" t="n"/>
      <c r="D42" s="17" t="n"/>
      <c r="E42" s="13" t="n"/>
      <c r="F42" s="13" t="n"/>
      <c r="G42" s="13" t="n"/>
      <c r="H42" s="13" t="n"/>
    </row>
    <row r="43" ht="30" customHeight="1">
      <c r="A43" s="16" t="n">
        <v>34</v>
      </c>
      <c r="B43" s="16" t="n">
        <v>3</v>
      </c>
      <c r="C43" s="17" t="n"/>
      <c r="D43" s="17" t="n"/>
      <c r="E43" s="13" t="n"/>
      <c r="F43" s="13" t="n"/>
      <c r="G43" s="13" t="n"/>
      <c r="H43" s="13" t="n"/>
    </row>
    <row r="44" ht="30" customHeight="1">
      <c r="A44" s="16" t="n">
        <v>35</v>
      </c>
      <c r="B44" s="16" t="n">
        <v>3</v>
      </c>
      <c r="C44" s="17" t="n"/>
      <c r="D44" s="17" t="n"/>
      <c r="E44" s="13" t="n"/>
      <c r="F44" s="13" t="n"/>
      <c r="G44" s="13" t="n"/>
      <c r="H44" s="13" t="n"/>
    </row>
    <row r="45" ht="30" customHeight="1">
      <c r="A45" s="16" t="n">
        <v>36</v>
      </c>
      <c r="B45" s="16" t="n">
        <v>3</v>
      </c>
      <c r="C45" s="17" t="n"/>
      <c r="D45" s="17" t="n"/>
      <c r="E45" s="13" t="n"/>
      <c r="F45" s="13" t="n"/>
      <c r="G45" s="13" t="n"/>
      <c r="H45" s="13" t="n"/>
    </row>
    <row r="46" ht="30" customHeight="1">
      <c r="A46" s="16" t="n">
        <v>37</v>
      </c>
      <c r="B46" s="16" t="n">
        <v>3</v>
      </c>
      <c r="C46" s="17" t="n"/>
      <c r="D46" s="17" t="n"/>
      <c r="E46" s="13" t="n"/>
      <c r="F46" s="13" t="n"/>
      <c r="G46" s="13" t="n"/>
      <c r="H46" s="13" t="n"/>
    </row>
    <row r="47" ht="30" customHeight="1">
      <c r="A47" s="16" t="n">
        <v>38</v>
      </c>
      <c r="B47" s="16" t="n">
        <v>3</v>
      </c>
      <c r="C47" s="17" t="n"/>
      <c r="D47" s="17" t="n"/>
      <c r="E47" s="13" t="n"/>
      <c r="F47" s="13" t="n"/>
      <c r="G47" s="13" t="n"/>
      <c r="H47" s="13" t="n"/>
    </row>
    <row r="48" ht="30" customHeight="1">
      <c r="A48" s="16" t="n">
        <v>39</v>
      </c>
      <c r="B48" s="16" t="n">
        <v>3</v>
      </c>
      <c r="C48" s="17" t="n"/>
      <c r="D48" s="17" t="n"/>
      <c r="E48" s="13" t="n"/>
      <c r="F48" s="13" t="n"/>
      <c r="G48" s="13" t="n"/>
      <c r="H48" s="13" t="n"/>
    </row>
    <row r="49" ht="30" customHeight="1">
      <c r="A49" s="16" t="n">
        <v>40</v>
      </c>
      <c r="B49" s="16" t="n">
        <v>3</v>
      </c>
      <c r="C49" s="17" t="n"/>
      <c r="D49" s="17" t="n"/>
      <c r="E49" s="13" t="n"/>
      <c r="F49" s="13" t="n"/>
      <c r="G49" s="13" t="n"/>
      <c r="H49" s="13" t="n"/>
    </row>
    <row r="51" ht="26" customHeight="1">
      <c r="A51" s="18" t="inlineStr">
        <is>
          <t>■ 何で間違えたのか（不正解の原因の割合）</t>
        </is>
      </c>
    </row>
    <row r="52">
      <c r="A52" s="11" t="inlineStr">
        <is>
          <t>大カテゴリー</t>
        </is>
      </c>
      <c r="B52" s="12" t="n"/>
      <c r="C52" s="12" t="n"/>
      <c r="D52" s="11" t="inlineStr">
        <is>
          <t>件数</t>
        </is>
      </c>
      <c r="E52" s="11" t="inlineStr">
        <is>
          <t>割合</t>
        </is>
      </c>
    </row>
    <row r="53">
      <c r="A53" s="19" t="inlineStr">
        <is>
          <t>語彙・文法理解の問題</t>
        </is>
      </c>
      <c r="B53" s="20" t="n"/>
      <c r="C53" s="20" t="n"/>
      <c r="D53" s="8">
        <f>COUNTIFS($D$10:$D$49,"不正解",$E$10:$E$49,A53)</f>
        <v/>
      </c>
      <c r="E53" s="21">
        <f>IF($D$58=0,"",D53/$D$58)</f>
        <v/>
      </c>
    </row>
    <row r="54">
      <c r="A54" s="19" t="inlineStr">
        <is>
          <t>情報検索・スキャニングの問題</t>
        </is>
      </c>
      <c r="B54" s="20" t="n"/>
      <c r="C54" s="20" t="n"/>
      <c r="D54" s="8">
        <f>COUNTIFS($D$10:$D$49,"不正解",$E$10:$E$49,A54)</f>
        <v/>
      </c>
      <c r="E54" s="21">
        <f>IF($D$58=0,"",D54/$D$58)</f>
        <v/>
      </c>
    </row>
    <row r="55">
      <c r="A55" s="19" t="inlineStr">
        <is>
          <t>論理的思考・推論の問題</t>
        </is>
      </c>
      <c r="B55" s="20" t="n"/>
      <c r="C55" s="20" t="n"/>
      <c r="D55" s="8">
        <f>COUNTIFS($D$10:$D$49,"不正解",$E$10:$E$49,A55)</f>
        <v/>
      </c>
      <c r="E55" s="21">
        <f>IF($D$58=0,"",D55/$D$58)</f>
        <v/>
      </c>
    </row>
    <row r="56">
      <c r="A56" s="19" t="inlineStr">
        <is>
          <t>注意力・正確性の問題</t>
        </is>
      </c>
      <c r="B56" s="20" t="n"/>
      <c r="C56" s="20" t="n"/>
      <c r="D56" s="8">
        <f>COUNTIFS($D$10:$D$49,"不正解",$E$10:$E$49,A56)</f>
        <v/>
      </c>
      <c r="E56" s="21">
        <f>IF($D$58=0,"",D56/$D$58)</f>
        <v/>
      </c>
    </row>
    <row r="57">
      <c r="A57" s="19" t="inlineStr">
        <is>
          <t>（カテゴリー未入力）</t>
        </is>
      </c>
      <c r="B57" s="20" t="n"/>
      <c r="C57" s="20" t="n"/>
      <c r="D57" s="8">
        <f>COUNTIFS($D$10:$D$49,"不正解",$E$10:$E$49,"")</f>
        <v/>
      </c>
      <c r="E57" s="21">
        <f>IF($D$58=0,"",D57/$D$58)</f>
        <v/>
      </c>
    </row>
    <row r="58">
      <c r="A58" s="22" t="inlineStr">
        <is>
          <t>合計（不正解数）</t>
        </is>
      </c>
      <c r="B58" s="23" t="n"/>
      <c r="C58" s="23" t="n"/>
      <c r="D58" s="24">
        <f>SUM(D53:D57)</f>
        <v/>
      </c>
      <c r="E58" s="25">
        <f>IF($D$58=0,"",D58/$D$58)</f>
        <v/>
      </c>
    </row>
    <row r="70">
      <c r="A70" s="11" t="inlineStr">
        <is>
          <t>詳細理由</t>
        </is>
      </c>
      <c r="B70" s="12" t="n"/>
      <c r="C70" s="12" t="n"/>
      <c r="D70" s="11" t="inlineStr">
        <is>
          <t>件数</t>
        </is>
      </c>
      <c r="E70" s="11" t="inlineStr">
        <is>
          <t>割合</t>
        </is>
      </c>
      <c r="F70" s="11" t="inlineStr">
        <is>
          <t>カテゴリー</t>
        </is>
      </c>
    </row>
    <row r="71">
      <c r="A71" s="19" t="inlineStr">
        <is>
          <t>単語の意味が分からなかった</t>
        </is>
      </c>
      <c r="B71" s="20" t="n"/>
      <c r="C71" s="20" t="n"/>
      <c r="D71" s="8">
        <f>COUNTIFS($D$10:$D$49,"不正解",$F$10:$F$49,A71)</f>
        <v/>
      </c>
      <c r="E71" s="21">
        <f>IF($D$58=0,"",D71/$D$58)</f>
        <v/>
      </c>
      <c r="F71" s="26" t="inlineStr">
        <is>
          <t>語彙・文法理解の問題</t>
        </is>
      </c>
    </row>
    <row r="72">
      <c r="A72" s="19" t="inlineStr">
        <is>
          <t>多義語の誤認識</t>
        </is>
      </c>
      <c r="B72" s="20" t="n"/>
      <c r="C72" s="20" t="n"/>
      <c r="D72" s="8">
        <f>COUNTIFS($D$10:$D$49,"不正解",$F$10:$F$49,A72)</f>
        <v/>
      </c>
      <c r="E72" s="21">
        <f>IF($D$58=0,"",D72/$D$58)</f>
        <v/>
      </c>
      <c r="F72" s="26" t="inlineStr">
        <is>
          <t>語彙・文法理解の問題</t>
        </is>
      </c>
    </row>
    <row r="73">
      <c r="A73" s="19" t="inlineStr">
        <is>
          <t>同義語・言い換え表現に気づけなかった</t>
        </is>
      </c>
      <c r="B73" s="20" t="n"/>
      <c r="C73" s="20" t="n"/>
      <c r="D73" s="8">
        <f>COUNTIFS($D$10:$D$49,"不正解",$F$10:$F$49,A73)</f>
        <v/>
      </c>
      <c r="E73" s="21">
        <f>IF($D$58=0,"",D73/$D$58)</f>
        <v/>
      </c>
      <c r="F73" s="26" t="inlineStr">
        <is>
          <t>語彙・文法理解の問題</t>
        </is>
      </c>
    </row>
    <row r="74">
      <c r="A74" s="19" t="inlineStr">
        <is>
          <t>文法構造が複雑で理解できなかった</t>
        </is>
      </c>
      <c r="B74" s="20" t="n"/>
      <c r="C74" s="20" t="n"/>
      <c r="D74" s="8">
        <f>COUNTIFS($D$10:$D$49,"不正解",$F$10:$F$49,A74)</f>
        <v/>
      </c>
      <c r="E74" s="21">
        <f>IF($D$58=0,"",D74/$D$58)</f>
        <v/>
      </c>
      <c r="F74" s="26" t="inlineStr">
        <is>
          <t>語彙・文法理解の問題</t>
        </is>
      </c>
    </row>
    <row r="75">
      <c r="A75" s="19" t="inlineStr">
        <is>
          <t>代名詞・指示語の指す内容を誤解</t>
        </is>
      </c>
      <c r="B75" s="20" t="n"/>
      <c r="C75" s="20" t="n"/>
      <c r="D75" s="8">
        <f>COUNTIFS($D$10:$D$49,"不正解",$F$10:$F$49,A75)</f>
        <v/>
      </c>
      <c r="E75" s="21">
        <f>IF($D$58=0,"",D75/$D$58)</f>
        <v/>
      </c>
      <c r="F75" s="26" t="inlineStr">
        <is>
          <t>語彙・文法理解の問題</t>
        </is>
      </c>
    </row>
    <row r="76">
      <c r="A76" s="19" t="inlineStr">
        <is>
          <t>接続詞・ディスコースマーカーの見落とし</t>
        </is>
      </c>
      <c r="B76" s="20" t="n"/>
      <c r="C76" s="20" t="n"/>
      <c r="D76" s="8">
        <f>COUNTIFS($D$10:$D$49,"不正解",$F$10:$F$49,A76)</f>
        <v/>
      </c>
      <c r="E76" s="21">
        <f>IF($D$58=0,"",D76/$D$58)</f>
        <v/>
      </c>
      <c r="F76" s="26" t="inlineStr">
        <is>
          <t>語彙・文法理解の問題</t>
        </is>
      </c>
    </row>
    <row r="77">
      <c r="A77" s="19" t="inlineStr">
        <is>
          <t>該当箇所を見つけられなかった</t>
        </is>
      </c>
      <c r="B77" s="20" t="n"/>
      <c r="C77" s="20" t="n"/>
      <c r="D77" s="8">
        <f>COUNTIFS($D$10:$D$49,"不正解",$F$10:$F$49,A77)</f>
        <v/>
      </c>
      <c r="E77" s="21">
        <f>IF($D$58=0,"",D77/$D$58)</f>
        <v/>
      </c>
      <c r="F77" s="26" t="inlineStr">
        <is>
          <t>情報検索・スキャニングの問題</t>
        </is>
      </c>
    </row>
    <row r="78">
      <c r="A78" s="19" t="inlineStr">
        <is>
          <t>キーワードのパラフレーズに気づけず探せなかった</t>
        </is>
      </c>
      <c r="B78" s="20" t="n"/>
      <c r="C78" s="20" t="n"/>
      <c r="D78" s="8">
        <f>COUNTIFS($D$10:$D$49,"不正解",$F$10:$F$49,A78)</f>
        <v/>
      </c>
      <c r="E78" s="21">
        <f>IF($D$58=0,"",D78/$D$58)</f>
        <v/>
      </c>
      <c r="F78" s="26" t="inlineStr">
        <is>
          <t>情報検索・スキャニングの問題</t>
        </is>
      </c>
    </row>
    <row r="79">
      <c r="A79" s="19" t="inlineStr">
        <is>
          <t>似た情報と混同した</t>
        </is>
      </c>
      <c r="B79" s="20" t="n"/>
      <c r="C79" s="20" t="n"/>
      <c r="D79" s="8">
        <f>COUNTIFS($D$10:$D$49,"不正解",$F$10:$F$49,A79)</f>
        <v/>
      </c>
      <c r="E79" s="21">
        <f>IF($D$58=0,"",D79/$D$58)</f>
        <v/>
      </c>
      <c r="F79" s="26" t="inlineStr">
        <is>
          <t>情報検索・スキャニングの問題</t>
        </is>
      </c>
    </row>
    <row r="80">
      <c r="A80" s="19" t="inlineStr">
        <is>
          <t>時間が足りず該当部分まで到達できなかった</t>
        </is>
      </c>
      <c r="B80" s="20" t="n"/>
      <c r="C80" s="20" t="n"/>
      <c r="D80" s="8">
        <f>COUNTIFS($D$10:$D$49,"不正解",$F$10:$F$49,A80)</f>
        <v/>
      </c>
      <c r="E80" s="21">
        <f>IF($D$58=0,"",D80/$D$58)</f>
        <v/>
      </c>
      <c r="F80" s="26" t="inlineStr">
        <is>
          <t>情報検索・スキャニングの問題</t>
        </is>
      </c>
    </row>
    <row r="81">
      <c r="A81" s="19" t="inlineStr">
        <is>
          <t>複数パラグラフにまたがる情報を統合できなかった</t>
        </is>
      </c>
      <c r="B81" s="20" t="n"/>
      <c r="C81" s="20" t="n"/>
      <c r="D81" s="8">
        <f>COUNTIFS($D$10:$D$49,"不正解",$F$10:$F$49,A81)</f>
        <v/>
      </c>
      <c r="E81" s="21">
        <f>IF($D$58=0,"",D81/$D$58)</f>
        <v/>
      </c>
      <c r="F81" s="26" t="inlineStr">
        <is>
          <t>情報検索・スキャニングの問題</t>
        </is>
      </c>
    </row>
    <row r="82">
      <c r="A82" s="19" t="inlineStr">
        <is>
          <t>因果関係の読み取りミス</t>
        </is>
      </c>
      <c r="B82" s="20" t="n"/>
      <c r="C82" s="20" t="n"/>
      <c r="D82" s="8">
        <f>COUNTIFS($D$10:$D$49,"不正解",$F$10:$F$49,A82)</f>
        <v/>
      </c>
      <c r="E82" s="21">
        <f>IF($D$58=0,"",D82/$D$58)</f>
        <v/>
      </c>
      <c r="F82" s="26" t="inlineStr">
        <is>
          <t>論理的思考・推論の問題</t>
        </is>
      </c>
    </row>
    <row r="83">
      <c r="A83" s="19" t="inlineStr">
        <is>
          <t>比較表現の理解不足</t>
        </is>
      </c>
      <c r="B83" s="20" t="n"/>
      <c r="C83" s="20" t="n"/>
      <c r="D83" s="8">
        <f>COUNTIFS($D$10:$D$49,"不正解",$F$10:$F$49,A83)</f>
        <v/>
      </c>
      <c r="E83" s="21">
        <f>IF($D$58=0,"",D83/$D$58)</f>
        <v/>
      </c>
      <c r="F83" s="26" t="inlineStr">
        <is>
          <t>論理的思考・推論の問題</t>
        </is>
      </c>
    </row>
    <row r="84">
      <c r="A84" s="19" t="inlineStr">
        <is>
          <t>筆者の主張と例示の区別ができなかった</t>
        </is>
      </c>
      <c r="B84" s="20" t="n"/>
      <c r="C84" s="20" t="n"/>
      <c r="D84" s="8">
        <f>COUNTIFS($D$10:$D$49,"不正解",$F$10:$F$49,A84)</f>
        <v/>
      </c>
      <c r="E84" s="21">
        <f>IF($D$58=0,"",D84/$D$58)</f>
        <v/>
      </c>
      <c r="F84" s="26" t="inlineStr">
        <is>
          <t>論理的思考・推論の問題</t>
        </is>
      </c>
    </row>
    <row r="85">
      <c r="A85" s="19" t="inlineStr">
        <is>
          <t>NOT GIVEN判定の誤り</t>
        </is>
      </c>
      <c r="B85" s="20" t="n"/>
      <c r="C85" s="20" t="n"/>
      <c r="D85" s="8">
        <f>COUNTIFS($D$10:$D$49,"不正解",$F$10:$F$49,A85)</f>
        <v/>
      </c>
      <c r="E85" s="21">
        <f>IF($D$58=0,"",D85/$D$58)</f>
        <v/>
      </c>
      <c r="F85" s="26" t="inlineStr">
        <is>
          <t>論理的思考・推論の問題</t>
        </is>
      </c>
    </row>
    <row r="86">
      <c r="A86" s="19" t="inlineStr">
        <is>
          <t>否定表現の見落とし</t>
        </is>
      </c>
      <c r="B86" s="20" t="n"/>
      <c r="C86" s="20" t="n"/>
      <c r="D86" s="8">
        <f>COUNTIFS($D$10:$D$49,"不正解",$F$10:$F$49,A86)</f>
        <v/>
      </c>
      <c r="E86" s="21">
        <f>IF($D$58=0,"",D86/$D$58)</f>
        <v/>
      </c>
      <c r="F86" s="26" t="inlineStr">
        <is>
          <t>論理的思考・推論の問題</t>
        </is>
      </c>
    </row>
    <row r="87">
      <c r="A87" s="19" t="inlineStr">
        <is>
          <t>限定表現の見落とし</t>
        </is>
      </c>
      <c r="B87" s="20" t="n"/>
      <c r="C87" s="20" t="n"/>
      <c r="D87" s="8">
        <f>COUNTIFS($D$10:$D$49,"不正解",$F$10:$F$49,A87)</f>
        <v/>
      </c>
      <c r="E87" s="21">
        <f>IF($D$58=0,"",D87/$D$58)</f>
        <v/>
      </c>
      <c r="F87" s="26" t="inlineStr">
        <is>
          <t>論理的思考・推論の問題</t>
        </is>
      </c>
    </row>
    <row r="88">
      <c r="A88" s="19" t="inlineStr">
        <is>
          <t>設問の指示を読み間違えた</t>
        </is>
      </c>
      <c r="B88" s="20" t="n"/>
      <c r="C88" s="20" t="n"/>
      <c r="D88" s="8">
        <f>COUNTIFS($D$10:$D$49,"不正解",$F$10:$F$49,A88)</f>
        <v/>
      </c>
      <c r="E88" s="21">
        <f>IF($D$58=0,"",D88/$D$58)</f>
        <v/>
      </c>
      <c r="F88" s="26" t="inlineStr">
        <is>
          <t>注意力・正確性の問題</t>
        </is>
      </c>
    </row>
    <row r="89">
      <c r="A89" s="19" t="inlineStr">
        <is>
          <t>答えを書き写す際のスペルミス</t>
        </is>
      </c>
      <c r="B89" s="20" t="n"/>
      <c r="C89" s="20" t="n"/>
      <c r="D89" s="8">
        <f>COUNTIFS($D$10:$D$49,"不正解",$F$10:$F$49,A89)</f>
        <v/>
      </c>
      <c r="E89" s="21">
        <f>IF($D$58=0,"",D89/$D$58)</f>
        <v/>
      </c>
      <c r="F89" s="26" t="inlineStr">
        <is>
          <t>注意力・正確性の問題</t>
        </is>
      </c>
    </row>
    <row r="90">
      <c r="A90" s="19" t="inlineStr">
        <is>
          <t>単数形・複数形の間違い</t>
        </is>
      </c>
      <c r="B90" s="20" t="n"/>
      <c r="C90" s="20" t="n"/>
      <c r="D90" s="8">
        <f>COUNTIFS($D$10:$D$49,"不正解",$F$10:$F$49,A90)</f>
        <v/>
      </c>
      <c r="E90" s="21">
        <f>IF($D$58=0,"",D90/$D$58)</f>
        <v/>
      </c>
      <c r="F90" s="26" t="inlineStr">
        <is>
          <t>注意力・正確性の問題</t>
        </is>
      </c>
    </row>
    <row r="91">
      <c r="A91" s="19" t="inlineStr">
        <is>
          <t>大文字・小文字の間違い</t>
        </is>
      </c>
      <c r="B91" s="20" t="n"/>
      <c r="C91" s="20" t="n"/>
      <c r="D91" s="8">
        <f>COUNTIFS($D$10:$D$49,"不正解",$F$10:$F$49,A91)</f>
        <v/>
      </c>
      <c r="E91" s="21">
        <f>IF($D$58=0,"",D91/$D$58)</f>
        <v/>
      </c>
      <c r="F91" s="26" t="inlineStr">
        <is>
          <t>注意力・正確性の問題</t>
        </is>
      </c>
    </row>
    <row r="92">
      <c r="A92" s="19" t="inlineStr">
        <is>
          <t>ハイフン・スペースの有無の間違い</t>
        </is>
      </c>
      <c r="B92" s="20" t="n"/>
      <c r="C92" s="20" t="n"/>
      <c r="D92" s="8">
        <f>COUNTIFS($D$10:$D$49,"不正解",$F$10:$F$49,A92)</f>
        <v/>
      </c>
      <c r="E92" s="21">
        <f>IF($D$58=0,"",D92/$D$58)</f>
        <v/>
      </c>
      <c r="F92" s="26" t="inlineStr">
        <is>
          <t>注意力・正確性の問題</t>
        </is>
      </c>
    </row>
    <row r="93">
      <c r="A93" s="19" t="inlineStr">
        <is>
          <t>解答欄のずれ</t>
        </is>
      </c>
      <c r="B93" s="20" t="n"/>
      <c r="C93" s="20" t="n"/>
      <c r="D93" s="8">
        <f>COUNTIFS($D$10:$D$49,"不正解",$F$10:$F$49,A93)</f>
        <v/>
      </c>
      <c r="E93" s="21">
        <f>IF($D$58=0,"",D93/$D$58)</f>
        <v/>
      </c>
      <c r="F93" s="26" t="inlineStr">
        <is>
          <t>注意力・正確性の問題</t>
        </is>
      </c>
    </row>
    <row r="94">
      <c r="A94" s="19" t="inlineStr">
        <is>
          <t>時間切れで未解答</t>
        </is>
      </c>
      <c r="B94" s="20" t="n"/>
      <c r="C94" s="20" t="n"/>
      <c r="D94" s="8">
        <f>COUNTIFS($D$10:$D$49,"不正解",$F$10:$F$49,A94)</f>
        <v/>
      </c>
      <c r="E94" s="21">
        <f>IF($D$58=0,"",D94/$D$58)</f>
        <v/>
      </c>
      <c r="F94" s="26" t="inlineStr">
        <is>
          <t>注意力・正確性の問題</t>
        </is>
      </c>
    </row>
    <row r="95">
      <c r="A95" s="10" t="inlineStr">
        <is>
          <t>※ 最も多い詳細理由は赤字で表示されます。</t>
        </is>
      </c>
    </row>
    <row r="97" ht="26" customHeight="1">
      <c r="A97" s="18" t="inlineStr">
        <is>
          <t>■ 振り返りと今後の対策</t>
        </is>
      </c>
    </row>
    <row r="98">
      <c r="A98" s="27" t="inlineStr">
        <is>
          <t>間違えた傾向（自分で書いてみよう）</t>
        </is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28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5">
      <c r="A105" s="27" t="inlineStr">
        <is>
          <t>解決するために、これから対策すること</t>
        </is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28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2">
      <c r="A112" s="27" t="inlineStr">
        <is>
          <t>今後、問題を解くときに意識すること</t>
        </is>
      </c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28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8" ht="24" customHeight="1">
      <c r="A118" s="11" t="inlineStr">
        <is>
          <t>次回の問題を解く日</t>
        </is>
      </c>
      <c r="B118" s="12" t="n"/>
      <c r="C118" s="29" t="n"/>
      <c r="D118" s="12" t="n"/>
      <c r="E118" s="11" t="inlineStr">
        <is>
          <t>次回解く予定の問題</t>
        </is>
      </c>
      <c r="F118" s="12" t="n"/>
      <c r="G118" s="13" t="n"/>
      <c r="H118" s="12" t="n"/>
    </row>
  </sheetData>
  <mergeCells count="55">
    <mergeCell ref="A90:C90"/>
    <mergeCell ref="C6:D6"/>
    <mergeCell ref="A80:C80"/>
    <mergeCell ref="A75:C75"/>
    <mergeCell ref="A84:C84"/>
    <mergeCell ref="A89:C89"/>
    <mergeCell ref="A51:H51"/>
    <mergeCell ref="C5:D5"/>
    <mergeCell ref="A74:C74"/>
    <mergeCell ref="A56:C56"/>
    <mergeCell ref="A98:H98"/>
    <mergeCell ref="A1:H1"/>
    <mergeCell ref="A55:C55"/>
    <mergeCell ref="A57:C57"/>
    <mergeCell ref="A6:B6"/>
    <mergeCell ref="A86:C86"/>
    <mergeCell ref="C4:D4"/>
    <mergeCell ref="A76:C76"/>
    <mergeCell ref="A71:C71"/>
    <mergeCell ref="A113:H116"/>
    <mergeCell ref="A7:B7"/>
    <mergeCell ref="A85:C85"/>
    <mergeCell ref="A53:C53"/>
    <mergeCell ref="A91:C91"/>
    <mergeCell ref="A118:B118"/>
    <mergeCell ref="C118:D118"/>
    <mergeCell ref="A81:C81"/>
    <mergeCell ref="E118:F118"/>
    <mergeCell ref="A72:C72"/>
    <mergeCell ref="A52:C52"/>
    <mergeCell ref="G118:H118"/>
    <mergeCell ref="A105:H105"/>
    <mergeCell ref="A93:C93"/>
    <mergeCell ref="A95:H95"/>
    <mergeCell ref="A2:H2"/>
    <mergeCell ref="A99:H103"/>
    <mergeCell ref="A58:C58"/>
    <mergeCell ref="A5:B5"/>
    <mergeCell ref="A92:C92"/>
    <mergeCell ref="A77:C77"/>
    <mergeCell ref="A83:C83"/>
    <mergeCell ref="A73:C73"/>
    <mergeCell ref="A97:H97"/>
    <mergeCell ref="A4:B4"/>
    <mergeCell ref="A82:C82"/>
    <mergeCell ref="C7:D7"/>
    <mergeCell ref="A94:C94"/>
    <mergeCell ref="A79:C79"/>
    <mergeCell ref="A88:C88"/>
    <mergeCell ref="A70:C70"/>
    <mergeCell ref="A112:H112"/>
    <mergeCell ref="A78:C78"/>
    <mergeCell ref="A87:C87"/>
    <mergeCell ref="A54:C54"/>
    <mergeCell ref="A106:H110"/>
  </mergeCells>
  <conditionalFormatting sqref="A10:H49">
    <cfRule type="expression" priority="1" dxfId="0">
      <formula>$D10="不正解"</formula>
    </cfRule>
    <cfRule type="expression" priority="2" dxfId="1">
      <formula>$D10="正解"</formula>
    </cfRule>
  </conditionalFormatting>
  <conditionalFormatting sqref="D53:D57">
    <cfRule type="dataBar" priority="3">
      <dataBar>
        <cfvo type="num" val="0"/>
        <cfvo type="max"/>
        <color rgb="004472C4"/>
      </dataBar>
    </cfRule>
  </conditionalFormatting>
  <conditionalFormatting sqref="D71:D94">
    <cfRule type="dataBar" priority="4">
      <dataBar>
        <cfvo type="num" val="0"/>
        <cfvo type="max"/>
        <color rgb="00ED7D31"/>
      </dataBar>
    </cfRule>
  </conditionalFormatting>
  <conditionalFormatting sqref="A71:E94">
    <cfRule type="expression" priority="5" dxfId="2">
      <formula>AND($D71&gt;0,$D71=MAX($D$71:$D$94))</formula>
    </cfRule>
  </conditionalFormatting>
  <dataValidations count="4">
    <dataValidation sqref="C10:C49" showDropDown="0" showInputMessage="0" showErrorMessage="0" allowBlank="1" type="list">
      <formula1>=選択肢マスタ!$C$4:$C$15</formula1>
    </dataValidation>
    <dataValidation sqref="D10:D49" showDropDown="0" showInputMessage="0" showErrorMessage="0" allowBlank="1" type="list">
      <formula1>=選択肢マスタ!$D$4:$D$5</formula1>
    </dataValidation>
    <dataValidation sqref="E10:E49" showDropDown="0" showInputMessage="0" showErrorMessage="0" allowBlank="1" type="list">
      <formula1>=選択肢マスタ!$A$4:$A$7</formula1>
    </dataValidation>
    <dataValidation sqref="F10:F49" showDropDown="0" showInputMessage="0" showErrorMessage="0" allowBlank="1" type="list">
      <formula1>=選択肢マスタ!$B$4:$B$27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1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2" customWidth="1" min="4" max="4"/>
    <col width="28" customWidth="1" min="5" max="5"/>
    <col width="38" customWidth="1" min="6" max="6"/>
    <col width="42" customWidth="1" min="7" max="7"/>
    <col width="42" customWidth="1" min="8" max="8"/>
  </cols>
  <sheetData>
    <row r="1" ht="32" customHeight="1">
      <c r="A1" s="1" t="inlineStr">
        <is>
          <t>IELTSリーディング 間違い分析シート（テスト2）</t>
        </is>
      </c>
    </row>
    <row r="2">
      <c r="A2" s="2" t="inlineStr">
        <is>
          <t>使い方：黄色のセルに入力 → 正解/不正解・大カテゴリー・詳細理由はプルダウンで選択。集計と円グラフは自動で更新されます。</t>
        </is>
      </c>
    </row>
    <row r="4">
      <c r="A4" s="11" t="inlineStr">
        <is>
          <t>テスト名</t>
        </is>
      </c>
      <c r="B4" s="12" t="n"/>
      <c r="C4" s="13" t="n"/>
      <c r="D4" s="12" t="n"/>
      <c r="F4" s="11" t="inlineStr">
        <is>
          <t>正解数</t>
        </is>
      </c>
      <c r="G4" s="14">
        <f>COUNTIF(D10:D49,"正解")&amp;" / 40"</f>
        <v/>
      </c>
    </row>
    <row r="5">
      <c r="A5" s="11" t="inlineStr">
        <is>
          <t>解いた日</t>
        </is>
      </c>
      <c r="B5" s="12" t="n"/>
      <c r="C5" s="15" t="n"/>
      <c r="D5" s="12" t="n"/>
      <c r="F5" s="11" t="inlineStr">
        <is>
          <t>バンド目安（Academic）</t>
        </is>
      </c>
      <c r="G5" s="14">
        <f>IF(COUNTA(D10:D49)=0,"",LOOKUP(COUNTIF(D10:D49,"正解"),選択肢マスタ!$E$4:$E$15,選択肢マスタ!$F$4:$F$15))</f>
        <v/>
      </c>
    </row>
    <row r="6">
      <c r="A6" s="11" t="inlineStr">
        <is>
          <t>分析日</t>
        </is>
      </c>
      <c r="B6" s="12" t="n"/>
      <c r="C6" s="15" t="n"/>
      <c r="D6" s="12" t="n"/>
      <c r="F6" s="11" t="inlineStr">
        <is>
          <t>Passage別 正解数</t>
        </is>
      </c>
      <c r="G6" s="14">
        <f>"P1: "&amp;COUNTIFS(B10:B49,1,D10:D49,"正解")&amp;"/13   P2: "&amp;COUNTIFS(B10:B49,2,D10:D49,"正解")&amp;"/13   P3: "&amp;COUNTIFS(B10:B49,3,D10:D49,"正解")&amp;"/14"</f>
        <v/>
      </c>
    </row>
    <row r="7">
      <c r="A7" s="11" t="inlineStr">
        <is>
          <t>解答時間（分）</t>
        </is>
      </c>
      <c r="B7" s="12" t="n"/>
      <c r="C7" s="13" t="n"/>
      <c r="D7" s="12" t="n"/>
      <c r="F7" s="11" t="inlineStr">
        <is>
          <t>不正解数</t>
        </is>
      </c>
      <c r="G7" s="14">
        <f>COUNTIF(D10:D49,"不正解")</f>
        <v/>
      </c>
    </row>
    <row r="9" ht="28" customHeight="1">
      <c r="A9" s="3" t="inlineStr">
        <is>
          <t>問題番号</t>
        </is>
      </c>
      <c r="B9" s="3" t="inlineStr">
        <is>
          <t>Passage</t>
        </is>
      </c>
      <c r="C9" s="3" t="inlineStr">
        <is>
          <t>設問タイプ</t>
        </is>
      </c>
      <c r="D9" s="3" t="inlineStr">
        <is>
          <t>正解/不正解</t>
        </is>
      </c>
      <c r="E9" s="3" t="inlineStr">
        <is>
          <t>大カテゴリー</t>
        </is>
      </c>
      <c r="F9" s="3" t="inlineStr">
        <is>
          <t>詳細理由</t>
        </is>
      </c>
      <c r="G9" s="3" t="inlineStr">
        <is>
          <t>具体的に間違いが起きた箇所</t>
        </is>
      </c>
      <c r="H9" s="3" t="inlineStr">
        <is>
          <t>同じミスを繰り返さないために</t>
        </is>
      </c>
    </row>
    <row r="10" ht="30" customHeight="1">
      <c r="A10" s="16" t="n">
        <v>1</v>
      </c>
      <c r="B10" s="16" t="n">
        <v>1</v>
      </c>
      <c r="C10" s="17" t="n"/>
      <c r="D10" s="17" t="n"/>
      <c r="E10" s="13" t="n"/>
      <c r="F10" s="13" t="n"/>
      <c r="G10" s="13" t="n"/>
      <c r="H10" s="13" t="n"/>
    </row>
    <row r="11" ht="30" customHeight="1">
      <c r="A11" s="16" t="n">
        <v>2</v>
      </c>
      <c r="B11" s="16" t="n">
        <v>1</v>
      </c>
      <c r="C11" s="17" t="n"/>
      <c r="D11" s="17" t="n"/>
      <c r="E11" s="13" t="n"/>
      <c r="F11" s="13" t="n"/>
      <c r="G11" s="13" t="n"/>
      <c r="H11" s="13" t="n"/>
    </row>
    <row r="12" ht="30" customHeight="1">
      <c r="A12" s="16" t="n">
        <v>3</v>
      </c>
      <c r="B12" s="16" t="n">
        <v>1</v>
      </c>
      <c r="C12" s="17" t="n"/>
      <c r="D12" s="17" t="n"/>
      <c r="E12" s="13" t="n"/>
      <c r="F12" s="13" t="n"/>
      <c r="G12" s="13" t="n"/>
      <c r="H12" s="13" t="n"/>
    </row>
    <row r="13" ht="30" customHeight="1">
      <c r="A13" s="16" t="n">
        <v>4</v>
      </c>
      <c r="B13" s="16" t="n">
        <v>1</v>
      </c>
      <c r="C13" s="17" t="n"/>
      <c r="D13" s="17" t="n"/>
      <c r="E13" s="13" t="n"/>
      <c r="F13" s="13" t="n"/>
      <c r="G13" s="13" t="n"/>
      <c r="H13" s="13" t="n"/>
    </row>
    <row r="14" ht="30" customHeight="1">
      <c r="A14" s="16" t="n">
        <v>5</v>
      </c>
      <c r="B14" s="16" t="n">
        <v>1</v>
      </c>
      <c r="C14" s="17" t="n"/>
      <c r="D14" s="17" t="n"/>
      <c r="E14" s="13" t="n"/>
      <c r="F14" s="13" t="n"/>
      <c r="G14" s="13" t="n"/>
      <c r="H14" s="13" t="n"/>
    </row>
    <row r="15" ht="30" customHeight="1">
      <c r="A15" s="16" t="n">
        <v>6</v>
      </c>
      <c r="B15" s="16" t="n">
        <v>1</v>
      </c>
      <c r="C15" s="17" t="n"/>
      <c r="D15" s="17" t="n"/>
      <c r="E15" s="13" t="n"/>
      <c r="F15" s="13" t="n"/>
      <c r="G15" s="13" t="n"/>
      <c r="H15" s="13" t="n"/>
    </row>
    <row r="16" ht="30" customHeight="1">
      <c r="A16" s="16" t="n">
        <v>7</v>
      </c>
      <c r="B16" s="16" t="n">
        <v>1</v>
      </c>
      <c r="C16" s="17" t="n"/>
      <c r="D16" s="17" t="n"/>
      <c r="E16" s="13" t="n"/>
      <c r="F16" s="13" t="n"/>
      <c r="G16" s="13" t="n"/>
      <c r="H16" s="13" t="n"/>
    </row>
    <row r="17" ht="30" customHeight="1">
      <c r="A17" s="16" t="n">
        <v>8</v>
      </c>
      <c r="B17" s="16" t="n">
        <v>1</v>
      </c>
      <c r="C17" s="17" t="n"/>
      <c r="D17" s="17" t="n"/>
      <c r="E17" s="13" t="n"/>
      <c r="F17" s="13" t="n"/>
      <c r="G17" s="13" t="n"/>
      <c r="H17" s="13" t="n"/>
    </row>
    <row r="18" ht="30" customHeight="1">
      <c r="A18" s="16" t="n">
        <v>9</v>
      </c>
      <c r="B18" s="16" t="n">
        <v>1</v>
      </c>
      <c r="C18" s="17" t="n"/>
      <c r="D18" s="17" t="n"/>
      <c r="E18" s="13" t="n"/>
      <c r="F18" s="13" t="n"/>
      <c r="G18" s="13" t="n"/>
      <c r="H18" s="13" t="n"/>
    </row>
    <row r="19" ht="30" customHeight="1">
      <c r="A19" s="16" t="n">
        <v>10</v>
      </c>
      <c r="B19" s="16" t="n">
        <v>1</v>
      </c>
      <c r="C19" s="17" t="n"/>
      <c r="D19" s="17" t="n"/>
      <c r="E19" s="13" t="n"/>
      <c r="F19" s="13" t="n"/>
      <c r="G19" s="13" t="n"/>
      <c r="H19" s="13" t="n"/>
    </row>
    <row r="20" ht="30" customHeight="1">
      <c r="A20" s="16" t="n">
        <v>11</v>
      </c>
      <c r="B20" s="16" t="n">
        <v>1</v>
      </c>
      <c r="C20" s="17" t="n"/>
      <c r="D20" s="17" t="n"/>
      <c r="E20" s="13" t="n"/>
      <c r="F20" s="13" t="n"/>
      <c r="G20" s="13" t="n"/>
      <c r="H20" s="13" t="n"/>
    </row>
    <row r="21" ht="30" customHeight="1">
      <c r="A21" s="16" t="n">
        <v>12</v>
      </c>
      <c r="B21" s="16" t="n">
        <v>1</v>
      </c>
      <c r="C21" s="17" t="n"/>
      <c r="D21" s="17" t="n"/>
      <c r="E21" s="13" t="n"/>
      <c r="F21" s="13" t="n"/>
      <c r="G21" s="13" t="n"/>
      <c r="H21" s="13" t="n"/>
    </row>
    <row r="22" ht="30" customHeight="1">
      <c r="A22" s="16" t="n">
        <v>13</v>
      </c>
      <c r="B22" s="16" t="n">
        <v>1</v>
      </c>
      <c r="C22" s="17" t="n"/>
      <c r="D22" s="17" t="n"/>
      <c r="E22" s="13" t="n"/>
      <c r="F22" s="13" t="n"/>
      <c r="G22" s="13" t="n"/>
      <c r="H22" s="13" t="n"/>
    </row>
    <row r="23" ht="30" customHeight="1">
      <c r="A23" s="16" t="n">
        <v>14</v>
      </c>
      <c r="B23" s="16" t="n">
        <v>2</v>
      </c>
      <c r="C23" s="17" t="n"/>
      <c r="D23" s="17" t="n"/>
      <c r="E23" s="13" t="n"/>
      <c r="F23" s="13" t="n"/>
      <c r="G23" s="13" t="n"/>
      <c r="H23" s="13" t="n"/>
    </row>
    <row r="24" ht="30" customHeight="1">
      <c r="A24" s="16" t="n">
        <v>15</v>
      </c>
      <c r="B24" s="16" t="n">
        <v>2</v>
      </c>
      <c r="C24" s="17" t="n"/>
      <c r="D24" s="17" t="n"/>
      <c r="E24" s="13" t="n"/>
      <c r="F24" s="13" t="n"/>
      <c r="G24" s="13" t="n"/>
      <c r="H24" s="13" t="n"/>
    </row>
    <row r="25" ht="30" customHeight="1">
      <c r="A25" s="16" t="n">
        <v>16</v>
      </c>
      <c r="B25" s="16" t="n">
        <v>2</v>
      </c>
      <c r="C25" s="17" t="n"/>
      <c r="D25" s="17" t="n"/>
      <c r="E25" s="13" t="n"/>
      <c r="F25" s="13" t="n"/>
      <c r="G25" s="13" t="n"/>
      <c r="H25" s="13" t="n"/>
    </row>
    <row r="26" ht="30" customHeight="1">
      <c r="A26" s="16" t="n">
        <v>17</v>
      </c>
      <c r="B26" s="16" t="n">
        <v>2</v>
      </c>
      <c r="C26" s="17" t="n"/>
      <c r="D26" s="17" t="n"/>
      <c r="E26" s="13" t="n"/>
      <c r="F26" s="13" t="n"/>
      <c r="G26" s="13" t="n"/>
      <c r="H26" s="13" t="n"/>
    </row>
    <row r="27" ht="30" customHeight="1">
      <c r="A27" s="16" t="n">
        <v>18</v>
      </c>
      <c r="B27" s="16" t="n">
        <v>2</v>
      </c>
      <c r="C27" s="17" t="n"/>
      <c r="D27" s="17" t="n"/>
      <c r="E27" s="13" t="n"/>
      <c r="F27" s="13" t="n"/>
      <c r="G27" s="13" t="n"/>
      <c r="H27" s="13" t="n"/>
    </row>
    <row r="28" ht="30" customHeight="1">
      <c r="A28" s="16" t="n">
        <v>19</v>
      </c>
      <c r="B28" s="16" t="n">
        <v>2</v>
      </c>
      <c r="C28" s="17" t="n"/>
      <c r="D28" s="17" t="n"/>
      <c r="E28" s="13" t="n"/>
      <c r="F28" s="13" t="n"/>
      <c r="G28" s="13" t="n"/>
      <c r="H28" s="13" t="n"/>
    </row>
    <row r="29" ht="30" customHeight="1">
      <c r="A29" s="16" t="n">
        <v>20</v>
      </c>
      <c r="B29" s="16" t="n">
        <v>2</v>
      </c>
      <c r="C29" s="17" t="n"/>
      <c r="D29" s="17" t="n"/>
      <c r="E29" s="13" t="n"/>
      <c r="F29" s="13" t="n"/>
      <c r="G29" s="13" t="n"/>
      <c r="H29" s="13" t="n"/>
    </row>
    <row r="30" ht="30" customHeight="1">
      <c r="A30" s="16" t="n">
        <v>21</v>
      </c>
      <c r="B30" s="16" t="n">
        <v>2</v>
      </c>
      <c r="C30" s="17" t="n"/>
      <c r="D30" s="17" t="n"/>
      <c r="E30" s="13" t="n"/>
      <c r="F30" s="13" t="n"/>
      <c r="G30" s="13" t="n"/>
      <c r="H30" s="13" t="n"/>
    </row>
    <row r="31" ht="30" customHeight="1">
      <c r="A31" s="16" t="n">
        <v>22</v>
      </c>
      <c r="B31" s="16" t="n">
        <v>2</v>
      </c>
      <c r="C31" s="17" t="n"/>
      <c r="D31" s="17" t="n"/>
      <c r="E31" s="13" t="n"/>
      <c r="F31" s="13" t="n"/>
      <c r="G31" s="13" t="n"/>
      <c r="H31" s="13" t="n"/>
    </row>
    <row r="32" ht="30" customHeight="1">
      <c r="A32" s="16" t="n">
        <v>23</v>
      </c>
      <c r="B32" s="16" t="n">
        <v>2</v>
      </c>
      <c r="C32" s="17" t="n"/>
      <c r="D32" s="17" t="n"/>
      <c r="E32" s="13" t="n"/>
      <c r="F32" s="13" t="n"/>
      <c r="G32" s="13" t="n"/>
      <c r="H32" s="13" t="n"/>
    </row>
    <row r="33" ht="30" customHeight="1">
      <c r="A33" s="16" t="n">
        <v>24</v>
      </c>
      <c r="B33" s="16" t="n">
        <v>2</v>
      </c>
      <c r="C33" s="17" t="n"/>
      <c r="D33" s="17" t="n"/>
      <c r="E33" s="13" t="n"/>
      <c r="F33" s="13" t="n"/>
      <c r="G33" s="13" t="n"/>
      <c r="H33" s="13" t="n"/>
    </row>
    <row r="34" ht="30" customHeight="1">
      <c r="A34" s="16" t="n">
        <v>25</v>
      </c>
      <c r="B34" s="16" t="n">
        <v>2</v>
      </c>
      <c r="C34" s="17" t="n"/>
      <c r="D34" s="17" t="n"/>
      <c r="E34" s="13" t="n"/>
      <c r="F34" s="13" t="n"/>
      <c r="G34" s="13" t="n"/>
      <c r="H34" s="13" t="n"/>
    </row>
    <row r="35" ht="30" customHeight="1">
      <c r="A35" s="16" t="n">
        <v>26</v>
      </c>
      <c r="B35" s="16" t="n">
        <v>2</v>
      </c>
      <c r="C35" s="17" t="n"/>
      <c r="D35" s="17" t="n"/>
      <c r="E35" s="13" t="n"/>
      <c r="F35" s="13" t="n"/>
      <c r="G35" s="13" t="n"/>
      <c r="H35" s="13" t="n"/>
    </row>
    <row r="36" ht="30" customHeight="1">
      <c r="A36" s="16" t="n">
        <v>27</v>
      </c>
      <c r="B36" s="16" t="n">
        <v>3</v>
      </c>
      <c r="C36" s="17" t="n"/>
      <c r="D36" s="17" t="n"/>
      <c r="E36" s="13" t="n"/>
      <c r="F36" s="13" t="n"/>
      <c r="G36" s="13" t="n"/>
      <c r="H36" s="13" t="n"/>
    </row>
    <row r="37" ht="30" customHeight="1">
      <c r="A37" s="16" t="n">
        <v>28</v>
      </c>
      <c r="B37" s="16" t="n">
        <v>3</v>
      </c>
      <c r="C37" s="17" t="n"/>
      <c r="D37" s="17" t="n"/>
      <c r="E37" s="13" t="n"/>
      <c r="F37" s="13" t="n"/>
      <c r="G37" s="13" t="n"/>
      <c r="H37" s="13" t="n"/>
    </row>
    <row r="38" ht="30" customHeight="1">
      <c r="A38" s="16" t="n">
        <v>29</v>
      </c>
      <c r="B38" s="16" t="n">
        <v>3</v>
      </c>
      <c r="C38" s="17" t="n"/>
      <c r="D38" s="17" t="n"/>
      <c r="E38" s="13" t="n"/>
      <c r="F38" s="13" t="n"/>
      <c r="G38" s="13" t="n"/>
      <c r="H38" s="13" t="n"/>
    </row>
    <row r="39" ht="30" customHeight="1">
      <c r="A39" s="16" t="n">
        <v>30</v>
      </c>
      <c r="B39" s="16" t="n">
        <v>3</v>
      </c>
      <c r="C39" s="17" t="n"/>
      <c r="D39" s="17" t="n"/>
      <c r="E39" s="13" t="n"/>
      <c r="F39" s="13" t="n"/>
      <c r="G39" s="13" t="n"/>
      <c r="H39" s="13" t="n"/>
    </row>
    <row r="40" ht="30" customHeight="1">
      <c r="A40" s="16" t="n">
        <v>31</v>
      </c>
      <c r="B40" s="16" t="n">
        <v>3</v>
      </c>
      <c r="C40" s="17" t="n"/>
      <c r="D40" s="17" t="n"/>
      <c r="E40" s="13" t="n"/>
      <c r="F40" s="13" t="n"/>
      <c r="G40" s="13" t="n"/>
      <c r="H40" s="13" t="n"/>
    </row>
    <row r="41" ht="30" customHeight="1">
      <c r="A41" s="16" t="n">
        <v>32</v>
      </c>
      <c r="B41" s="16" t="n">
        <v>3</v>
      </c>
      <c r="C41" s="17" t="n"/>
      <c r="D41" s="17" t="n"/>
      <c r="E41" s="13" t="n"/>
      <c r="F41" s="13" t="n"/>
      <c r="G41" s="13" t="n"/>
      <c r="H41" s="13" t="n"/>
    </row>
    <row r="42" ht="30" customHeight="1">
      <c r="A42" s="16" t="n">
        <v>33</v>
      </c>
      <c r="B42" s="16" t="n">
        <v>3</v>
      </c>
      <c r="C42" s="17" t="n"/>
      <c r="D42" s="17" t="n"/>
      <c r="E42" s="13" t="n"/>
      <c r="F42" s="13" t="n"/>
      <c r="G42" s="13" t="n"/>
      <c r="H42" s="13" t="n"/>
    </row>
    <row r="43" ht="30" customHeight="1">
      <c r="A43" s="16" t="n">
        <v>34</v>
      </c>
      <c r="B43" s="16" t="n">
        <v>3</v>
      </c>
      <c r="C43" s="17" t="n"/>
      <c r="D43" s="17" t="n"/>
      <c r="E43" s="13" t="n"/>
      <c r="F43" s="13" t="n"/>
      <c r="G43" s="13" t="n"/>
      <c r="H43" s="13" t="n"/>
    </row>
    <row r="44" ht="30" customHeight="1">
      <c r="A44" s="16" t="n">
        <v>35</v>
      </c>
      <c r="B44" s="16" t="n">
        <v>3</v>
      </c>
      <c r="C44" s="17" t="n"/>
      <c r="D44" s="17" t="n"/>
      <c r="E44" s="13" t="n"/>
      <c r="F44" s="13" t="n"/>
      <c r="G44" s="13" t="n"/>
      <c r="H44" s="13" t="n"/>
    </row>
    <row r="45" ht="30" customHeight="1">
      <c r="A45" s="16" t="n">
        <v>36</v>
      </c>
      <c r="B45" s="16" t="n">
        <v>3</v>
      </c>
      <c r="C45" s="17" t="n"/>
      <c r="D45" s="17" t="n"/>
      <c r="E45" s="13" t="n"/>
      <c r="F45" s="13" t="n"/>
      <c r="G45" s="13" t="n"/>
      <c r="H45" s="13" t="n"/>
    </row>
    <row r="46" ht="30" customHeight="1">
      <c r="A46" s="16" t="n">
        <v>37</v>
      </c>
      <c r="B46" s="16" t="n">
        <v>3</v>
      </c>
      <c r="C46" s="17" t="n"/>
      <c r="D46" s="17" t="n"/>
      <c r="E46" s="13" t="n"/>
      <c r="F46" s="13" t="n"/>
      <c r="G46" s="13" t="n"/>
      <c r="H46" s="13" t="n"/>
    </row>
    <row r="47" ht="30" customHeight="1">
      <c r="A47" s="16" t="n">
        <v>38</v>
      </c>
      <c r="B47" s="16" t="n">
        <v>3</v>
      </c>
      <c r="C47" s="17" t="n"/>
      <c r="D47" s="17" t="n"/>
      <c r="E47" s="13" t="n"/>
      <c r="F47" s="13" t="n"/>
      <c r="G47" s="13" t="n"/>
      <c r="H47" s="13" t="n"/>
    </row>
    <row r="48" ht="30" customHeight="1">
      <c r="A48" s="16" t="n">
        <v>39</v>
      </c>
      <c r="B48" s="16" t="n">
        <v>3</v>
      </c>
      <c r="C48" s="17" t="n"/>
      <c r="D48" s="17" t="n"/>
      <c r="E48" s="13" t="n"/>
      <c r="F48" s="13" t="n"/>
      <c r="G48" s="13" t="n"/>
      <c r="H48" s="13" t="n"/>
    </row>
    <row r="49" ht="30" customHeight="1">
      <c r="A49" s="16" t="n">
        <v>40</v>
      </c>
      <c r="B49" s="16" t="n">
        <v>3</v>
      </c>
      <c r="C49" s="17" t="n"/>
      <c r="D49" s="17" t="n"/>
      <c r="E49" s="13" t="n"/>
      <c r="F49" s="13" t="n"/>
      <c r="G49" s="13" t="n"/>
      <c r="H49" s="13" t="n"/>
    </row>
    <row r="51" ht="26" customHeight="1">
      <c r="A51" s="18" t="inlineStr">
        <is>
          <t>■ 何で間違えたのか（不正解の原因の割合）</t>
        </is>
      </c>
    </row>
    <row r="52">
      <c r="A52" s="11" t="inlineStr">
        <is>
          <t>大カテゴリー</t>
        </is>
      </c>
      <c r="B52" s="12" t="n"/>
      <c r="C52" s="12" t="n"/>
      <c r="D52" s="11" t="inlineStr">
        <is>
          <t>件数</t>
        </is>
      </c>
      <c r="E52" s="11" t="inlineStr">
        <is>
          <t>割合</t>
        </is>
      </c>
    </row>
    <row r="53">
      <c r="A53" s="19" t="inlineStr">
        <is>
          <t>語彙・文法理解の問題</t>
        </is>
      </c>
      <c r="B53" s="20" t="n"/>
      <c r="C53" s="20" t="n"/>
      <c r="D53" s="8">
        <f>COUNTIFS($D$10:$D$49,"不正解",$E$10:$E$49,A53)</f>
        <v/>
      </c>
      <c r="E53" s="21">
        <f>IF($D$58=0,"",D53/$D$58)</f>
        <v/>
      </c>
    </row>
    <row r="54">
      <c r="A54" s="19" t="inlineStr">
        <is>
          <t>情報検索・スキャニングの問題</t>
        </is>
      </c>
      <c r="B54" s="20" t="n"/>
      <c r="C54" s="20" t="n"/>
      <c r="D54" s="8">
        <f>COUNTIFS($D$10:$D$49,"不正解",$E$10:$E$49,A54)</f>
        <v/>
      </c>
      <c r="E54" s="21">
        <f>IF($D$58=0,"",D54/$D$58)</f>
        <v/>
      </c>
    </row>
    <row r="55">
      <c r="A55" s="19" t="inlineStr">
        <is>
          <t>論理的思考・推論の問題</t>
        </is>
      </c>
      <c r="B55" s="20" t="n"/>
      <c r="C55" s="20" t="n"/>
      <c r="D55" s="8">
        <f>COUNTIFS($D$10:$D$49,"不正解",$E$10:$E$49,A55)</f>
        <v/>
      </c>
      <c r="E55" s="21">
        <f>IF($D$58=0,"",D55/$D$58)</f>
        <v/>
      </c>
    </row>
    <row r="56">
      <c r="A56" s="19" t="inlineStr">
        <is>
          <t>注意力・正確性の問題</t>
        </is>
      </c>
      <c r="B56" s="20" t="n"/>
      <c r="C56" s="20" t="n"/>
      <c r="D56" s="8">
        <f>COUNTIFS($D$10:$D$49,"不正解",$E$10:$E$49,A56)</f>
        <v/>
      </c>
      <c r="E56" s="21">
        <f>IF($D$58=0,"",D56/$D$58)</f>
        <v/>
      </c>
    </row>
    <row r="57">
      <c r="A57" s="19" t="inlineStr">
        <is>
          <t>（カテゴリー未入力）</t>
        </is>
      </c>
      <c r="B57" s="20" t="n"/>
      <c r="C57" s="20" t="n"/>
      <c r="D57" s="8">
        <f>COUNTIFS($D$10:$D$49,"不正解",$E$10:$E$49,"")</f>
        <v/>
      </c>
      <c r="E57" s="21">
        <f>IF($D$58=0,"",D57/$D$58)</f>
        <v/>
      </c>
    </row>
    <row r="58">
      <c r="A58" s="22" t="inlineStr">
        <is>
          <t>合計（不正解数）</t>
        </is>
      </c>
      <c r="B58" s="23" t="n"/>
      <c r="C58" s="23" t="n"/>
      <c r="D58" s="24">
        <f>SUM(D53:D57)</f>
        <v/>
      </c>
      <c r="E58" s="25">
        <f>IF($D$58=0,"",D58/$D$58)</f>
        <v/>
      </c>
    </row>
    <row r="70">
      <c r="A70" s="11" t="inlineStr">
        <is>
          <t>詳細理由</t>
        </is>
      </c>
      <c r="B70" s="12" t="n"/>
      <c r="C70" s="12" t="n"/>
      <c r="D70" s="11" t="inlineStr">
        <is>
          <t>件数</t>
        </is>
      </c>
      <c r="E70" s="11" t="inlineStr">
        <is>
          <t>割合</t>
        </is>
      </c>
      <c r="F70" s="11" t="inlineStr">
        <is>
          <t>カテゴリー</t>
        </is>
      </c>
    </row>
    <row r="71">
      <c r="A71" s="19" t="inlineStr">
        <is>
          <t>単語の意味が分からなかった</t>
        </is>
      </c>
      <c r="B71" s="20" t="n"/>
      <c r="C71" s="20" t="n"/>
      <c r="D71" s="8">
        <f>COUNTIFS($D$10:$D$49,"不正解",$F$10:$F$49,A71)</f>
        <v/>
      </c>
      <c r="E71" s="21">
        <f>IF($D$58=0,"",D71/$D$58)</f>
        <v/>
      </c>
      <c r="F71" s="26" t="inlineStr">
        <is>
          <t>語彙・文法理解の問題</t>
        </is>
      </c>
    </row>
    <row r="72">
      <c r="A72" s="19" t="inlineStr">
        <is>
          <t>多義語の誤認識</t>
        </is>
      </c>
      <c r="B72" s="20" t="n"/>
      <c r="C72" s="20" t="n"/>
      <c r="D72" s="8">
        <f>COUNTIFS($D$10:$D$49,"不正解",$F$10:$F$49,A72)</f>
        <v/>
      </c>
      <c r="E72" s="21">
        <f>IF($D$58=0,"",D72/$D$58)</f>
        <v/>
      </c>
      <c r="F72" s="26" t="inlineStr">
        <is>
          <t>語彙・文法理解の問題</t>
        </is>
      </c>
    </row>
    <row r="73">
      <c r="A73" s="19" t="inlineStr">
        <is>
          <t>同義語・言い換え表現に気づけなかった</t>
        </is>
      </c>
      <c r="B73" s="20" t="n"/>
      <c r="C73" s="20" t="n"/>
      <c r="D73" s="8">
        <f>COUNTIFS($D$10:$D$49,"不正解",$F$10:$F$49,A73)</f>
        <v/>
      </c>
      <c r="E73" s="21">
        <f>IF($D$58=0,"",D73/$D$58)</f>
        <v/>
      </c>
      <c r="F73" s="26" t="inlineStr">
        <is>
          <t>語彙・文法理解の問題</t>
        </is>
      </c>
    </row>
    <row r="74">
      <c r="A74" s="19" t="inlineStr">
        <is>
          <t>文法構造が複雑で理解できなかった</t>
        </is>
      </c>
      <c r="B74" s="20" t="n"/>
      <c r="C74" s="20" t="n"/>
      <c r="D74" s="8">
        <f>COUNTIFS($D$10:$D$49,"不正解",$F$10:$F$49,A74)</f>
        <v/>
      </c>
      <c r="E74" s="21">
        <f>IF($D$58=0,"",D74/$D$58)</f>
        <v/>
      </c>
      <c r="F74" s="26" t="inlineStr">
        <is>
          <t>語彙・文法理解の問題</t>
        </is>
      </c>
    </row>
    <row r="75">
      <c r="A75" s="19" t="inlineStr">
        <is>
          <t>代名詞・指示語の指す内容を誤解</t>
        </is>
      </c>
      <c r="B75" s="20" t="n"/>
      <c r="C75" s="20" t="n"/>
      <c r="D75" s="8">
        <f>COUNTIFS($D$10:$D$49,"不正解",$F$10:$F$49,A75)</f>
        <v/>
      </c>
      <c r="E75" s="21">
        <f>IF($D$58=0,"",D75/$D$58)</f>
        <v/>
      </c>
      <c r="F75" s="26" t="inlineStr">
        <is>
          <t>語彙・文法理解の問題</t>
        </is>
      </c>
    </row>
    <row r="76">
      <c r="A76" s="19" t="inlineStr">
        <is>
          <t>接続詞・ディスコースマーカーの見落とし</t>
        </is>
      </c>
      <c r="B76" s="20" t="n"/>
      <c r="C76" s="20" t="n"/>
      <c r="D76" s="8">
        <f>COUNTIFS($D$10:$D$49,"不正解",$F$10:$F$49,A76)</f>
        <v/>
      </c>
      <c r="E76" s="21">
        <f>IF($D$58=0,"",D76/$D$58)</f>
        <v/>
      </c>
      <c r="F76" s="26" t="inlineStr">
        <is>
          <t>語彙・文法理解の問題</t>
        </is>
      </c>
    </row>
    <row r="77">
      <c r="A77" s="19" t="inlineStr">
        <is>
          <t>該当箇所を見つけられなかった</t>
        </is>
      </c>
      <c r="B77" s="20" t="n"/>
      <c r="C77" s="20" t="n"/>
      <c r="D77" s="8">
        <f>COUNTIFS($D$10:$D$49,"不正解",$F$10:$F$49,A77)</f>
        <v/>
      </c>
      <c r="E77" s="21">
        <f>IF($D$58=0,"",D77/$D$58)</f>
        <v/>
      </c>
      <c r="F77" s="26" t="inlineStr">
        <is>
          <t>情報検索・スキャニングの問題</t>
        </is>
      </c>
    </row>
    <row r="78">
      <c r="A78" s="19" t="inlineStr">
        <is>
          <t>キーワードのパラフレーズに気づけず探せなかった</t>
        </is>
      </c>
      <c r="B78" s="20" t="n"/>
      <c r="C78" s="20" t="n"/>
      <c r="D78" s="8">
        <f>COUNTIFS($D$10:$D$49,"不正解",$F$10:$F$49,A78)</f>
        <v/>
      </c>
      <c r="E78" s="21">
        <f>IF($D$58=0,"",D78/$D$58)</f>
        <v/>
      </c>
      <c r="F78" s="26" t="inlineStr">
        <is>
          <t>情報検索・スキャニングの問題</t>
        </is>
      </c>
    </row>
    <row r="79">
      <c r="A79" s="19" t="inlineStr">
        <is>
          <t>似た情報と混同した</t>
        </is>
      </c>
      <c r="B79" s="20" t="n"/>
      <c r="C79" s="20" t="n"/>
      <c r="D79" s="8">
        <f>COUNTIFS($D$10:$D$49,"不正解",$F$10:$F$49,A79)</f>
        <v/>
      </c>
      <c r="E79" s="21">
        <f>IF($D$58=0,"",D79/$D$58)</f>
        <v/>
      </c>
      <c r="F79" s="26" t="inlineStr">
        <is>
          <t>情報検索・スキャニングの問題</t>
        </is>
      </c>
    </row>
    <row r="80">
      <c r="A80" s="19" t="inlineStr">
        <is>
          <t>時間が足りず該当部分まで到達できなかった</t>
        </is>
      </c>
      <c r="B80" s="20" t="n"/>
      <c r="C80" s="20" t="n"/>
      <c r="D80" s="8">
        <f>COUNTIFS($D$10:$D$49,"不正解",$F$10:$F$49,A80)</f>
        <v/>
      </c>
      <c r="E80" s="21">
        <f>IF($D$58=0,"",D80/$D$58)</f>
        <v/>
      </c>
      <c r="F80" s="26" t="inlineStr">
        <is>
          <t>情報検索・スキャニングの問題</t>
        </is>
      </c>
    </row>
    <row r="81">
      <c r="A81" s="19" t="inlineStr">
        <is>
          <t>複数パラグラフにまたがる情報を統合できなかった</t>
        </is>
      </c>
      <c r="B81" s="20" t="n"/>
      <c r="C81" s="20" t="n"/>
      <c r="D81" s="8">
        <f>COUNTIFS($D$10:$D$49,"不正解",$F$10:$F$49,A81)</f>
        <v/>
      </c>
      <c r="E81" s="21">
        <f>IF($D$58=0,"",D81/$D$58)</f>
        <v/>
      </c>
      <c r="F81" s="26" t="inlineStr">
        <is>
          <t>情報検索・スキャニングの問題</t>
        </is>
      </c>
    </row>
    <row r="82">
      <c r="A82" s="19" t="inlineStr">
        <is>
          <t>因果関係の読み取りミス</t>
        </is>
      </c>
      <c r="B82" s="20" t="n"/>
      <c r="C82" s="20" t="n"/>
      <c r="D82" s="8">
        <f>COUNTIFS($D$10:$D$49,"不正解",$F$10:$F$49,A82)</f>
        <v/>
      </c>
      <c r="E82" s="21">
        <f>IF($D$58=0,"",D82/$D$58)</f>
        <v/>
      </c>
      <c r="F82" s="26" t="inlineStr">
        <is>
          <t>論理的思考・推論の問題</t>
        </is>
      </c>
    </row>
    <row r="83">
      <c r="A83" s="19" t="inlineStr">
        <is>
          <t>比較表現の理解不足</t>
        </is>
      </c>
      <c r="B83" s="20" t="n"/>
      <c r="C83" s="20" t="n"/>
      <c r="D83" s="8">
        <f>COUNTIFS($D$10:$D$49,"不正解",$F$10:$F$49,A83)</f>
        <v/>
      </c>
      <c r="E83" s="21">
        <f>IF($D$58=0,"",D83/$D$58)</f>
        <v/>
      </c>
      <c r="F83" s="26" t="inlineStr">
        <is>
          <t>論理的思考・推論の問題</t>
        </is>
      </c>
    </row>
    <row r="84">
      <c r="A84" s="19" t="inlineStr">
        <is>
          <t>筆者の主張と例示の区別ができなかった</t>
        </is>
      </c>
      <c r="B84" s="20" t="n"/>
      <c r="C84" s="20" t="n"/>
      <c r="D84" s="8">
        <f>COUNTIFS($D$10:$D$49,"不正解",$F$10:$F$49,A84)</f>
        <v/>
      </c>
      <c r="E84" s="21">
        <f>IF($D$58=0,"",D84/$D$58)</f>
        <v/>
      </c>
      <c r="F84" s="26" t="inlineStr">
        <is>
          <t>論理的思考・推論の問題</t>
        </is>
      </c>
    </row>
    <row r="85">
      <c r="A85" s="19" t="inlineStr">
        <is>
          <t>NOT GIVEN判定の誤り</t>
        </is>
      </c>
      <c r="B85" s="20" t="n"/>
      <c r="C85" s="20" t="n"/>
      <c r="D85" s="8">
        <f>COUNTIFS($D$10:$D$49,"不正解",$F$10:$F$49,A85)</f>
        <v/>
      </c>
      <c r="E85" s="21">
        <f>IF($D$58=0,"",D85/$D$58)</f>
        <v/>
      </c>
      <c r="F85" s="26" t="inlineStr">
        <is>
          <t>論理的思考・推論の問題</t>
        </is>
      </c>
    </row>
    <row r="86">
      <c r="A86" s="19" t="inlineStr">
        <is>
          <t>否定表現の見落とし</t>
        </is>
      </c>
      <c r="B86" s="20" t="n"/>
      <c r="C86" s="20" t="n"/>
      <c r="D86" s="8">
        <f>COUNTIFS($D$10:$D$49,"不正解",$F$10:$F$49,A86)</f>
        <v/>
      </c>
      <c r="E86" s="21">
        <f>IF($D$58=0,"",D86/$D$58)</f>
        <v/>
      </c>
      <c r="F86" s="26" t="inlineStr">
        <is>
          <t>論理的思考・推論の問題</t>
        </is>
      </c>
    </row>
    <row r="87">
      <c r="A87" s="19" t="inlineStr">
        <is>
          <t>限定表現の見落とし</t>
        </is>
      </c>
      <c r="B87" s="20" t="n"/>
      <c r="C87" s="20" t="n"/>
      <c r="D87" s="8">
        <f>COUNTIFS($D$10:$D$49,"不正解",$F$10:$F$49,A87)</f>
        <v/>
      </c>
      <c r="E87" s="21">
        <f>IF($D$58=0,"",D87/$D$58)</f>
        <v/>
      </c>
      <c r="F87" s="26" t="inlineStr">
        <is>
          <t>論理的思考・推論の問題</t>
        </is>
      </c>
    </row>
    <row r="88">
      <c r="A88" s="19" t="inlineStr">
        <is>
          <t>設問の指示を読み間違えた</t>
        </is>
      </c>
      <c r="B88" s="20" t="n"/>
      <c r="C88" s="20" t="n"/>
      <c r="D88" s="8">
        <f>COUNTIFS($D$10:$D$49,"不正解",$F$10:$F$49,A88)</f>
        <v/>
      </c>
      <c r="E88" s="21">
        <f>IF($D$58=0,"",D88/$D$58)</f>
        <v/>
      </c>
      <c r="F88" s="26" t="inlineStr">
        <is>
          <t>注意力・正確性の問題</t>
        </is>
      </c>
    </row>
    <row r="89">
      <c r="A89" s="19" t="inlineStr">
        <is>
          <t>答えを書き写す際のスペルミス</t>
        </is>
      </c>
      <c r="B89" s="20" t="n"/>
      <c r="C89" s="20" t="n"/>
      <c r="D89" s="8">
        <f>COUNTIFS($D$10:$D$49,"不正解",$F$10:$F$49,A89)</f>
        <v/>
      </c>
      <c r="E89" s="21">
        <f>IF($D$58=0,"",D89/$D$58)</f>
        <v/>
      </c>
      <c r="F89" s="26" t="inlineStr">
        <is>
          <t>注意力・正確性の問題</t>
        </is>
      </c>
    </row>
    <row r="90">
      <c r="A90" s="19" t="inlineStr">
        <is>
          <t>単数形・複数形の間違い</t>
        </is>
      </c>
      <c r="B90" s="20" t="n"/>
      <c r="C90" s="20" t="n"/>
      <c r="D90" s="8">
        <f>COUNTIFS($D$10:$D$49,"不正解",$F$10:$F$49,A90)</f>
        <v/>
      </c>
      <c r="E90" s="21">
        <f>IF($D$58=0,"",D90/$D$58)</f>
        <v/>
      </c>
      <c r="F90" s="26" t="inlineStr">
        <is>
          <t>注意力・正確性の問題</t>
        </is>
      </c>
    </row>
    <row r="91">
      <c r="A91" s="19" t="inlineStr">
        <is>
          <t>大文字・小文字の間違い</t>
        </is>
      </c>
      <c r="B91" s="20" t="n"/>
      <c r="C91" s="20" t="n"/>
      <c r="D91" s="8">
        <f>COUNTIFS($D$10:$D$49,"不正解",$F$10:$F$49,A91)</f>
        <v/>
      </c>
      <c r="E91" s="21">
        <f>IF($D$58=0,"",D91/$D$58)</f>
        <v/>
      </c>
      <c r="F91" s="26" t="inlineStr">
        <is>
          <t>注意力・正確性の問題</t>
        </is>
      </c>
    </row>
    <row r="92">
      <c r="A92" s="19" t="inlineStr">
        <is>
          <t>ハイフン・スペースの有無の間違い</t>
        </is>
      </c>
      <c r="B92" s="20" t="n"/>
      <c r="C92" s="20" t="n"/>
      <c r="D92" s="8">
        <f>COUNTIFS($D$10:$D$49,"不正解",$F$10:$F$49,A92)</f>
        <v/>
      </c>
      <c r="E92" s="21">
        <f>IF($D$58=0,"",D92/$D$58)</f>
        <v/>
      </c>
      <c r="F92" s="26" t="inlineStr">
        <is>
          <t>注意力・正確性の問題</t>
        </is>
      </c>
    </row>
    <row r="93">
      <c r="A93" s="19" t="inlineStr">
        <is>
          <t>解答欄のずれ</t>
        </is>
      </c>
      <c r="B93" s="20" t="n"/>
      <c r="C93" s="20" t="n"/>
      <c r="D93" s="8">
        <f>COUNTIFS($D$10:$D$49,"不正解",$F$10:$F$49,A93)</f>
        <v/>
      </c>
      <c r="E93" s="21">
        <f>IF($D$58=0,"",D93/$D$58)</f>
        <v/>
      </c>
      <c r="F93" s="26" t="inlineStr">
        <is>
          <t>注意力・正確性の問題</t>
        </is>
      </c>
    </row>
    <row r="94">
      <c r="A94" s="19" t="inlineStr">
        <is>
          <t>時間切れで未解答</t>
        </is>
      </c>
      <c r="B94" s="20" t="n"/>
      <c r="C94" s="20" t="n"/>
      <c r="D94" s="8">
        <f>COUNTIFS($D$10:$D$49,"不正解",$F$10:$F$49,A94)</f>
        <v/>
      </c>
      <c r="E94" s="21">
        <f>IF($D$58=0,"",D94/$D$58)</f>
        <v/>
      </c>
      <c r="F94" s="26" t="inlineStr">
        <is>
          <t>注意力・正確性の問題</t>
        </is>
      </c>
    </row>
    <row r="95">
      <c r="A95" s="10" t="inlineStr">
        <is>
          <t>※ 最も多い詳細理由は赤字で表示されます。</t>
        </is>
      </c>
    </row>
    <row r="97" ht="26" customHeight="1">
      <c r="A97" s="18" t="inlineStr">
        <is>
          <t>■ 振り返りと今後の対策</t>
        </is>
      </c>
    </row>
    <row r="98">
      <c r="A98" s="27" t="inlineStr">
        <is>
          <t>間違えた傾向（自分で書いてみよう）</t>
        </is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28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5">
      <c r="A105" s="27" t="inlineStr">
        <is>
          <t>解決するために、これから対策すること</t>
        </is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28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2">
      <c r="A112" s="27" t="inlineStr">
        <is>
          <t>今後、問題を解くときに意識すること</t>
        </is>
      </c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28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8" ht="24" customHeight="1">
      <c r="A118" s="11" t="inlineStr">
        <is>
          <t>次回の問題を解く日</t>
        </is>
      </c>
      <c r="B118" s="12" t="n"/>
      <c r="C118" s="29" t="n"/>
      <c r="D118" s="12" t="n"/>
      <c r="E118" s="11" t="inlineStr">
        <is>
          <t>次回解く予定の問題</t>
        </is>
      </c>
      <c r="F118" s="12" t="n"/>
      <c r="G118" s="13" t="n"/>
      <c r="H118" s="12" t="n"/>
    </row>
  </sheetData>
  <mergeCells count="55">
    <mergeCell ref="A90:C90"/>
    <mergeCell ref="C6:D6"/>
    <mergeCell ref="A80:C80"/>
    <mergeCell ref="A75:C75"/>
    <mergeCell ref="A84:C84"/>
    <mergeCell ref="A89:C89"/>
    <mergeCell ref="A51:H51"/>
    <mergeCell ref="C5:D5"/>
    <mergeCell ref="A74:C74"/>
    <mergeCell ref="A56:C56"/>
    <mergeCell ref="A98:H98"/>
    <mergeCell ref="A1:H1"/>
    <mergeCell ref="A55:C55"/>
    <mergeCell ref="A57:C57"/>
    <mergeCell ref="A6:B6"/>
    <mergeCell ref="A86:C86"/>
    <mergeCell ref="C4:D4"/>
    <mergeCell ref="A76:C76"/>
    <mergeCell ref="A71:C71"/>
    <mergeCell ref="A113:H116"/>
    <mergeCell ref="A7:B7"/>
    <mergeCell ref="A85:C85"/>
    <mergeCell ref="A53:C53"/>
    <mergeCell ref="A91:C91"/>
    <mergeCell ref="A118:B118"/>
    <mergeCell ref="C118:D118"/>
    <mergeCell ref="A81:C81"/>
    <mergeCell ref="E118:F118"/>
    <mergeCell ref="A72:C72"/>
    <mergeCell ref="A52:C52"/>
    <mergeCell ref="G118:H118"/>
    <mergeCell ref="A105:H105"/>
    <mergeCell ref="A93:C93"/>
    <mergeCell ref="A95:H95"/>
    <mergeCell ref="A2:H2"/>
    <mergeCell ref="A99:H103"/>
    <mergeCell ref="A58:C58"/>
    <mergeCell ref="A5:B5"/>
    <mergeCell ref="A92:C92"/>
    <mergeCell ref="A77:C77"/>
    <mergeCell ref="A83:C83"/>
    <mergeCell ref="A73:C73"/>
    <mergeCell ref="A97:H97"/>
    <mergeCell ref="A4:B4"/>
    <mergeCell ref="A82:C82"/>
    <mergeCell ref="C7:D7"/>
    <mergeCell ref="A94:C94"/>
    <mergeCell ref="A79:C79"/>
    <mergeCell ref="A88:C88"/>
    <mergeCell ref="A70:C70"/>
    <mergeCell ref="A112:H112"/>
    <mergeCell ref="A78:C78"/>
    <mergeCell ref="A87:C87"/>
    <mergeCell ref="A54:C54"/>
    <mergeCell ref="A106:H110"/>
  </mergeCells>
  <conditionalFormatting sqref="A10:H49">
    <cfRule type="expression" priority="1" dxfId="0">
      <formula>$D10="不正解"</formula>
    </cfRule>
    <cfRule type="expression" priority="2" dxfId="1">
      <formula>$D10="正解"</formula>
    </cfRule>
  </conditionalFormatting>
  <conditionalFormatting sqref="D53:D57">
    <cfRule type="dataBar" priority="3">
      <dataBar>
        <cfvo type="num" val="0"/>
        <cfvo type="max"/>
        <color rgb="004472C4"/>
      </dataBar>
    </cfRule>
  </conditionalFormatting>
  <conditionalFormatting sqref="D71:D94">
    <cfRule type="dataBar" priority="4">
      <dataBar>
        <cfvo type="num" val="0"/>
        <cfvo type="max"/>
        <color rgb="00ED7D31"/>
      </dataBar>
    </cfRule>
  </conditionalFormatting>
  <conditionalFormatting sqref="A71:E94">
    <cfRule type="expression" priority="5" dxfId="2">
      <formula>AND($D71&gt;0,$D71=MAX($D$71:$D$94))</formula>
    </cfRule>
  </conditionalFormatting>
  <dataValidations count="4">
    <dataValidation sqref="C10:C49" showDropDown="0" showInputMessage="0" showErrorMessage="0" allowBlank="1" type="list">
      <formula1>=選択肢マスタ!$C$4:$C$15</formula1>
    </dataValidation>
    <dataValidation sqref="D10:D49" showDropDown="0" showInputMessage="0" showErrorMessage="0" allowBlank="1" type="list">
      <formula1>=選択肢マスタ!$D$4:$D$5</formula1>
    </dataValidation>
    <dataValidation sqref="E10:E49" showDropDown="0" showInputMessage="0" showErrorMessage="0" allowBlank="1" type="list">
      <formula1>=選択肢マスタ!$A$4:$A$7</formula1>
    </dataValidation>
    <dataValidation sqref="F10:F49" showDropDown="0" showInputMessage="0" showErrorMessage="0" allowBlank="1" type="list">
      <formula1>=選択肢マスタ!$B$4:$B$27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1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2" customWidth="1" min="4" max="4"/>
    <col width="28" customWidth="1" min="5" max="5"/>
    <col width="38" customWidth="1" min="6" max="6"/>
    <col width="42" customWidth="1" min="7" max="7"/>
    <col width="42" customWidth="1" min="8" max="8"/>
  </cols>
  <sheetData>
    <row r="1" ht="32" customHeight="1">
      <c r="A1" s="1" t="inlineStr">
        <is>
          <t>IELTSリーディング 間違い分析シート（テスト3）</t>
        </is>
      </c>
    </row>
    <row r="2">
      <c r="A2" s="2" t="inlineStr">
        <is>
          <t>使い方：黄色のセルに入力 → 正解/不正解・大カテゴリー・詳細理由はプルダウンで選択。集計と円グラフは自動で更新されます。</t>
        </is>
      </c>
    </row>
    <row r="4">
      <c r="A4" s="11" t="inlineStr">
        <is>
          <t>テスト名</t>
        </is>
      </c>
      <c r="B4" s="12" t="n"/>
      <c r="C4" s="13" t="n"/>
      <c r="D4" s="12" t="n"/>
      <c r="F4" s="11" t="inlineStr">
        <is>
          <t>正解数</t>
        </is>
      </c>
      <c r="G4" s="14">
        <f>COUNTIF(D10:D49,"正解")&amp;" / 40"</f>
        <v/>
      </c>
    </row>
    <row r="5">
      <c r="A5" s="11" t="inlineStr">
        <is>
          <t>解いた日</t>
        </is>
      </c>
      <c r="B5" s="12" t="n"/>
      <c r="C5" s="15" t="n"/>
      <c r="D5" s="12" t="n"/>
      <c r="F5" s="11" t="inlineStr">
        <is>
          <t>バンド目安（Academic）</t>
        </is>
      </c>
      <c r="G5" s="14">
        <f>IF(COUNTA(D10:D49)=0,"",LOOKUP(COUNTIF(D10:D49,"正解"),選択肢マスタ!$E$4:$E$15,選択肢マスタ!$F$4:$F$15))</f>
        <v/>
      </c>
    </row>
    <row r="6">
      <c r="A6" s="11" t="inlineStr">
        <is>
          <t>分析日</t>
        </is>
      </c>
      <c r="B6" s="12" t="n"/>
      <c r="C6" s="15" t="n"/>
      <c r="D6" s="12" t="n"/>
      <c r="F6" s="11" t="inlineStr">
        <is>
          <t>Passage別 正解数</t>
        </is>
      </c>
      <c r="G6" s="14">
        <f>"P1: "&amp;COUNTIFS(B10:B49,1,D10:D49,"正解")&amp;"/13   P2: "&amp;COUNTIFS(B10:B49,2,D10:D49,"正解")&amp;"/13   P3: "&amp;COUNTIFS(B10:B49,3,D10:D49,"正解")&amp;"/14"</f>
        <v/>
      </c>
    </row>
    <row r="7">
      <c r="A7" s="11" t="inlineStr">
        <is>
          <t>解答時間（分）</t>
        </is>
      </c>
      <c r="B7" s="12" t="n"/>
      <c r="C7" s="13" t="n"/>
      <c r="D7" s="12" t="n"/>
      <c r="F7" s="11" t="inlineStr">
        <is>
          <t>不正解数</t>
        </is>
      </c>
      <c r="G7" s="14">
        <f>COUNTIF(D10:D49,"不正解")</f>
        <v/>
      </c>
    </row>
    <row r="9" ht="28" customHeight="1">
      <c r="A9" s="3" t="inlineStr">
        <is>
          <t>問題番号</t>
        </is>
      </c>
      <c r="B9" s="3" t="inlineStr">
        <is>
          <t>Passage</t>
        </is>
      </c>
      <c r="C9" s="3" t="inlineStr">
        <is>
          <t>設問タイプ</t>
        </is>
      </c>
      <c r="D9" s="3" t="inlineStr">
        <is>
          <t>正解/不正解</t>
        </is>
      </c>
      <c r="E9" s="3" t="inlineStr">
        <is>
          <t>大カテゴリー</t>
        </is>
      </c>
      <c r="F9" s="3" t="inlineStr">
        <is>
          <t>詳細理由</t>
        </is>
      </c>
      <c r="G9" s="3" t="inlineStr">
        <is>
          <t>具体的に間違いが起きた箇所</t>
        </is>
      </c>
      <c r="H9" s="3" t="inlineStr">
        <is>
          <t>同じミスを繰り返さないために</t>
        </is>
      </c>
    </row>
    <row r="10" ht="30" customHeight="1">
      <c r="A10" s="16" t="n">
        <v>1</v>
      </c>
      <c r="B10" s="16" t="n">
        <v>1</v>
      </c>
      <c r="C10" s="17" t="n"/>
      <c r="D10" s="17" t="n"/>
      <c r="E10" s="13" t="n"/>
      <c r="F10" s="13" t="n"/>
      <c r="G10" s="13" t="n"/>
      <c r="H10" s="13" t="n"/>
    </row>
    <row r="11" ht="30" customHeight="1">
      <c r="A11" s="16" t="n">
        <v>2</v>
      </c>
      <c r="B11" s="16" t="n">
        <v>1</v>
      </c>
      <c r="C11" s="17" t="n"/>
      <c r="D11" s="17" t="n"/>
      <c r="E11" s="13" t="n"/>
      <c r="F11" s="13" t="n"/>
      <c r="G11" s="13" t="n"/>
      <c r="H11" s="13" t="n"/>
    </row>
    <row r="12" ht="30" customHeight="1">
      <c r="A12" s="16" t="n">
        <v>3</v>
      </c>
      <c r="B12" s="16" t="n">
        <v>1</v>
      </c>
      <c r="C12" s="17" t="n"/>
      <c r="D12" s="17" t="n"/>
      <c r="E12" s="13" t="n"/>
      <c r="F12" s="13" t="n"/>
      <c r="G12" s="13" t="n"/>
      <c r="H12" s="13" t="n"/>
    </row>
    <row r="13" ht="30" customHeight="1">
      <c r="A13" s="16" t="n">
        <v>4</v>
      </c>
      <c r="B13" s="16" t="n">
        <v>1</v>
      </c>
      <c r="C13" s="17" t="n"/>
      <c r="D13" s="17" t="n"/>
      <c r="E13" s="13" t="n"/>
      <c r="F13" s="13" t="n"/>
      <c r="G13" s="13" t="n"/>
      <c r="H13" s="13" t="n"/>
    </row>
    <row r="14" ht="30" customHeight="1">
      <c r="A14" s="16" t="n">
        <v>5</v>
      </c>
      <c r="B14" s="16" t="n">
        <v>1</v>
      </c>
      <c r="C14" s="17" t="n"/>
      <c r="D14" s="17" t="n"/>
      <c r="E14" s="13" t="n"/>
      <c r="F14" s="13" t="n"/>
      <c r="G14" s="13" t="n"/>
      <c r="H14" s="13" t="n"/>
    </row>
    <row r="15" ht="30" customHeight="1">
      <c r="A15" s="16" t="n">
        <v>6</v>
      </c>
      <c r="B15" s="16" t="n">
        <v>1</v>
      </c>
      <c r="C15" s="17" t="n"/>
      <c r="D15" s="17" t="n"/>
      <c r="E15" s="13" t="n"/>
      <c r="F15" s="13" t="n"/>
      <c r="G15" s="13" t="n"/>
      <c r="H15" s="13" t="n"/>
    </row>
    <row r="16" ht="30" customHeight="1">
      <c r="A16" s="16" t="n">
        <v>7</v>
      </c>
      <c r="B16" s="16" t="n">
        <v>1</v>
      </c>
      <c r="C16" s="17" t="n"/>
      <c r="D16" s="17" t="n"/>
      <c r="E16" s="13" t="n"/>
      <c r="F16" s="13" t="n"/>
      <c r="G16" s="13" t="n"/>
      <c r="H16" s="13" t="n"/>
    </row>
    <row r="17" ht="30" customHeight="1">
      <c r="A17" s="16" t="n">
        <v>8</v>
      </c>
      <c r="B17" s="16" t="n">
        <v>1</v>
      </c>
      <c r="C17" s="17" t="n"/>
      <c r="D17" s="17" t="n"/>
      <c r="E17" s="13" t="n"/>
      <c r="F17" s="13" t="n"/>
      <c r="G17" s="13" t="n"/>
      <c r="H17" s="13" t="n"/>
    </row>
    <row r="18" ht="30" customHeight="1">
      <c r="A18" s="16" t="n">
        <v>9</v>
      </c>
      <c r="B18" s="16" t="n">
        <v>1</v>
      </c>
      <c r="C18" s="17" t="n"/>
      <c r="D18" s="17" t="n"/>
      <c r="E18" s="13" t="n"/>
      <c r="F18" s="13" t="n"/>
      <c r="G18" s="13" t="n"/>
      <c r="H18" s="13" t="n"/>
    </row>
    <row r="19" ht="30" customHeight="1">
      <c r="A19" s="16" t="n">
        <v>10</v>
      </c>
      <c r="B19" s="16" t="n">
        <v>1</v>
      </c>
      <c r="C19" s="17" t="n"/>
      <c r="D19" s="17" t="n"/>
      <c r="E19" s="13" t="n"/>
      <c r="F19" s="13" t="n"/>
      <c r="G19" s="13" t="n"/>
      <c r="H19" s="13" t="n"/>
    </row>
    <row r="20" ht="30" customHeight="1">
      <c r="A20" s="16" t="n">
        <v>11</v>
      </c>
      <c r="B20" s="16" t="n">
        <v>1</v>
      </c>
      <c r="C20" s="17" t="n"/>
      <c r="D20" s="17" t="n"/>
      <c r="E20" s="13" t="n"/>
      <c r="F20" s="13" t="n"/>
      <c r="G20" s="13" t="n"/>
      <c r="H20" s="13" t="n"/>
    </row>
    <row r="21" ht="30" customHeight="1">
      <c r="A21" s="16" t="n">
        <v>12</v>
      </c>
      <c r="B21" s="16" t="n">
        <v>1</v>
      </c>
      <c r="C21" s="17" t="n"/>
      <c r="D21" s="17" t="n"/>
      <c r="E21" s="13" t="n"/>
      <c r="F21" s="13" t="n"/>
      <c r="G21" s="13" t="n"/>
      <c r="H21" s="13" t="n"/>
    </row>
    <row r="22" ht="30" customHeight="1">
      <c r="A22" s="16" t="n">
        <v>13</v>
      </c>
      <c r="B22" s="16" t="n">
        <v>1</v>
      </c>
      <c r="C22" s="17" t="n"/>
      <c r="D22" s="17" t="n"/>
      <c r="E22" s="13" t="n"/>
      <c r="F22" s="13" t="n"/>
      <c r="G22" s="13" t="n"/>
      <c r="H22" s="13" t="n"/>
    </row>
    <row r="23" ht="30" customHeight="1">
      <c r="A23" s="16" t="n">
        <v>14</v>
      </c>
      <c r="B23" s="16" t="n">
        <v>2</v>
      </c>
      <c r="C23" s="17" t="n"/>
      <c r="D23" s="17" t="n"/>
      <c r="E23" s="13" t="n"/>
      <c r="F23" s="13" t="n"/>
      <c r="G23" s="13" t="n"/>
      <c r="H23" s="13" t="n"/>
    </row>
    <row r="24" ht="30" customHeight="1">
      <c r="A24" s="16" t="n">
        <v>15</v>
      </c>
      <c r="B24" s="16" t="n">
        <v>2</v>
      </c>
      <c r="C24" s="17" t="n"/>
      <c r="D24" s="17" t="n"/>
      <c r="E24" s="13" t="n"/>
      <c r="F24" s="13" t="n"/>
      <c r="G24" s="13" t="n"/>
      <c r="H24" s="13" t="n"/>
    </row>
    <row r="25" ht="30" customHeight="1">
      <c r="A25" s="16" t="n">
        <v>16</v>
      </c>
      <c r="B25" s="16" t="n">
        <v>2</v>
      </c>
      <c r="C25" s="17" t="n"/>
      <c r="D25" s="17" t="n"/>
      <c r="E25" s="13" t="n"/>
      <c r="F25" s="13" t="n"/>
      <c r="G25" s="13" t="n"/>
      <c r="H25" s="13" t="n"/>
    </row>
    <row r="26" ht="30" customHeight="1">
      <c r="A26" s="16" t="n">
        <v>17</v>
      </c>
      <c r="B26" s="16" t="n">
        <v>2</v>
      </c>
      <c r="C26" s="17" t="n"/>
      <c r="D26" s="17" t="n"/>
      <c r="E26" s="13" t="n"/>
      <c r="F26" s="13" t="n"/>
      <c r="G26" s="13" t="n"/>
      <c r="H26" s="13" t="n"/>
    </row>
    <row r="27" ht="30" customHeight="1">
      <c r="A27" s="16" t="n">
        <v>18</v>
      </c>
      <c r="B27" s="16" t="n">
        <v>2</v>
      </c>
      <c r="C27" s="17" t="n"/>
      <c r="D27" s="17" t="n"/>
      <c r="E27" s="13" t="n"/>
      <c r="F27" s="13" t="n"/>
      <c r="G27" s="13" t="n"/>
      <c r="H27" s="13" t="n"/>
    </row>
    <row r="28" ht="30" customHeight="1">
      <c r="A28" s="16" t="n">
        <v>19</v>
      </c>
      <c r="B28" s="16" t="n">
        <v>2</v>
      </c>
      <c r="C28" s="17" t="n"/>
      <c r="D28" s="17" t="n"/>
      <c r="E28" s="13" t="n"/>
      <c r="F28" s="13" t="n"/>
      <c r="G28" s="13" t="n"/>
      <c r="H28" s="13" t="n"/>
    </row>
    <row r="29" ht="30" customHeight="1">
      <c r="A29" s="16" t="n">
        <v>20</v>
      </c>
      <c r="B29" s="16" t="n">
        <v>2</v>
      </c>
      <c r="C29" s="17" t="n"/>
      <c r="D29" s="17" t="n"/>
      <c r="E29" s="13" t="n"/>
      <c r="F29" s="13" t="n"/>
      <c r="G29" s="13" t="n"/>
      <c r="H29" s="13" t="n"/>
    </row>
    <row r="30" ht="30" customHeight="1">
      <c r="A30" s="16" t="n">
        <v>21</v>
      </c>
      <c r="B30" s="16" t="n">
        <v>2</v>
      </c>
      <c r="C30" s="17" t="n"/>
      <c r="D30" s="17" t="n"/>
      <c r="E30" s="13" t="n"/>
      <c r="F30" s="13" t="n"/>
      <c r="G30" s="13" t="n"/>
      <c r="H30" s="13" t="n"/>
    </row>
    <row r="31" ht="30" customHeight="1">
      <c r="A31" s="16" t="n">
        <v>22</v>
      </c>
      <c r="B31" s="16" t="n">
        <v>2</v>
      </c>
      <c r="C31" s="17" t="n"/>
      <c r="D31" s="17" t="n"/>
      <c r="E31" s="13" t="n"/>
      <c r="F31" s="13" t="n"/>
      <c r="G31" s="13" t="n"/>
      <c r="H31" s="13" t="n"/>
    </row>
    <row r="32" ht="30" customHeight="1">
      <c r="A32" s="16" t="n">
        <v>23</v>
      </c>
      <c r="B32" s="16" t="n">
        <v>2</v>
      </c>
      <c r="C32" s="17" t="n"/>
      <c r="D32" s="17" t="n"/>
      <c r="E32" s="13" t="n"/>
      <c r="F32" s="13" t="n"/>
      <c r="G32" s="13" t="n"/>
      <c r="H32" s="13" t="n"/>
    </row>
    <row r="33" ht="30" customHeight="1">
      <c r="A33" s="16" t="n">
        <v>24</v>
      </c>
      <c r="B33" s="16" t="n">
        <v>2</v>
      </c>
      <c r="C33" s="17" t="n"/>
      <c r="D33" s="17" t="n"/>
      <c r="E33" s="13" t="n"/>
      <c r="F33" s="13" t="n"/>
      <c r="G33" s="13" t="n"/>
      <c r="H33" s="13" t="n"/>
    </row>
    <row r="34" ht="30" customHeight="1">
      <c r="A34" s="16" t="n">
        <v>25</v>
      </c>
      <c r="B34" s="16" t="n">
        <v>2</v>
      </c>
      <c r="C34" s="17" t="n"/>
      <c r="D34" s="17" t="n"/>
      <c r="E34" s="13" t="n"/>
      <c r="F34" s="13" t="n"/>
      <c r="G34" s="13" t="n"/>
      <c r="H34" s="13" t="n"/>
    </row>
    <row r="35" ht="30" customHeight="1">
      <c r="A35" s="16" t="n">
        <v>26</v>
      </c>
      <c r="B35" s="16" t="n">
        <v>2</v>
      </c>
      <c r="C35" s="17" t="n"/>
      <c r="D35" s="17" t="n"/>
      <c r="E35" s="13" t="n"/>
      <c r="F35" s="13" t="n"/>
      <c r="G35" s="13" t="n"/>
      <c r="H35" s="13" t="n"/>
    </row>
    <row r="36" ht="30" customHeight="1">
      <c r="A36" s="16" t="n">
        <v>27</v>
      </c>
      <c r="B36" s="16" t="n">
        <v>3</v>
      </c>
      <c r="C36" s="17" t="n"/>
      <c r="D36" s="17" t="n"/>
      <c r="E36" s="13" t="n"/>
      <c r="F36" s="13" t="n"/>
      <c r="G36" s="13" t="n"/>
      <c r="H36" s="13" t="n"/>
    </row>
    <row r="37" ht="30" customHeight="1">
      <c r="A37" s="16" t="n">
        <v>28</v>
      </c>
      <c r="B37" s="16" t="n">
        <v>3</v>
      </c>
      <c r="C37" s="17" t="n"/>
      <c r="D37" s="17" t="n"/>
      <c r="E37" s="13" t="n"/>
      <c r="F37" s="13" t="n"/>
      <c r="G37" s="13" t="n"/>
      <c r="H37" s="13" t="n"/>
    </row>
    <row r="38" ht="30" customHeight="1">
      <c r="A38" s="16" t="n">
        <v>29</v>
      </c>
      <c r="B38" s="16" t="n">
        <v>3</v>
      </c>
      <c r="C38" s="17" t="n"/>
      <c r="D38" s="17" t="n"/>
      <c r="E38" s="13" t="n"/>
      <c r="F38" s="13" t="n"/>
      <c r="G38" s="13" t="n"/>
      <c r="H38" s="13" t="n"/>
    </row>
    <row r="39" ht="30" customHeight="1">
      <c r="A39" s="16" t="n">
        <v>30</v>
      </c>
      <c r="B39" s="16" t="n">
        <v>3</v>
      </c>
      <c r="C39" s="17" t="n"/>
      <c r="D39" s="17" t="n"/>
      <c r="E39" s="13" t="n"/>
      <c r="F39" s="13" t="n"/>
      <c r="G39" s="13" t="n"/>
      <c r="H39" s="13" t="n"/>
    </row>
    <row r="40" ht="30" customHeight="1">
      <c r="A40" s="16" t="n">
        <v>31</v>
      </c>
      <c r="B40" s="16" t="n">
        <v>3</v>
      </c>
      <c r="C40" s="17" t="n"/>
      <c r="D40" s="17" t="n"/>
      <c r="E40" s="13" t="n"/>
      <c r="F40" s="13" t="n"/>
      <c r="G40" s="13" t="n"/>
      <c r="H40" s="13" t="n"/>
    </row>
    <row r="41" ht="30" customHeight="1">
      <c r="A41" s="16" t="n">
        <v>32</v>
      </c>
      <c r="B41" s="16" t="n">
        <v>3</v>
      </c>
      <c r="C41" s="17" t="n"/>
      <c r="D41" s="17" t="n"/>
      <c r="E41" s="13" t="n"/>
      <c r="F41" s="13" t="n"/>
      <c r="G41" s="13" t="n"/>
      <c r="H41" s="13" t="n"/>
    </row>
    <row r="42" ht="30" customHeight="1">
      <c r="A42" s="16" t="n">
        <v>33</v>
      </c>
      <c r="B42" s="16" t="n">
        <v>3</v>
      </c>
      <c r="C42" s="17" t="n"/>
      <c r="D42" s="17" t="n"/>
      <c r="E42" s="13" t="n"/>
      <c r="F42" s="13" t="n"/>
      <c r="G42" s="13" t="n"/>
      <c r="H42" s="13" t="n"/>
    </row>
    <row r="43" ht="30" customHeight="1">
      <c r="A43" s="16" t="n">
        <v>34</v>
      </c>
      <c r="B43" s="16" t="n">
        <v>3</v>
      </c>
      <c r="C43" s="17" t="n"/>
      <c r="D43" s="17" t="n"/>
      <c r="E43" s="13" t="n"/>
      <c r="F43" s="13" t="n"/>
      <c r="G43" s="13" t="n"/>
      <c r="H43" s="13" t="n"/>
    </row>
    <row r="44" ht="30" customHeight="1">
      <c r="A44" s="16" t="n">
        <v>35</v>
      </c>
      <c r="B44" s="16" t="n">
        <v>3</v>
      </c>
      <c r="C44" s="17" t="n"/>
      <c r="D44" s="17" t="n"/>
      <c r="E44" s="13" t="n"/>
      <c r="F44" s="13" t="n"/>
      <c r="G44" s="13" t="n"/>
      <c r="H44" s="13" t="n"/>
    </row>
    <row r="45" ht="30" customHeight="1">
      <c r="A45" s="16" t="n">
        <v>36</v>
      </c>
      <c r="B45" s="16" t="n">
        <v>3</v>
      </c>
      <c r="C45" s="17" t="n"/>
      <c r="D45" s="17" t="n"/>
      <c r="E45" s="13" t="n"/>
      <c r="F45" s="13" t="n"/>
      <c r="G45" s="13" t="n"/>
      <c r="H45" s="13" t="n"/>
    </row>
    <row r="46" ht="30" customHeight="1">
      <c r="A46" s="16" t="n">
        <v>37</v>
      </c>
      <c r="B46" s="16" t="n">
        <v>3</v>
      </c>
      <c r="C46" s="17" t="n"/>
      <c r="D46" s="17" t="n"/>
      <c r="E46" s="13" t="n"/>
      <c r="F46" s="13" t="n"/>
      <c r="G46" s="13" t="n"/>
      <c r="H46" s="13" t="n"/>
    </row>
    <row r="47" ht="30" customHeight="1">
      <c r="A47" s="16" t="n">
        <v>38</v>
      </c>
      <c r="B47" s="16" t="n">
        <v>3</v>
      </c>
      <c r="C47" s="17" t="n"/>
      <c r="D47" s="17" t="n"/>
      <c r="E47" s="13" t="n"/>
      <c r="F47" s="13" t="n"/>
      <c r="G47" s="13" t="n"/>
      <c r="H47" s="13" t="n"/>
    </row>
    <row r="48" ht="30" customHeight="1">
      <c r="A48" s="16" t="n">
        <v>39</v>
      </c>
      <c r="B48" s="16" t="n">
        <v>3</v>
      </c>
      <c r="C48" s="17" t="n"/>
      <c r="D48" s="17" t="n"/>
      <c r="E48" s="13" t="n"/>
      <c r="F48" s="13" t="n"/>
      <c r="G48" s="13" t="n"/>
      <c r="H48" s="13" t="n"/>
    </row>
    <row r="49" ht="30" customHeight="1">
      <c r="A49" s="16" t="n">
        <v>40</v>
      </c>
      <c r="B49" s="16" t="n">
        <v>3</v>
      </c>
      <c r="C49" s="17" t="n"/>
      <c r="D49" s="17" t="n"/>
      <c r="E49" s="13" t="n"/>
      <c r="F49" s="13" t="n"/>
      <c r="G49" s="13" t="n"/>
      <c r="H49" s="13" t="n"/>
    </row>
    <row r="51" ht="26" customHeight="1">
      <c r="A51" s="18" t="inlineStr">
        <is>
          <t>■ 何で間違えたのか（不正解の原因の割合）</t>
        </is>
      </c>
    </row>
    <row r="52">
      <c r="A52" s="11" t="inlineStr">
        <is>
          <t>大カテゴリー</t>
        </is>
      </c>
      <c r="B52" s="12" t="n"/>
      <c r="C52" s="12" t="n"/>
      <c r="D52" s="11" t="inlineStr">
        <is>
          <t>件数</t>
        </is>
      </c>
      <c r="E52" s="11" t="inlineStr">
        <is>
          <t>割合</t>
        </is>
      </c>
    </row>
    <row r="53">
      <c r="A53" s="19" t="inlineStr">
        <is>
          <t>語彙・文法理解の問題</t>
        </is>
      </c>
      <c r="B53" s="20" t="n"/>
      <c r="C53" s="20" t="n"/>
      <c r="D53" s="8">
        <f>COUNTIFS($D$10:$D$49,"不正解",$E$10:$E$49,A53)</f>
        <v/>
      </c>
      <c r="E53" s="21">
        <f>IF($D$58=0,"",D53/$D$58)</f>
        <v/>
      </c>
    </row>
    <row r="54">
      <c r="A54" s="19" t="inlineStr">
        <is>
          <t>情報検索・スキャニングの問題</t>
        </is>
      </c>
      <c r="B54" s="20" t="n"/>
      <c r="C54" s="20" t="n"/>
      <c r="D54" s="8">
        <f>COUNTIFS($D$10:$D$49,"不正解",$E$10:$E$49,A54)</f>
        <v/>
      </c>
      <c r="E54" s="21">
        <f>IF($D$58=0,"",D54/$D$58)</f>
        <v/>
      </c>
    </row>
    <row r="55">
      <c r="A55" s="19" t="inlineStr">
        <is>
          <t>論理的思考・推論の問題</t>
        </is>
      </c>
      <c r="B55" s="20" t="n"/>
      <c r="C55" s="20" t="n"/>
      <c r="D55" s="8">
        <f>COUNTIFS($D$10:$D$49,"不正解",$E$10:$E$49,A55)</f>
        <v/>
      </c>
      <c r="E55" s="21">
        <f>IF($D$58=0,"",D55/$D$58)</f>
        <v/>
      </c>
    </row>
    <row r="56">
      <c r="A56" s="19" t="inlineStr">
        <is>
          <t>注意力・正確性の問題</t>
        </is>
      </c>
      <c r="B56" s="20" t="n"/>
      <c r="C56" s="20" t="n"/>
      <c r="D56" s="8">
        <f>COUNTIFS($D$10:$D$49,"不正解",$E$10:$E$49,A56)</f>
        <v/>
      </c>
      <c r="E56" s="21">
        <f>IF($D$58=0,"",D56/$D$58)</f>
        <v/>
      </c>
    </row>
    <row r="57">
      <c r="A57" s="19" t="inlineStr">
        <is>
          <t>（カテゴリー未入力）</t>
        </is>
      </c>
      <c r="B57" s="20" t="n"/>
      <c r="C57" s="20" t="n"/>
      <c r="D57" s="8">
        <f>COUNTIFS($D$10:$D$49,"不正解",$E$10:$E$49,"")</f>
        <v/>
      </c>
      <c r="E57" s="21">
        <f>IF($D$58=0,"",D57/$D$58)</f>
        <v/>
      </c>
    </row>
    <row r="58">
      <c r="A58" s="22" t="inlineStr">
        <is>
          <t>合計（不正解数）</t>
        </is>
      </c>
      <c r="B58" s="23" t="n"/>
      <c r="C58" s="23" t="n"/>
      <c r="D58" s="24">
        <f>SUM(D53:D57)</f>
        <v/>
      </c>
      <c r="E58" s="25">
        <f>IF($D$58=0,"",D58/$D$58)</f>
        <v/>
      </c>
    </row>
    <row r="70">
      <c r="A70" s="11" t="inlineStr">
        <is>
          <t>詳細理由</t>
        </is>
      </c>
      <c r="B70" s="12" t="n"/>
      <c r="C70" s="12" t="n"/>
      <c r="D70" s="11" t="inlineStr">
        <is>
          <t>件数</t>
        </is>
      </c>
      <c r="E70" s="11" t="inlineStr">
        <is>
          <t>割合</t>
        </is>
      </c>
      <c r="F70" s="11" t="inlineStr">
        <is>
          <t>カテゴリー</t>
        </is>
      </c>
    </row>
    <row r="71">
      <c r="A71" s="19" t="inlineStr">
        <is>
          <t>単語の意味が分からなかった</t>
        </is>
      </c>
      <c r="B71" s="20" t="n"/>
      <c r="C71" s="20" t="n"/>
      <c r="D71" s="8">
        <f>COUNTIFS($D$10:$D$49,"不正解",$F$10:$F$49,A71)</f>
        <v/>
      </c>
      <c r="E71" s="21">
        <f>IF($D$58=0,"",D71/$D$58)</f>
        <v/>
      </c>
      <c r="F71" s="26" t="inlineStr">
        <is>
          <t>語彙・文法理解の問題</t>
        </is>
      </c>
    </row>
    <row r="72">
      <c r="A72" s="19" t="inlineStr">
        <is>
          <t>多義語の誤認識</t>
        </is>
      </c>
      <c r="B72" s="20" t="n"/>
      <c r="C72" s="20" t="n"/>
      <c r="D72" s="8">
        <f>COUNTIFS($D$10:$D$49,"不正解",$F$10:$F$49,A72)</f>
        <v/>
      </c>
      <c r="E72" s="21">
        <f>IF($D$58=0,"",D72/$D$58)</f>
        <v/>
      </c>
      <c r="F72" s="26" t="inlineStr">
        <is>
          <t>語彙・文法理解の問題</t>
        </is>
      </c>
    </row>
    <row r="73">
      <c r="A73" s="19" t="inlineStr">
        <is>
          <t>同義語・言い換え表現に気づけなかった</t>
        </is>
      </c>
      <c r="B73" s="20" t="n"/>
      <c r="C73" s="20" t="n"/>
      <c r="D73" s="8">
        <f>COUNTIFS($D$10:$D$49,"不正解",$F$10:$F$49,A73)</f>
        <v/>
      </c>
      <c r="E73" s="21">
        <f>IF($D$58=0,"",D73/$D$58)</f>
        <v/>
      </c>
      <c r="F73" s="26" t="inlineStr">
        <is>
          <t>語彙・文法理解の問題</t>
        </is>
      </c>
    </row>
    <row r="74">
      <c r="A74" s="19" t="inlineStr">
        <is>
          <t>文法構造が複雑で理解できなかった</t>
        </is>
      </c>
      <c r="B74" s="20" t="n"/>
      <c r="C74" s="20" t="n"/>
      <c r="D74" s="8">
        <f>COUNTIFS($D$10:$D$49,"不正解",$F$10:$F$49,A74)</f>
        <v/>
      </c>
      <c r="E74" s="21">
        <f>IF($D$58=0,"",D74/$D$58)</f>
        <v/>
      </c>
      <c r="F74" s="26" t="inlineStr">
        <is>
          <t>語彙・文法理解の問題</t>
        </is>
      </c>
    </row>
    <row r="75">
      <c r="A75" s="19" t="inlineStr">
        <is>
          <t>代名詞・指示語の指す内容を誤解</t>
        </is>
      </c>
      <c r="B75" s="20" t="n"/>
      <c r="C75" s="20" t="n"/>
      <c r="D75" s="8">
        <f>COUNTIFS($D$10:$D$49,"不正解",$F$10:$F$49,A75)</f>
        <v/>
      </c>
      <c r="E75" s="21">
        <f>IF($D$58=0,"",D75/$D$58)</f>
        <v/>
      </c>
      <c r="F75" s="26" t="inlineStr">
        <is>
          <t>語彙・文法理解の問題</t>
        </is>
      </c>
    </row>
    <row r="76">
      <c r="A76" s="19" t="inlineStr">
        <is>
          <t>接続詞・ディスコースマーカーの見落とし</t>
        </is>
      </c>
      <c r="B76" s="20" t="n"/>
      <c r="C76" s="20" t="n"/>
      <c r="D76" s="8">
        <f>COUNTIFS($D$10:$D$49,"不正解",$F$10:$F$49,A76)</f>
        <v/>
      </c>
      <c r="E76" s="21">
        <f>IF($D$58=0,"",D76/$D$58)</f>
        <v/>
      </c>
      <c r="F76" s="26" t="inlineStr">
        <is>
          <t>語彙・文法理解の問題</t>
        </is>
      </c>
    </row>
    <row r="77">
      <c r="A77" s="19" t="inlineStr">
        <is>
          <t>該当箇所を見つけられなかった</t>
        </is>
      </c>
      <c r="B77" s="20" t="n"/>
      <c r="C77" s="20" t="n"/>
      <c r="D77" s="8">
        <f>COUNTIFS($D$10:$D$49,"不正解",$F$10:$F$49,A77)</f>
        <v/>
      </c>
      <c r="E77" s="21">
        <f>IF($D$58=0,"",D77/$D$58)</f>
        <v/>
      </c>
      <c r="F77" s="26" t="inlineStr">
        <is>
          <t>情報検索・スキャニングの問題</t>
        </is>
      </c>
    </row>
    <row r="78">
      <c r="A78" s="19" t="inlineStr">
        <is>
          <t>キーワードのパラフレーズに気づけず探せなかった</t>
        </is>
      </c>
      <c r="B78" s="20" t="n"/>
      <c r="C78" s="20" t="n"/>
      <c r="D78" s="8">
        <f>COUNTIFS($D$10:$D$49,"不正解",$F$10:$F$49,A78)</f>
        <v/>
      </c>
      <c r="E78" s="21">
        <f>IF($D$58=0,"",D78/$D$58)</f>
        <v/>
      </c>
      <c r="F78" s="26" t="inlineStr">
        <is>
          <t>情報検索・スキャニングの問題</t>
        </is>
      </c>
    </row>
    <row r="79">
      <c r="A79" s="19" t="inlineStr">
        <is>
          <t>似た情報と混同した</t>
        </is>
      </c>
      <c r="B79" s="20" t="n"/>
      <c r="C79" s="20" t="n"/>
      <c r="D79" s="8">
        <f>COUNTIFS($D$10:$D$49,"不正解",$F$10:$F$49,A79)</f>
        <v/>
      </c>
      <c r="E79" s="21">
        <f>IF($D$58=0,"",D79/$D$58)</f>
        <v/>
      </c>
      <c r="F79" s="26" t="inlineStr">
        <is>
          <t>情報検索・スキャニングの問題</t>
        </is>
      </c>
    </row>
    <row r="80">
      <c r="A80" s="19" t="inlineStr">
        <is>
          <t>時間が足りず該当部分まで到達できなかった</t>
        </is>
      </c>
      <c r="B80" s="20" t="n"/>
      <c r="C80" s="20" t="n"/>
      <c r="D80" s="8">
        <f>COUNTIFS($D$10:$D$49,"不正解",$F$10:$F$49,A80)</f>
        <v/>
      </c>
      <c r="E80" s="21">
        <f>IF($D$58=0,"",D80/$D$58)</f>
        <v/>
      </c>
      <c r="F80" s="26" t="inlineStr">
        <is>
          <t>情報検索・スキャニングの問題</t>
        </is>
      </c>
    </row>
    <row r="81">
      <c r="A81" s="19" t="inlineStr">
        <is>
          <t>複数パラグラフにまたがる情報を統合できなかった</t>
        </is>
      </c>
      <c r="B81" s="20" t="n"/>
      <c r="C81" s="20" t="n"/>
      <c r="D81" s="8">
        <f>COUNTIFS($D$10:$D$49,"不正解",$F$10:$F$49,A81)</f>
        <v/>
      </c>
      <c r="E81" s="21">
        <f>IF($D$58=0,"",D81/$D$58)</f>
        <v/>
      </c>
      <c r="F81" s="26" t="inlineStr">
        <is>
          <t>情報検索・スキャニングの問題</t>
        </is>
      </c>
    </row>
    <row r="82">
      <c r="A82" s="19" t="inlineStr">
        <is>
          <t>因果関係の読み取りミス</t>
        </is>
      </c>
      <c r="B82" s="20" t="n"/>
      <c r="C82" s="20" t="n"/>
      <c r="D82" s="8">
        <f>COUNTIFS($D$10:$D$49,"不正解",$F$10:$F$49,A82)</f>
        <v/>
      </c>
      <c r="E82" s="21">
        <f>IF($D$58=0,"",D82/$D$58)</f>
        <v/>
      </c>
      <c r="F82" s="26" t="inlineStr">
        <is>
          <t>論理的思考・推論の問題</t>
        </is>
      </c>
    </row>
    <row r="83">
      <c r="A83" s="19" t="inlineStr">
        <is>
          <t>比較表現の理解不足</t>
        </is>
      </c>
      <c r="B83" s="20" t="n"/>
      <c r="C83" s="20" t="n"/>
      <c r="D83" s="8">
        <f>COUNTIFS($D$10:$D$49,"不正解",$F$10:$F$49,A83)</f>
        <v/>
      </c>
      <c r="E83" s="21">
        <f>IF($D$58=0,"",D83/$D$58)</f>
        <v/>
      </c>
      <c r="F83" s="26" t="inlineStr">
        <is>
          <t>論理的思考・推論の問題</t>
        </is>
      </c>
    </row>
    <row r="84">
      <c r="A84" s="19" t="inlineStr">
        <is>
          <t>筆者の主張と例示の区別ができなかった</t>
        </is>
      </c>
      <c r="B84" s="20" t="n"/>
      <c r="C84" s="20" t="n"/>
      <c r="D84" s="8">
        <f>COUNTIFS($D$10:$D$49,"不正解",$F$10:$F$49,A84)</f>
        <v/>
      </c>
      <c r="E84" s="21">
        <f>IF($D$58=0,"",D84/$D$58)</f>
        <v/>
      </c>
      <c r="F84" s="26" t="inlineStr">
        <is>
          <t>論理的思考・推論の問題</t>
        </is>
      </c>
    </row>
    <row r="85">
      <c r="A85" s="19" t="inlineStr">
        <is>
          <t>NOT GIVEN判定の誤り</t>
        </is>
      </c>
      <c r="B85" s="20" t="n"/>
      <c r="C85" s="20" t="n"/>
      <c r="D85" s="8">
        <f>COUNTIFS($D$10:$D$49,"不正解",$F$10:$F$49,A85)</f>
        <v/>
      </c>
      <c r="E85" s="21">
        <f>IF($D$58=0,"",D85/$D$58)</f>
        <v/>
      </c>
      <c r="F85" s="26" t="inlineStr">
        <is>
          <t>論理的思考・推論の問題</t>
        </is>
      </c>
    </row>
    <row r="86">
      <c r="A86" s="19" t="inlineStr">
        <is>
          <t>否定表現の見落とし</t>
        </is>
      </c>
      <c r="B86" s="20" t="n"/>
      <c r="C86" s="20" t="n"/>
      <c r="D86" s="8">
        <f>COUNTIFS($D$10:$D$49,"不正解",$F$10:$F$49,A86)</f>
        <v/>
      </c>
      <c r="E86" s="21">
        <f>IF($D$58=0,"",D86/$D$58)</f>
        <v/>
      </c>
      <c r="F86" s="26" t="inlineStr">
        <is>
          <t>論理的思考・推論の問題</t>
        </is>
      </c>
    </row>
    <row r="87">
      <c r="A87" s="19" t="inlineStr">
        <is>
          <t>限定表現の見落とし</t>
        </is>
      </c>
      <c r="B87" s="20" t="n"/>
      <c r="C87" s="20" t="n"/>
      <c r="D87" s="8">
        <f>COUNTIFS($D$10:$D$49,"不正解",$F$10:$F$49,A87)</f>
        <v/>
      </c>
      <c r="E87" s="21">
        <f>IF($D$58=0,"",D87/$D$58)</f>
        <v/>
      </c>
      <c r="F87" s="26" t="inlineStr">
        <is>
          <t>論理的思考・推論の問題</t>
        </is>
      </c>
    </row>
    <row r="88">
      <c r="A88" s="19" t="inlineStr">
        <is>
          <t>設問の指示を読み間違えた</t>
        </is>
      </c>
      <c r="B88" s="20" t="n"/>
      <c r="C88" s="20" t="n"/>
      <c r="D88" s="8">
        <f>COUNTIFS($D$10:$D$49,"不正解",$F$10:$F$49,A88)</f>
        <v/>
      </c>
      <c r="E88" s="21">
        <f>IF($D$58=0,"",D88/$D$58)</f>
        <v/>
      </c>
      <c r="F88" s="26" t="inlineStr">
        <is>
          <t>注意力・正確性の問題</t>
        </is>
      </c>
    </row>
    <row r="89">
      <c r="A89" s="19" t="inlineStr">
        <is>
          <t>答えを書き写す際のスペルミス</t>
        </is>
      </c>
      <c r="B89" s="20" t="n"/>
      <c r="C89" s="20" t="n"/>
      <c r="D89" s="8">
        <f>COUNTIFS($D$10:$D$49,"不正解",$F$10:$F$49,A89)</f>
        <v/>
      </c>
      <c r="E89" s="21">
        <f>IF($D$58=0,"",D89/$D$58)</f>
        <v/>
      </c>
      <c r="F89" s="26" t="inlineStr">
        <is>
          <t>注意力・正確性の問題</t>
        </is>
      </c>
    </row>
    <row r="90">
      <c r="A90" s="19" t="inlineStr">
        <is>
          <t>単数形・複数形の間違い</t>
        </is>
      </c>
      <c r="B90" s="20" t="n"/>
      <c r="C90" s="20" t="n"/>
      <c r="D90" s="8">
        <f>COUNTIFS($D$10:$D$49,"不正解",$F$10:$F$49,A90)</f>
        <v/>
      </c>
      <c r="E90" s="21">
        <f>IF($D$58=0,"",D90/$D$58)</f>
        <v/>
      </c>
      <c r="F90" s="26" t="inlineStr">
        <is>
          <t>注意力・正確性の問題</t>
        </is>
      </c>
    </row>
    <row r="91">
      <c r="A91" s="19" t="inlineStr">
        <is>
          <t>大文字・小文字の間違い</t>
        </is>
      </c>
      <c r="B91" s="20" t="n"/>
      <c r="C91" s="20" t="n"/>
      <c r="D91" s="8">
        <f>COUNTIFS($D$10:$D$49,"不正解",$F$10:$F$49,A91)</f>
        <v/>
      </c>
      <c r="E91" s="21">
        <f>IF($D$58=0,"",D91/$D$58)</f>
        <v/>
      </c>
      <c r="F91" s="26" t="inlineStr">
        <is>
          <t>注意力・正確性の問題</t>
        </is>
      </c>
    </row>
    <row r="92">
      <c r="A92" s="19" t="inlineStr">
        <is>
          <t>ハイフン・スペースの有無の間違い</t>
        </is>
      </c>
      <c r="B92" s="20" t="n"/>
      <c r="C92" s="20" t="n"/>
      <c r="D92" s="8">
        <f>COUNTIFS($D$10:$D$49,"不正解",$F$10:$F$49,A92)</f>
        <v/>
      </c>
      <c r="E92" s="21">
        <f>IF($D$58=0,"",D92/$D$58)</f>
        <v/>
      </c>
      <c r="F92" s="26" t="inlineStr">
        <is>
          <t>注意力・正確性の問題</t>
        </is>
      </c>
    </row>
    <row r="93">
      <c r="A93" s="19" t="inlineStr">
        <is>
          <t>解答欄のずれ</t>
        </is>
      </c>
      <c r="B93" s="20" t="n"/>
      <c r="C93" s="20" t="n"/>
      <c r="D93" s="8">
        <f>COUNTIFS($D$10:$D$49,"不正解",$F$10:$F$49,A93)</f>
        <v/>
      </c>
      <c r="E93" s="21">
        <f>IF($D$58=0,"",D93/$D$58)</f>
        <v/>
      </c>
      <c r="F93" s="26" t="inlineStr">
        <is>
          <t>注意力・正確性の問題</t>
        </is>
      </c>
    </row>
    <row r="94">
      <c r="A94" s="19" t="inlineStr">
        <is>
          <t>時間切れで未解答</t>
        </is>
      </c>
      <c r="B94" s="20" t="n"/>
      <c r="C94" s="20" t="n"/>
      <c r="D94" s="8">
        <f>COUNTIFS($D$10:$D$49,"不正解",$F$10:$F$49,A94)</f>
        <v/>
      </c>
      <c r="E94" s="21">
        <f>IF($D$58=0,"",D94/$D$58)</f>
        <v/>
      </c>
      <c r="F94" s="26" t="inlineStr">
        <is>
          <t>注意力・正確性の問題</t>
        </is>
      </c>
    </row>
    <row r="95">
      <c r="A95" s="10" t="inlineStr">
        <is>
          <t>※ 最も多い詳細理由は赤字で表示されます。</t>
        </is>
      </c>
    </row>
    <row r="97" ht="26" customHeight="1">
      <c r="A97" s="18" t="inlineStr">
        <is>
          <t>■ 振り返りと今後の対策</t>
        </is>
      </c>
    </row>
    <row r="98">
      <c r="A98" s="27" t="inlineStr">
        <is>
          <t>間違えた傾向（自分で書いてみよう）</t>
        </is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28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5">
      <c r="A105" s="27" t="inlineStr">
        <is>
          <t>解決するために、これから対策すること</t>
        </is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28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2">
      <c r="A112" s="27" t="inlineStr">
        <is>
          <t>今後、問題を解くときに意識すること</t>
        </is>
      </c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28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8" ht="24" customHeight="1">
      <c r="A118" s="11" t="inlineStr">
        <is>
          <t>次回の問題を解く日</t>
        </is>
      </c>
      <c r="B118" s="12" t="n"/>
      <c r="C118" s="29" t="n"/>
      <c r="D118" s="12" t="n"/>
      <c r="E118" s="11" t="inlineStr">
        <is>
          <t>次回解く予定の問題</t>
        </is>
      </c>
      <c r="F118" s="12" t="n"/>
      <c r="G118" s="13" t="n"/>
      <c r="H118" s="12" t="n"/>
    </row>
  </sheetData>
  <mergeCells count="55">
    <mergeCell ref="A90:C90"/>
    <mergeCell ref="C6:D6"/>
    <mergeCell ref="A80:C80"/>
    <mergeCell ref="A75:C75"/>
    <mergeCell ref="A84:C84"/>
    <mergeCell ref="A89:C89"/>
    <mergeCell ref="A51:H51"/>
    <mergeCell ref="C5:D5"/>
    <mergeCell ref="A74:C74"/>
    <mergeCell ref="A56:C56"/>
    <mergeCell ref="A98:H98"/>
    <mergeCell ref="A1:H1"/>
    <mergeCell ref="A55:C55"/>
    <mergeCell ref="A57:C57"/>
    <mergeCell ref="A6:B6"/>
    <mergeCell ref="A86:C86"/>
    <mergeCell ref="C4:D4"/>
    <mergeCell ref="A76:C76"/>
    <mergeCell ref="A71:C71"/>
    <mergeCell ref="A113:H116"/>
    <mergeCell ref="A7:B7"/>
    <mergeCell ref="A85:C85"/>
    <mergeCell ref="A53:C53"/>
    <mergeCell ref="A91:C91"/>
    <mergeCell ref="A118:B118"/>
    <mergeCell ref="C118:D118"/>
    <mergeCell ref="A81:C81"/>
    <mergeCell ref="E118:F118"/>
    <mergeCell ref="A72:C72"/>
    <mergeCell ref="A52:C52"/>
    <mergeCell ref="G118:H118"/>
    <mergeCell ref="A105:H105"/>
    <mergeCell ref="A93:C93"/>
    <mergeCell ref="A95:H95"/>
    <mergeCell ref="A2:H2"/>
    <mergeCell ref="A99:H103"/>
    <mergeCell ref="A58:C58"/>
    <mergeCell ref="A5:B5"/>
    <mergeCell ref="A92:C92"/>
    <mergeCell ref="A77:C77"/>
    <mergeCell ref="A83:C83"/>
    <mergeCell ref="A73:C73"/>
    <mergeCell ref="A97:H97"/>
    <mergeCell ref="A4:B4"/>
    <mergeCell ref="A82:C82"/>
    <mergeCell ref="C7:D7"/>
    <mergeCell ref="A94:C94"/>
    <mergeCell ref="A79:C79"/>
    <mergeCell ref="A88:C88"/>
    <mergeCell ref="A70:C70"/>
    <mergeCell ref="A112:H112"/>
    <mergeCell ref="A78:C78"/>
    <mergeCell ref="A87:C87"/>
    <mergeCell ref="A54:C54"/>
    <mergeCell ref="A106:H110"/>
  </mergeCells>
  <conditionalFormatting sqref="A10:H49">
    <cfRule type="expression" priority="1" dxfId="0">
      <formula>$D10="不正解"</formula>
    </cfRule>
    <cfRule type="expression" priority="2" dxfId="1">
      <formula>$D10="正解"</formula>
    </cfRule>
  </conditionalFormatting>
  <conditionalFormatting sqref="D53:D57">
    <cfRule type="dataBar" priority="3">
      <dataBar>
        <cfvo type="num" val="0"/>
        <cfvo type="max"/>
        <color rgb="004472C4"/>
      </dataBar>
    </cfRule>
  </conditionalFormatting>
  <conditionalFormatting sqref="D71:D94">
    <cfRule type="dataBar" priority="4">
      <dataBar>
        <cfvo type="num" val="0"/>
        <cfvo type="max"/>
        <color rgb="00ED7D31"/>
      </dataBar>
    </cfRule>
  </conditionalFormatting>
  <conditionalFormatting sqref="A71:E94">
    <cfRule type="expression" priority="5" dxfId="2">
      <formula>AND($D71&gt;0,$D71=MAX($D$71:$D$94))</formula>
    </cfRule>
  </conditionalFormatting>
  <dataValidations count="4">
    <dataValidation sqref="C10:C49" showDropDown="0" showInputMessage="0" showErrorMessage="0" allowBlank="1" type="list">
      <formula1>=選択肢マスタ!$C$4:$C$15</formula1>
    </dataValidation>
    <dataValidation sqref="D10:D49" showDropDown="0" showInputMessage="0" showErrorMessage="0" allowBlank="1" type="list">
      <formula1>=選択肢マスタ!$D$4:$D$5</formula1>
    </dataValidation>
    <dataValidation sqref="E10:E49" showDropDown="0" showInputMessage="0" showErrorMessage="0" allowBlank="1" type="list">
      <formula1>=選択肢マスタ!$A$4:$A$7</formula1>
    </dataValidation>
    <dataValidation sqref="F10:F49" showDropDown="0" showInputMessage="0" showErrorMessage="0" allowBlank="1" type="list">
      <formula1>=選択肢マスタ!$B$4:$B$27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1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2" customWidth="1" min="4" max="4"/>
    <col width="28" customWidth="1" min="5" max="5"/>
    <col width="38" customWidth="1" min="6" max="6"/>
    <col width="42" customWidth="1" min="7" max="7"/>
    <col width="42" customWidth="1" min="8" max="8"/>
  </cols>
  <sheetData>
    <row r="1" ht="32" customHeight="1">
      <c r="A1" s="1" t="inlineStr">
        <is>
          <t>IELTSリーディング 間違い分析シート（テスト4）</t>
        </is>
      </c>
    </row>
    <row r="2">
      <c r="A2" s="2" t="inlineStr">
        <is>
          <t>使い方：黄色のセルに入力 → 正解/不正解・大カテゴリー・詳細理由はプルダウンで選択。集計と円グラフは自動で更新されます。</t>
        </is>
      </c>
    </row>
    <row r="4">
      <c r="A4" s="11" t="inlineStr">
        <is>
          <t>テスト名</t>
        </is>
      </c>
      <c r="B4" s="12" t="n"/>
      <c r="C4" s="13" t="n"/>
      <c r="D4" s="12" t="n"/>
      <c r="F4" s="11" t="inlineStr">
        <is>
          <t>正解数</t>
        </is>
      </c>
      <c r="G4" s="14">
        <f>COUNTIF(D10:D49,"正解")&amp;" / 40"</f>
        <v/>
      </c>
    </row>
    <row r="5">
      <c r="A5" s="11" t="inlineStr">
        <is>
          <t>解いた日</t>
        </is>
      </c>
      <c r="B5" s="12" t="n"/>
      <c r="C5" s="15" t="n"/>
      <c r="D5" s="12" t="n"/>
      <c r="F5" s="11" t="inlineStr">
        <is>
          <t>バンド目安（Academic）</t>
        </is>
      </c>
      <c r="G5" s="14">
        <f>IF(COUNTA(D10:D49)=0,"",LOOKUP(COUNTIF(D10:D49,"正解"),選択肢マスタ!$E$4:$E$15,選択肢マスタ!$F$4:$F$15))</f>
        <v/>
      </c>
    </row>
    <row r="6">
      <c r="A6" s="11" t="inlineStr">
        <is>
          <t>分析日</t>
        </is>
      </c>
      <c r="B6" s="12" t="n"/>
      <c r="C6" s="15" t="n"/>
      <c r="D6" s="12" t="n"/>
      <c r="F6" s="11" t="inlineStr">
        <is>
          <t>Passage別 正解数</t>
        </is>
      </c>
      <c r="G6" s="14">
        <f>"P1: "&amp;COUNTIFS(B10:B49,1,D10:D49,"正解")&amp;"/13   P2: "&amp;COUNTIFS(B10:B49,2,D10:D49,"正解")&amp;"/13   P3: "&amp;COUNTIFS(B10:B49,3,D10:D49,"正解")&amp;"/14"</f>
        <v/>
      </c>
    </row>
    <row r="7">
      <c r="A7" s="11" t="inlineStr">
        <is>
          <t>解答時間（分）</t>
        </is>
      </c>
      <c r="B7" s="12" t="n"/>
      <c r="C7" s="13" t="n"/>
      <c r="D7" s="12" t="n"/>
      <c r="F7" s="11" t="inlineStr">
        <is>
          <t>不正解数</t>
        </is>
      </c>
      <c r="G7" s="14">
        <f>COUNTIF(D10:D49,"不正解")</f>
        <v/>
      </c>
    </row>
    <row r="9" ht="28" customHeight="1">
      <c r="A9" s="3" t="inlineStr">
        <is>
          <t>問題番号</t>
        </is>
      </c>
      <c r="B9" s="3" t="inlineStr">
        <is>
          <t>Passage</t>
        </is>
      </c>
      <c r="C9" s="3" t="inlineStr">
        <is>
          <t>設問タイプ</t>
        </is>
      </c>
      <c r="D9" s="3" t="inlineStr">
        <is>
          <t>正解/不正解</t>
        </is>
      </c>
      <c r="E9" s="3" t="inlineStr">
        <is>
          <t>大カテゴリー</t>
        </is>
      </c>
      <c r="F9" s="3" t="inlineStr">
        <is>
          <t>詳細理由</t>
        </is>
      </c>
      <c r="G9" s="3" t="inlineStr">
        <is>
          <t>具体的に間違いが起きた箇所</t>
        </is>
      </c>
      <c r="H9" s="3" t="inlineStr">
        <is>
          <t>同じミスを繰り返さないために</t>
        </is>
      </c>
    </row>
    <row r="10" ht="30" customHeight="1">
      <c r="A10" s="16" t="n">
        <v>1</v>
      </c>
      <c r="B10" s="16" t="n">
        <v>1</v>
      </c>
      <c r="C10" s="17" t="n"/>
      <c r="D10" s="17" t="n"/>
      <c r="E10" s="13" t="n"/>
      <c r="F10" s="13" t="n"/>
      <c r="G10" s="13" t="n"/>
      <c r="H10" s="13" t="n"/>
    </row>
    <row r="11" ht="30" customHeight="1">
      <c r="A11" s="16" t="n">
        <v>2</v>
      </c>
      <c r="B11" s="16" t="n">
        <v>1</v>
      </c>
      <c r="C11" s="17" t="n"/>
      <c r="D11" s="17" t="n"/>
      <c r="E11" s="13" t="n"/>
      <c r="F11" s="13" t="n"/>
      <c r="G11" s="13" t="n"/>
      <c r="H11" s="13" t="n"/>
    </row>
    <row r="12" ht="30" customHeight="1">
      <c r="A12" s="16" t="n">
        <v>3</v>
      </c>
      <c r="B12" s="16" t="n">
        <v>1</v>
      </c>
      <c r="C12" s="17" t="n"/>
      <c r="D12" s="17" t="n"/>
      <c r="E12" s="13" t="n"/>
      <c r="F12" s="13" t="n"/>
      <c r="G12" s="13" t="n"/>
      <c r="H12" s="13" t="n"/>
    </row>
    <row r="13" ht="30" customHeight="1">
      <c r="A13" s="16" t="n">
        <v>4</v>
      </c>
      <c r="B13" s="16" t="n">
        <v>1</v>
      </c>
      <c r="C13" s="17" t="n"/>
      <c r="D13" s="17" t="n"/>
      <c r="E13" s="13" t="n"/>
      <c r="F13" s="13" t="n"/>
      <c r="G13" s="13" t="n"/>
      <c r="H13" s="13" t="n"/>
    </row>
    <row r="14" ht="30" customHeight="1">
      <c r="A14" s="16" t="n">
        <v>5</v>
      </c>
      <c r="B14" s="16" t="n">
        <v>1</v>
      </c>
      <c r="C14" s="17" t="n"/>
      <c r="D14" s="17" t="n"/>
      <c r="E14" s="13" t="n"/>
      <c r="F14" s="13" t="n"/>
      <c r="G14" s="13" t="n"/>
      <c r="H14" s="13" t="n"/>
    </row>
    <row r="15" ht="30" customHeight="1">
      <c r="A15" s="16" t="n">
        <v>6</v>
      </c>
      <c r="B15" s="16" t="n">
        <v>1</v>
      </c>
      <c r="C15" s="17" t="n"/>
      <c r="D15" s="17" t="n"/>
      <c r="E15" s="13" t="n"/>
      <c r="F15" s="13" t="n"/>
      <c r="G15" s="13" t="n"/>
      <c r="H15" s="13" t="n"/>
    </row>
    <row r="16" ht="30" customHeight="1">
      <c r="A16" s="16" t="n">
        <v>7</v>
      </c>
      <c r="B16" s="16" t="n">
        <v>1</v>
      </c>
      <c r="C16" s="17" t="n"/>
      <c r="D16" s="17" t="n"/>
      <c r="E16" s="13" t="n"/>
      <c r="F16" s="13" t="n"/>
      <c r="G16" s="13" t="n"/>
      <c r="H16" s="13" t="n"/>
    </row>
    <row r="17" ht="30" customHeight="1">
      <c r="A17" s="16" t="n">
        <v>8</v>
      </c>
      <c r="B17" s="16" t="n">
        <v>1</v>
      </c>
      <c r="C17" s="17" t="n"/>
      <c r="D17" s="17" t="n"/>
      <c r="E17" s="13" t="n"/>
      <c r="F17" s="13" t="n"/>
      <c r="G17" s="13" t="n"/>
      <c r="H17" s="13" t="n"/>
    </row>
    <row r="18" ht="30" customHeight="1">
      <c r="A18" s="16" t="n">
        <v>9</v>
      </c>
      <c r="B18" s="16" t="n">
        <v>1</v>
      </c>
      <c r="C18" s="17" t="n"/>
      <c r="D18" s="17" t="n"/>
      <c r="E18" s="13" t="n"/>
      <c r="F18" s="13" t="n"/>
      <c r="G18" s="13" t="n"/>
      <c r="H18" s="13" t="n"/>
    </row>
    <row r="19" ht="30" customHeight="1">
      <c r="A19" s="16" t="n">
        <v>10</v>
      </c>
      <c r="B19" s="16" t="n">
        <v>1</v>
      </c>
      <c r="C19" s="17" t="n"/>
      <c r="D19" s="17" t="n"/>
      <c r="E19" s="13" t="n"/>
      <c r="F19" s="13" t="n"/>
      <c r="G19" s="13" t="n"/>
      <c r="H19" s="13" t="n"/>
    </row>
    <row r="20" ht="30" customHeight="1">
      <c r="A20" s="16" t="n">
        <v>11</v>
      </c>
      <c r="B20" s="16" t="n">
        <v>1</v>
      </c>
      <c r="C20" s="17" t="n"/>
      <c r="D20" s="17" t="n"/>
      <c r="E20" s="13" t="n"/>
      <c r="F20" s="13" t="n"/>
      <c r="G20" s="13" t="n"/>
      <c r="H20" s="13" t="n"/>
    </row>
    <row r="21" ht="30" customHeight="1">
      <c r="A21" s="16" t="n">
        <v>12</v>
      </c>
      <c r="B21" s="16" t="n">
        <v>1</v>
      </c>
      <c r="C21" s="17" t="n"/>
      <c r="D21" s="17" t="n"/>
      <c r="E21" s="13" t="n"/>
      <c r="F21" s="13" t="n"/>
      <c r="G21" s="13" t="n"/>
      <c r="H21" s="13" t="n"/>
    </row>
    <row r="22" ht="30" customHeight="1">
      <c r="A22" s="16" t="n">
        <v>13</v>
      </c>
      <c r="B22" s="16" t="n">
        <v>1</v>
      </c>
      <c r="C22" s="17" t="n"/>
      <c r="D22" s="17" t="n"/>
      <c r="E22" s="13" t="n"/>
      <c r="F22" s="13" t="n"/>
      <c r="G22" s="13" t="n"/>
      <c r="H22" s="13" t="n"/>
    </row>
    <row r="23" ht="30" customHeight="1">
      <c r="A23" s="16" t="n">
        <v>14</v>
      </c>
      <c r="B23" s="16" t="n">
        <v>2</v>
      </c>
      <c r="C23" s="17" t="n"/>
      <c r="D23" s="17" t="n"/>
      <c r="E23" s="13" t="n"/>
      <c r="F23" s="13" t="n"/>
      <c r="G23" s="13" t="n"/>
      <c r="H23" s="13" t="n"/>
    </row>
    <row r="24" ht="30" customHeight="1">
      <c r="A24" s="16" t="n">
        <v>15</v>
      </c>
      <c r="B24" s="16" t="n">
        <v>2</v>
      </c>
      <c r="C24" s="17" t="n"/>
      <c r="D24" s="17" t="n"/>
      <c r="E24" s="13" t="n"/>
      <c r="F24" s="13" t="n"/>
      <c r="G24" s="13" t="n"/>
      <c r="H24" s="13" t="n"/>
    </row>
    <row r="25" ht="30" customHeight="1">
      <c r="A25" s="16" t="n">
        <v>16</v>
      </c>
      <c r="B25" s="16" t="n">
        <v>2</v>
      </c>
      <c r="C25" s="17" t="n"/>
      <c r="D25" s="17" t="n"/>
      <c r="E25" s="13" t="n"/>
      <c r="F25" s="13" t="n"/>
      <c r="G25" s="13" t="n"/>
      <c r="H25" s="13" t="n"/>
    </row>
    <row r="26" ht="30" customHeight="1">
      <c r="A26" s="16" t="n">
        <v>17</v>
      </c>
      <c r="B26" s="16" t="n">
        <v>2</v>
      </c>
      <c r="C26" s="17" t="n"/>
      <c r="D26" s="17" t="n"/>
      <c r="E26" s="13" t="n"/>
      <c r="F26" s="13" t="n"/>
      <c r="G26" s="13" t="n"/>
      <c r="H26" s="13" t="n"/>
    </row>
    <row r="27" ht="30" customHeight="1">
      <c r="A27" s="16" t="n">
        <v>18</v>
      </c>
      <c r="B27" s="16" t="n">
        <v>2</v>
      </c>
      <c r="C27" s="17" t="n"/>
      <c r="D27" s="17" t="n"/>
      <c r="E27" s="13" t="n"/>
      <c r="F27" s="13" t="n"/>
      <c r="G27" s="13" t="n"/>
      <c r="H27" s="13" t="n"/>
    </row>
    <row r="28" ht="30" customHeight="1">
      <c r="A28" s="16" t="n">
        <v>19</v>
      </c>
      <c r="B28" s="16" t="n">
        <v>2</v>
      </c>
      <c r="C28" s="17" t="n"/>
      <c r="D28" s="17" t="n"/>
      <c r="E28" s="13" t="n"/>
      <c r="F28" s="13" t="n"/>
      <c r="G28" s="13" t="n"/>
      <c r="H28" s="13" t="n"/>
    </row>
    <row r="29" ht="30" customHeight="1">
      <c r="A29" s="16" t="n">
        <v>20</v>
      </c>
      <c r="B29" s="16" t="n">
        <v>2</v>
      </c>
      <c r="C29" s="17" t="n"/>
      <c r="D29" s="17" t="n"/>
      <c r="E29" s="13" t="n"/>
      <c r="F29" s="13" t="n"/>
      <c r="G29" s="13" t="n"/>
      <c r="H29" s="13" t="n"/>
    </row>
    <row r="30" ht="30" customHeight="1">
      <c r="A30" s="16" t="n">
        <v>21</v>
      </c>
      <c r="B30" s="16" t="n">
        <v>2</v>
      </c>
      <c r="C30" s="17" t="n"/>
      <c r="D30" s="17" t="n"/>
      <c r="E30" s="13" t="n"/>
      <c r="F30" s="13" t="n"/>
      <c r="G30" s="13" t="n"/>
      <c r="H30" s="13" t="n"/>
    </row>
    <row r="31" ht="30" customHeight="1">
      <c r="A31" s="16" t="n">
        <v>22</v>
      </c>
      <c r="B31" s="16" t="n">
        <v>2</v>
      </c>
      <c r="C31" s="17" t="n"/>
      <c r="D31" s="17" t="n"/>
      <c r="E31" s="13" t="n"/>
      <c r="F31" s="13" t="n"/>
      <c r="G31" s="13" t="n"/>
      <c r="H31" s="13" t="n"/>
    </row>
    <row r="32" ht="30" customHeight="1">
      <c r="A32" s="16" t="n">
        <v>23</v>
      </c>
      <c r="B32" s="16" t="n">
        <v>2</v>
      </c>
      <c r="C32" s="17" t="n"/>
      <c r="D32" s="17" t="n"/>
      <c r="E32" s="13" t="n"/>
      <c r="F32" s="13" t="n"/>
      <c r="G32" s="13" t="n"/>
      <c r="H32" s="13" t="n"/>
    </row>
    <row r="33" ht="30" customHeight="1">
      <c r="A33" s="16" t="n">
        <v>24</v>
      </c>
      <c r="B33" s="16" t="n">
        <v>2</v>
      </c>
      <c r="C33" s="17" t="n"/>
      <c r="D33" s="17" t="n"/>
      <c r="E33" s="13" t="n"/>
      <c r="F33" s="13" t="n"/>
      <c r="G33" s="13" t="n"/>
      <c r="H33" s="13" t="n"/>
    </row>
    <row r="34" ht="30" customHeight="1">
      <c r="A34" s="16" t="n">
        <v>25</v>
      </c>
      <c r="B34" s="16" t="n">
        <v>2</v>
      </c>
      <c r="C34" s="17" t="n"/>
      <c r="D34" s="17" t="n"/>
      <c r="E34" s="13" t="n"/>
      <c r="F34" s="13" t="n"/>
      <c r="G34" s="13" t="n"/>
      <c r="H34" s="13" t="n"/>
    </row>
    <row r="35" ht="30" customHeight="1">
      <c r="A35" s="16" t="n">
        <v>26</v>
      </c>
      <c r="B35" s="16" t="n">
        <v>2</v>
      </c>
      <c r="C35" s="17" t="n"/>
      <c r="D35" s="17" t="n"/>
      <c r="E35" s="13" t="n"/>
      <c r="F35" s="13" t="n"/>
      <c r="G35" s="13" t="n"/>
      <c r="H35" s="13" t="n"/>
    </row>
    <row r="36" ht="30" customHeight="1">
      <c r="A36" s="16" t="n">
        <v>27</v>
      </c>
      <c r="B36" s="16" t="n">
        <v>3</v>
      </c>
      <c r="C36" s="17" t="n"/>
      <c r="D36" s="17" t="n"/>
      <c r="E36" s="13" t="n"/>
      <c r="F36" s="13" t="n"/>
      <c r="G36" s="13" t="n"/>
      <c r="H36" s="13" t="n"/>
    </row>
    <row r="37" ht="30" customHeight="1">
      <c r="A37" s="16" t="n">
        <v>28</v>
      </c>
      <c r="B37" s="16" t="n">
        <v>3</v>
      </c>
      <c r="C37" s="17" t="n"/>
      <c r="D37" s="17" t="n"/>
      <c r="E37" s="13" t="n"/>
      <c r="F37" s="13" t="n"/>
      <c r="G37" s="13" t="n"/>
      <c r="H37" s="13" t="n"/>
    </row>
    <row r="38" ht="30" customHeight="1">
      <c r="A38" s="16" t="n">
        <v>29</v>
      </c>
      <c r="B38" s="16" t="n">
        <v>3</v>
      </c>
      <c r="C38" s="17" t="n"/>
      <c r="D38" s="17" t="n"/>
      <c r="E38" s="13" t="n"/>
      <c r="F38" s="13" t="n"/>
      <c r="G38" s="13" t="n"/>
      <c r="H38" s="13" t="n"/>
    </row>
    <row r="39" ht="30" customHeight="1">
      <c r="A39" s="16" t="n">
        <v>30</v>
      </c>
      <c r="B39" s="16" t="n">
        <v>3</v>
      </c>
      <c r="C39" s="17" t="n"/>
      <c r="D39" s="17" t="n"/>
      <c r="E39" s="13" t="n"/>
      <c r="F39" s="13" t="n"/>
      <c r="G39" s="13" t="n"/>
      <c r="H39" s="13" t="n"/>
    </row>
    <row r="40" ht="30" customHeight="1">
      <c r="A40" s="16" t="n">
        <v>31</v>
      </c>
      <c r="B40" s="16" t="n">
        <v>3</v>
      </c>
      <c r="C40" s="17" t="n"/>
      <c r="D40" s="17" t="n"/>
      <c r="E40" s="13" t="n"/>
      <c r="F40" s="13" t="n"/>
      <c r="G40" s="13" t="n"/>
      <c r="H40" s="13" t="n"/>
    </row>
    <row r="41" ht="30" customHeight="1">
      <c r="A41" s="16" t="n">
        <v>32</v>
      </c>
      <c r="B41" s="16" t="n">
        <v>3</v>
      </c>
      <c r="C41" s="17" t="n"/>
      <c r="D41" s="17" t="n"/>
      <c r="E41" s="13" t="n"/>
      <c r="F41" s="13" t="n"/>
      <c r="G41" s="13" t="n"/>
      <c r="H41" s="13" t="n"/>
    </row>
    <row r="42" ht="30" customHeight="1">
      <c r="A42" s="16" t="n">
        <v>33</v>
      </c>
      <c r="B42" s="16" t="n">
        <v>3</v>
      </c>
      <c r="C42" s="17" t="n"/>
      <c r="D42" s="17" t="n"/>
      <c r="E42" s="13" t="n"/>
      <c r="F42" s="13" t="n"/>
      <c r="G42" s="13" t="n"/>
      <c r="H42" s="13" t="n"/>
    </row>
    <row r="43" ht="30" customHeight="1">
      <c r="A43" s="16" t="n">
        <v>34</v>
      </c>
      <c r="B43" s="16" t="n">
        <v>3</v>
      </c>
      <c r="C43" s="17" t="n"/>
      <c r="D43" s="17" t="n"/>
      <c r="E43" s="13" t="n"/>
      <c r="F43" s="13" t="n"/>
      <c r="G43" s="13" t="n"/>
      <c r="H43" s="13" t="n"/>
    </row>
    <row r="44" ht="30" customHeight="1">
      <c r="A44" s="16" t="n">
        <v>35</v>
      </c>
      <c r="B44" s="16" t="n">
        <v>3</v>
      </c>
      <c r="C44" s="17" t="n"/>
      <c r="D44" s="17" t="n"/>
      <c r="E44" s="13" t="n"/>
      <c r="F44" s="13" t="n"/>
      <c r="G44" s="13" t="n"/>
      <c r="H44" s="13" t="n"/>
    </row>
    <row r="45" ht="30" customHeight="1">
      <c r="A45" s="16" t="n">
        <v>36</v>
      </c>
      <c r="B45" s="16" t="n">
        <v>3</v>
      </c>
      <c r="C45" s="17" t="n"/>
      <c r="D45" s="17" t="n"/>
      <c r="E45" s="13" t="n"/>
      <c r="F45" s="13" t="n"/>
      <c r="G45" s="13" t="n"/>
      <c r="H45" s="13" t="n"/>
    </row>
    <row r="46" ht="30" customHeight="1">
      <c r="A46" s="16" t="n">
        <v>37</v>
      </c>
      <c r="B46" s="16" t="n">
        <v>3</v>
      </c>
      <c r="C46" s="17" t="n"/>
      <c r="D46" s="17" t="n"/>
      <c r="E46" s="13" t="n"/>
      <c r="F46" s="13" t="n"/>
      <c r="G46" s="13" t="n"/>
      <c r="H46" s="13" t="n"/>
    </row>
    <row r="47" ht="30" customHeight="1">
      <c r="A47" s="16" t="n">
        <v>38</v>
      </c>
      <c r="B47" s="16" t="n">
        <v>3</v>
      </c>
      <c r="C47" s="17" t="n"/>
      <c r="D47" s="17" t="n"/>
      <c r="E47" s="13" t="n"/>
      <c r="F47" s="13" t="n"/>
      <c r="G47" s="13" t="n"/>
      <c r="H47" s="13" t="n"/>
    </row>
    <row r="48" ht="30" customHeight="1">
      <c r="A48" s="16" t="n">
        <v>39</v>
      </c>
      <c r="B48" s="16" t="n">
        <v>3</v>
      </c>
      <c r="C48" s="17" t="n"/>
      <c r="D48" s="17" t="n"/>
      <c r="E48" s="13" t="n"/>
      <c r="F48" s="13" t="n"/>
      <c r="G48" s="13" t="n"/>
      <c r="H48" s="13" t="n"/>
    </row>
    <row r="49" ht="30" customHeight="1">
      <c r="A49" s="16" t="n">
        <v>40</v>
      </c>
      <c r="B49" s="16" t="n">
        <v>3</v>
      </c>
      <c r="C49" s="17" t="n"/>
      <c r="D49" s="17" t="n"/>
      <c r="E49" s="13" t="n"/>
      <c r="F49" s="13" t="n"/>
      <c r="G49" s="13" t="n"/>
      <c r="H49" s="13" t="n"/>
    </row>
    <row r="51" ht="26" customHeight="1">
      <c r="A51" s="18" t="inlineStr">
        <is>
          <t>■ 何で間違えたのか（不正解の原因の割合）</t>
        </is>
      </c>
    </row>
    <row r="52">
      <c r="A52" s="11" t="inlineStr">
        <is>
          <t>大カテゴリー</t>
        </is>
      </c>
      <c r="B52" s="12" t="n"/>
      <c r="C52" s="12" t="n"/>
      <c r="D52" s="11" t="inlineStr">
        <is>
          <t>件数</t>
        </is>
      </c>
      <c r="E52" s="11" t="inlineStr">
        <is>
          <t>割合</t>
        </is>
      </c>
    </row>
    <row r="53">
      <c r="A53" s="19" t="inlineStr">
        <is>
          <t>語彙・文法理解の問題</t>
        </is>
      </c>
      <c r="B53" s="20" t="n"/>
      <c r="C53" s="20" t="n"/>
      <c r="D53" s="8">
        <f>COUNTIFS($D$10:$D$49,"不正解",$E$10:$E$49,A53)</f>
        <v/>
      </c>
      <c r="E53" s="21">
        <f>IF($D$58=0,"",D53/$D$58)</f>
        <v/>
      </c>
    </row>
    <row r="54">
      <c r="A54" s="19" t="inlineStr">
        <is>
          <t>情報検索・スキャニングの問題</t>
        </is>
      </c>
      <c r="B54" s="20" t="n"/>
      <c r="C54" s="20" t="n"/>
      <c r="D54" s="8">
        <f>COUNTIFS($D$10:$D$49,"不正解",$E$10:$E$49,A54)</f>
        <v/>
      </c>
      <c r="E54" s="21">
        <f>IF($D$58=0,"",D54/$D$58)</f>
        <v/>
      </c>
    </row>
    <row r="55">
      <c r="A55" s="19" t="inlineStr">
        <is>
          <t>論理的思考・推論の問題</t>
        </is>
      </c>
      <c r="B55" s="20" t="n"/>
      <c r="C55" s="20" t="n"/>
      <c r="D55" s="8">
        <f>COUNTIFS($D$10:$D$49,"不正解",$E$10:$E$49,A55)</f>
        <v/>
      </c>
      <c r="E55" s="21">
        <f>IF($D$58=0,"",D55/$D$58)</f>
        <v/>
      </c>
    </row>
    <row r="56">
      <c r="A56" s="19" t="inlineStr">
        <is>
          <t>注意力・正確性の問題</t>
        </is>
      </c>
      <c r="B56" s="20" t="n"/>
      <c r="C56" s="20" t="n"/>
      <c r="D56" s="8">
        <f>COUNTIFS($D$10:$D$49,"不正解",$E$10:$E$49,A56)</f>
        <v/>
      </c>
      <c r="E56" s="21">
        <f>IF($D$58=0,"",D56/$D$58)</f>
        <v/>
      </c>
    </row>
    <row r="57">
      <c r="A57" s="19" t="inlineStr">
        <is>
          <t>（カテゴリー未入力）</t>
        </is>
      </c>
      <c r="B57" s="20" t="n"/>
      <c r="C57" s="20" t="n"/>
      <c r="D57" s="8">
        <f>COUNTIFS($D$10:$D$49,"不正解",$E$10:$E$49,"")</f>
        <v/>
      </c>
      <c r="E57" s="21">
        <f>IF($D$58=0,"",D57/$D$58)</f>
        <v/>
      </c>
    </row>
    <row r="58">
      <c r="A58" s="22" t="inlineStr">
        <is>
          <t>合計（不正解数）</t>
        </is>
      </c>
      <c r="B58" s="23" t="n"/>
      <c r="C58" s="23" t="n"/>
      <c r="D58" s="24">
        <f>SUM(D53:D57)</f>
        <v/>
      </c>
      <c r="E58" s="25">
        <f>IF($D$58=0,"",D58/$D$58)</f>
        <v/>
      </c>
    </row>
    <row r="70">
      <c r="A70" s="11" t="inlineStr">
        <is>
          <t>詳細理由</t>
        </is>
      </c>
      <c r="B70" s="12" t="n"/>
      <c r="C70" s="12" t="n"/>
      <c r="D70" s="11" t="inlineStr">
        <is>
          <t>件数</t>
        </is>
      </c>
      <c r="E70" s="11" t="inlineStr">
        <is>
          <t>割合</t>
        </is>
      </c>
      <c r="F70" s="11" t="inlineStr">
        <is>
          <t>カテゴリー</t>
        </is>
      </c>
    </row>
    <row r="71">
      <c r="A71" s="19" t="inlineStr">
        <is>
          <t>単語の意味が分からなかった</t>
        </is>
      </c>
      <c r="B71" s="20" t="n"/>
      <c r="C71" s="20" t="n"/>
      <c r="D71" s="8">
        <f>COUNTIFS($D$10:$D$49,"不正解",$F$10:$F$49,A71)</f>
        <v/>
      </c>
      <c r="E71" s="21">
        <f>IF($D$58=0,"",D71/$D$58)</f>
        <v/>
      </c>
      <c r="F71" s="26" t="inlineStr">
        <is>
          <t>語彙・文法理解の問題</t>
        </is>
      </c>
    </row>
    <row r="72">
      <c r="A72" s="19" t="inlineStr">
        <is>
          <t>多義語の誤認識</t>
        </is>
      </c>
      <c r="B72" s="20" t="n"/>
      <c r="C72" s="20" t="n"/>
      <c r="D72" s="8">
        <f>COUNTIFS($D$10:$D$49,"不正解",$F$10:$F$49,A72)</f>
        <v/>
      </c>
      <c r="E72" s="21">
        <f>IF($D$58=0,"",D72/$D$58)</f>
        <v/>
      </c>
      <c r="F72" s="26" t="inlineStr">
        <is>
          <t>語彙・文法理解の問題</t>
        </is>
      </c>
    </row>
    <row r="73">
      <c r="A73" s="19" t="inlineStr">
        <is>
          <t>同義語・言い換え表現に気づけなかった</t>
        </is>
      </c>
      <c r="B73" s="20" t="n"/>
      <c r="C73" s="20" t="n"/>
      <c r="D73" s="8">
        <f>COUNTIFS($D$10:$D$49,"不正解",$F$10:$F$49,A73)</f>
        <v/>
      </c>
      <c r="E73" s="21">
        <f>IF($D$58=0,"",D73/$D$58)</f>
        <v/>
      </c>
      <c r="F73" s="26" t="inlineStr">
        <is>
          <t>語彙・文法理解の問題</t>
        </is>
      </c>
    </row>
    <row r="74">
      <c r="A74" s="19" t="inlineStr">
        <is>
          <t>文法構造が複雑で理解できなかった</t>
        </is>
      </c>
      <c r="B74" s="20" t="n"/>
      <c r="C74" s="20" t="n"/>
      <c r="D74" s="8">
        <f>COUNTIFS($D$10:$D$49,"不正解",$F$10:$F$49,A74)</f>
        <v/>
      </c>
      <c r="E74" s="21">
        <f>IF($D$58=0,"",D74/$D$58)</f>
        <v/>
      </c>
      <c r="F74" s="26" t="inlineStr">
        <is>
          <t>語彙・文法理解の問題</t>
        </is>
      </c>
    </row>
    <row r="75">
      <c r="A75" s="19" t="inlineStr">
        <is>
          <t>代名詞・指示語の指す内容を誤解</t>
        </is>
      </c>
      <c r="B75" s="20" t="n"/>
      <c r="C75" s="20" t="n"/>
      <c r="D75" s="8">
        <f>COUNTIFS($D$10:$D$49,"不正解",$F$10:$F$49,A75)</f>
        <v/>
      </c>
      <c r="E75" s="21">
        <f>IF($D$58=0,"",D75/$D$58)</f>
        <v/>
      </c>
      <c r="F75" s="26" t="inlineStr">
        <is>
          <t>語彙・文法理解の問題</t>
        </is>
      </c>
    </row>
    <row r="76">
      <c r="A76" s="19" t="inlineStr">
        <is>
          <t>接続詞・ディスコースマーカーの見落とし</t>
        </is>
      </c>
      <c r="B76" s="20" t="n"/>
      <c r="C76" s="20" t="n"/>
      <c r="D76" s="8">
        <f>COUNTIFS($D$10:$D$49,"不正解",$F$10:$F$49,A76)</f>
        <v/>
      </c>
      <c r="E76" s="21">
        <f>IF($D$58=0,"",D76/$D$58)</f>
        <v/>
      </c>
      <c r="F76" s="26" t="inlineStr">
        <is>
          <t>語彙・文法理解の問題</t>
        </is>
      </c>
    </row>
    <row r="77">
      <c r="A77" s="19" t="inlineStr">
        <is>
          <t>該当箇所を見つけられなかった</t>
        </is>
      </c>
      <c r="B77" s="20" t="n"/>
      <c r="C77" s="20" t="n"/>
      <c r="D77" s="8">
        <f>COUNTIFS($D$10:$D$49,"不正解",$F$10:$F$49,A77)</f>
        <v/>
      </c>
      <c r="E77" s="21">
        <f>IF($D$58=0,"",D77/$D$58)</f>
        <v/>
      </c>
      <c r="F77" s="26" t="inlineStr">
        <is>
          <t>情報検索・スキャニングの問題</t>
        </is>
      </c>
    </row>
    <row r="78">
      <c r="A78" s="19" t="inlineStr">
        <is>
          <t>キーワードのパラフレーズに気づけず探せなかった</t>
        </is>
      </c>
      <c r="B78" s="20" t="n"/>
      <c r="C78" s="20" t="n"/>
      <c r="D78" s="8">
        <f>COUNTIFS($D$10:$D$49,"不正解",$F$10:$F$49,A78)</f>
        <v/>
      </c>
      <c r="E78" s="21">
        <f>IF($D$58=0,"",D78/$D$58)</f>
        <v/>
      </c>
      <c r="F78" s="26" t="inlineStr">
        <is>
          <t>情報検索・スキャニングの問題</t>
        </is>
      </c>
    </row>
    <row r="79">
      <c r="A79" s="19" t="inlineStr">
        <is>
          <t>似た情報と混同した</t>
        </is>
      </c>
      <c r="B79" s="20" t="n"/>
      <c r="C79" s="20" t="n"/>
      <c r="D79" s="8">
        <f>COUNTIFS($D$10:$D$49,"不正解",$F$10:$F$49,A79)</f>
        <v/>
      </c>
      <c r="E79" s="21">
        <f>IF($D$58=0,"",D79/$D$58)</f>
        <v/>
      </c>
      <c r="F79" s="26" t="inlineStr">
        <is>
          <t>情報検索・スキャニングの問題</t>
        </is>
      </c>
    </row>
    <row r="80">
      <c r="A80" s="19" t="inlineStr">
        <is>
          <t>時間が足りず該当部分まで到達できなかった</t>
        </is>
      </c>
      <c r="B80" s="20" t="n"/>
      <c r="C80" s="20" t="n"/>
      <c r="D80" s="8">
        <f>COUNTIFS($D$10:$D$49,"不正解",$F$10:$F$49,A80)</f>
        <v/>
      </c>
      <c r="E80" s="21">
        <f>IF($D$58=0,"",D80/$D$58)</f>
        <v/>
      </c>
      <c r="F80" s="26" t="inlineStr">
        <is>
          <t>情報検索・スキャニングの問題</t>
        </is>
      </c>
    </row>
    <row r="81">
      <c r="A81" s="19" t="inlineStr">
        <is>
          <t>複数パラグラフにまたがる情報を統合できなかった</t>
        </is>
      </c>
      <c r="B81" s="20" t="n"/>
      <c r="C81" s="20" t="n"/>
      <c r="D81" s="8">
        <f>COUNTIFS($D$10:$D$49,"不正解",$F$10:$F$49,A81)</f>
        <v/>
      </c>
      <c r="E81" s="21">
        <f>IF($D$58=0,"",D81/$D$58)</f>
        <v/>
      </c>
      <c r="F81" s="26" t="inlineStr">
        <is>
          <t>情報検索・スキャニングの問題</t>
        </is>
      </c>
    </row>
    <row r="82">
      <c r="A82" s="19" t="inlineStr">
        <is>
          <t>因果関係の読み取りミス</t>
        </is>
      </c>
      <c r="B82" s="20" t="n"/>
      <c r="C82" s="20" t="n"/>
      <c r="D82" s="8">
        <f>COUNTIFS($D$10:$D$49,"不正解",$F$10:$F$49,A82)</f>
        <v/>
      </c>
      <c r="E82" s="21">
        <f>IF($D$58=0,"",D82/$D$58)</f>
        <v/>
      </c>
      <c r="F82" s="26" t="inlineStr">
        <is>
          <t>論理的思考・推論の問題</t>
        </is>
      </c>
    </row>
    <row r="83">
      <c r="A83" s="19" t="inlineStr">
        <is>
          <t>比較表現の理解不足</t>
        </is>
      </c>
      <c r="B83" s="20" t="n"/>
      <c r="C83" s="20" t="n"/>
      <c r="D83" s="8">
        <f>COUNTIFS($D$10:$D$49,"不正解",$F$10:$F$49,A83)</f>
        <v/>
      </c>
      <c r="E83" s="21">
        <f>IF($D$58=0,"",D83/$D$58)</f>
        <v/>
      </c>
      <c r="F83" s="26" t="inlineStr">
        <is>
          <t>論理的思考・推論の問題</t>
        </is>
      </c>
    </row>
    <row r="84">
      <c r="A84" s="19" t="inlineStr">
        <is>
          <t>筆者の主張と例示の区別ができなかった</t>
        </is>
      </c>
      <c r="B84" s="20" t="n"/>
      <c r="C84" s="20" t="n"/>
      <c r="D84" s="8">
        <f>COUNTIFS($D$10:$D$49,"不正解",$F$10:$F$49,A84)</f>
        <v/>
      </c>
      <c r="E84" s="21">
        <f>IF($D$58=0,"",D84/$D$58)</f>
        <v/>
      </c>
      <c r="F84" s="26" t="inlineStr">
        <is>
          <t>論理的思考・推論の問題</t>
        </is>
      </c>
    </row>
    <row r="85">
      <c r="A85" s="19" t="inlineStr">
        <is>
          <t>NOT GIVEN判定の誤り</t>
        </is>
      </c>
      <c r="B85" s="20" t="n"/>
      <c r="C85" s="20" t="n"/>
      <c r="D85" s="8">
        <f>COUNTIFS($D$10:$D$49,"不正解",$F$10:$F$49,A85)</f>
        <v/>
      </c>
      <c r="E85" s="21">
        <f>IF($D$58=0,"",D85/$D$58)</f>
        <v/>
      </c>
      <c r="F85" s="26" t="inlineStr">
        <is>
          <t>論理的思考・推論の問題</t>
        </is>
      </c>
    </row>
    <row r="86">
      <c r="A86" s="19" t="inlineStr">
        <is>
          <t>否定表現の見落とし</t>
        </is>
      </c>
      <c r="B86" s="20" t="n"/>
      <c r="C86" s="20" t="n"/>
      <c r="D86" s="8">
        <f>COUNTIFS($D$10:$D$49,"不正解",$F$10:$F$49,A86)</f>
        <v/>
      </c>
      <c r="E86" s="21">
        <f>IF($D$58=0,"",D86/$D$58)</f>
        <v/>
      </c>
      <c r="F86" s="26" t="inlineStr">
        <is>
          <t>論理的思考・推論の問題</t>
        </is>
      </c>
    </row>
    <row r="87">
      <c r="A87" s="19" t="inlineStr">
        <is>
          <t>限定表現の見落とし</t>
        </is>
      </c>
      <c r="B87" s="20" t="n"/>
      <c r="C87" s="20" t="n"/>
      <c r="D87" s="8">
        <f>COUNTIFS($D$10:$D$49,"不正解",$F$10:$F$49,A87)</f>
        <v/>
      </c>
      <c r="E87" s="21">
        <f>IF($D$58=0,"",D87/$D$58)</f>
        <v/>
      </c>
      <c r="F87" s="26" t="inlineStr">
        <is>
          <t>論理的思考・推論の問題</t>
        </is>
      </c>
    </row>
    <row r="88">
      <c r="A88" s="19" t="inlineStr">
        <is>
          <t>設問の指示を読み間違えた</t>
        </is>
      </c>
      <c r="B88" s="20" t="n"/>
      <c r="C88" s="20" t="n"/>
      <c r="D88" s="8">
        <f>COUNTIFS($D$10:$D$49,"不正解",$F$10:$F$49,A88)</f>
        <v/>
      </c>
      <c r="E88" s="21">
        <f>IF($D$58=0,"",D88/$D$58)</f>
        <v/>
      </c>
      <c r="F88" s="26" t="inlineStr">
        <is>
          <t>注意力・正確性の問題</t>
        </is>
      </c>
    </row>
    <row r="89">
      <c r="A89" s="19" t="inlineStr">
        <is>
          <t>答えを書き写す際のスペルミス</t>
        </is>
      </c>
      <c r="B89" s="20" t="n"/>
      <c r="C89" s="20" t="n"/>
      <c r="D89" s="8">
        <f>COUNTIFS($D$10:$D$49,"不正解",$F$10:$F$49,A89)</f>
        <v/>
      </c>
      <c r="E89" s="21">
        <f>IF($D$58=0,"",D89/$D$58)</f>
        <v/>
      </c>
      <c r="F89" s="26" t="inlineStr">
        <is>
          <t>注意力・正確性の問題</t>
        </is>
      </c>
    </row>
    <row r="90">
      <c r="A90" s="19" t="inlineStr">
        <is>
          <t>単数形・複数形の間違い</t>
        </is>
      </c>
      <c r="B90" s="20" t="n"/>
      <c r="C90" s="20" t="n"/>
      <c r="D90" s="8">
        <f>COUNTIFS($D$10:$D$49,"不正解",$F$10:$F$49,A90)</f>
        <v/>
      </c>
      <c r="E90" s="21">
        <f>IF($D$58=0,"",D90/$D$58)</f>
        <v/>
      </c>
      <c r="F90" s="26" t="inlineStr">
        <is>
          <t>注意力・正確性の問題</t>
        </is>
      </c>
    </row>
    <row r="91">
      <c r="A91" s="19" t="inlineStr">
        <is>
          <t>大文字・小文字の間違い</t>
        </is>
      </c>
      <c r="B91" s="20" t="n"/>
      <c r="C91" s="20" t="n"/>
      <c r="D91" s="8">
        <f>COUNTIFS($D$10:$D$49,"不正解",$F$10:$F$49,A91)</f>
        <v/>
      </c>
      <c r="E91" s="21">
        <f>IF($D$58=0,"",D91/$D$58)</f>
        <v/>
      </c>
      <c r="F91" s="26" t="inlineStr">
        <is>
          <t>注意力・正確性の問題</t>
        </is>
      </c>
    </row>
    <row r="92">
      <c r="A92" s="19" t="inlineStr">
        <is>
          <t>ハイフン・スペースの有無の間違い</t>
        </is>
      </c>
      <c r="B92" s="20" t="n"/>
      <c r="C92" s="20" t="n"/>
      <c r="D92" s="8">
        <f>COUNTIFS($D$10:$D$49,"不正解",$F$10:$F$49,A92)</f>
        <v/>
      </c>
      <c r="E92" s="21">
        <f>IF($D$58=0,"",D92/$D$58)</f>
        <v/>
      </c>
      <c r="F92" s="26" t="inlineStr">
        <is>
          <t>注意力・正確性の問題</t>
        </is>
      </c>
    </row>
    <row r="93">
      <c r="A93" s="19" t="inlineStr">
        <is>
          <t>解答欄のずれ</t>
        </is>
      </c>
      <c r="B93" s="20" t="n"/>
      <c r="C93" s="20" t="n"/>
      <c r="D93" s="8">
        <f>COUNTIFS($D$10:$D$49,"不正解",$F$10:$F$49,A93)</f>
        <v/>
      </c>
      <c r="E93" s="21">
        <f>IF($D$58=0,"",D93/$D$58)</f>
        <v/>
      </c>
      <c r="F93" s="26" t="inlineStr">
        <is>
          <t>注意力・正確性の問題</t>
        </is>
      </c>
    </row>
    <row r="94">
      <c r="A94" s="19" t="inlineStr">
        <is>
          <t>時間切れで未解答</t>
        </is>
      </c>
      <c r="B94" s="20" t="n"/>
      <c r="C94" s="20" t="n"/>
      <c r="D94" s="8">
        <f>COUNTIFS($D$10:$D$49,"不正解",$F$10:$F$49,A94)</f>
        <v/>
      </c>
      <c r="E94" s="21">
        <f>IF($D$58=0,"",D94/$D$58)</f>
        <v/>
      </c>
      <c r="F94" s="26" t="inlineStr">
        <is>
          <t>注意力・正確性の問題</t>
        </is>
      </c>
    </row>
    <row r="95">
      <c r="A95" s="10" t="inlineStr">
        <is>
          <t>※ 最も多い詳細理由は赤字で表示されます。</t>
        </is>
      </c>
    </row>
    <row r="97" ht="26" customHeight="1">
      <c r="A97" s="18" t="inlineStr">
        <is>
          <t>■ 振り返りと今後の対策</t>
        </is>
      </c>
    </row>
    <row r="98">
      <c r="A98" s="27" t="inlineStr">
        <is>
          <t>間違えた傾向（自分で書いてみよう）</t>
        </is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28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5">
      <c r="A105" s="27" t="inlineStr">
        <is>
          <t>解決するために、これから対策すること</t>
        </is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28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2">
      <c r="A112" s="27" t="inlineStr">
        <is>
          <t>今後、問題を解くときに意識すること</t>
        </is>
      </c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28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8" ht="24" customHeight="1">
      <c r="A118" s="11" t="inlineStr">
        <is>
          <t>次回の問題を解く日</t>
        </is>
      </c>
      <c r="B118" s="12" t="n"/>
      <c r="C118" s="29" t="n"/>
      <c r="D118" s="12" t="n"/>
      <c r="E118" s="11" t="inlineStr">
        <is>
          <t>次回解く予定の問題</t>
        </is>
      </c>
      <c r="F118" s="12" t="n"/>
      <c r="G118" s="13" t="n"/>
      <c r="H118" s="12" t="n"/>
    </row>
  </sheetData>
  <mergeCells count="55">
    <mergeCell ref="A90:C90"/>
    <mergeCell ref="C6:D6"/>
    <mergeCell ref="A80:C80"/>
    <mergeCell ref="A75:C75"/>
    <mergeCell ref="A84:C84"/>
    <mergeCell ref="A89:C89"/>
    <mergeCell ref="A51:H51"/>
    <mergeCell ref="C5:D5"/>
    <mergeCell ref="A74:C74"/>
    <mergeCell ref="A56:C56"/>
    <mergeCell ref="A98:H98"/>
    <mergeCell ref="A1:H1"/>
    <mergeCell ref="A55:C55"/>
    <mergeCell ref="A57:C57"/>
    <mergeCell ref="A6:B6"/>
    <mergeCell ref="A86:C86"/>
    <mergeCell ref="C4:D4"/>
    <mergeCell ref="A76:C76"/>
    <mergeCell ref="A71:C71"/>
    <mergeCell ref="A113:H116"/>
    <mergeCell ref="A7:B7"/>
    <mergeCell ref="A85:C85"/>
    <mergeCell ref="A53:C53"/>
    <mergeCell ref="A91:C91"/>
    <mergeCell ref="A118:B118"/>
    <mergeCell ref="C118:D118"/>
    <mergeCell ref="A81:C81"/>
    <mergeCell ref="E118:F118"/>
    <mergeCell ref="A72:C72"/>
    <mergeCell ref="A52:C52"/>
    <mergeCell ref="G118:H118"/>
    <mergeCell ref="A105:H105"/>
    <mergeCell ref="A93:C93"/>
    <mergeCell ref="A95:H95"/>
    <mergeCell ref="A2:H2"/>
    <mergeCell ref="A99:H103"/>
    <mergeCell ref="A58:C58"/>
    <mergeCell ref="A5:B5"/>
    <mergeCell ref="A92:C92"/>
    <mergeCell ref="A77:C77"/>
    <mergeCell ref="A83:C83"/>
    <mergeCell ref="A73:C73"/>
    <mergeCell ref="A97:H97"/>
    <mergeCell ref="A4:B4"/>
    <mergeCell ref="A82:C82"/>
    <mergeCell ref="C7:D7"/>
    <mergeCell ref="A94:C94"/>
    <mergeCell ref="A79:C79"/>
    <mergeCell ref="A88:C88"/>
    <mergeCell ref="A70:C70"/>
    <mergeCell ref="A112:H112"/>
    <mergeCell ref="A78:C78"/>
    <mergeCell ref="A87:C87"/>
    <mergeCell ref="A54:C54"/>
    <mergeCell ref="A106:H110"/>
  </mergeCells>
  <conditionalFormatting sqref="A10:H49">
    <cfRule type="expression" priority="1" dxfId="0">
      <formula>$D10="不正解"</formula>
    </cfRule>
    <cfRule type="expression" priority="2" dxfId="1">
      <formula>$D10="正解"</formula>
    </cfRule>
  </conditionalFormatting>
  <conditionalFormatting sqref="D53:D57">
    <cfRule type="dataBar" priority="3">
      <dataBar>
        <cfvo type="num" val="0"/>
        <cfvo type="max"/>
        <color rgb="004472C4"/>
      </dataBar>
    </cfRule>
  </conditionalFormatting>
  <conditionalFormatting sqref="D71:D94">
    <cfRule type="dataBar" priority="4">
      <dataBar>
        <cfvo type="num" val="0"/>
        <cfvo type="max"/>
        <color rgb="00ED7D31"/>
      </dataBar>
    </cfRule>
  </conditionalFormatting>
  <conditionalFormatting sqref="A71:E94">
    <cfRule type="expression" priority="5" dxfId="2">
      <formula>AND($D71&gt;0,$D71=MAX($D$71:$D$94))</formula>
    </cfRule>
  </conditionalFormatting>
  <dataValidations count="4">
    <dataValidation sqref="C10:C49" showDropDown="0" showInputMessage="0" showErrorMessage="0" allowBlank="1" type="list">
      <formula1>=選択肢マスタ!$C$4:$C$15</formula1>
    </dataValidation>
    <dataValidation sqref="D10:D49" showDropDown="0" showInputMessage="0" showErrorMessage="0" allowBlank="1" type="list">
      <formula1>=選択肢マスタ!$D$4:$D$5</formula1>
    </dataValidation>
    <dataValidation sqref="E10:E49" showDropDown="0" showInputMessage="0" showErrorMessage="0" allowBlank="1" type="list">
      <formula1>=選択肢マスタ!$A$4:$A$7</formula1>
    </dataValidation>
    <dataValidation sqref="F10:F49" showDropDown="0" showInputMessage="0" showErrorMessage="0" allowBlank="1" type="list">
      <formula1>=選択肢マスタ!$B$4:$B$27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1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2" customWidth="1" min="4" max="4"/>
    <col width="28" customWidth="1" min="5" max="5"/>
    <col width="38" customWidth="1" min="6" max="6"/>
    <col width="42" customWidth="1" min="7" max="7"/>
    <col width="42" customWidth="1" min="8" max="8"/>
  </cols>
  <sheetData>
    <row r="1" ht="32" customHeight="1">
      <c r="A1" s="1" t="inlineStr">
        <is>
          <t>IELTSリーディング 間違い分析シート（テスト5）</t>
        </is>
      </c>
    </row>
    <row r="2">
      <c r="A2" s="2" t="inlineStr">
        <is>
          <t>使い方：黄色のセルに入力 → 正解/不正解・大カテゴリー・詳細理由はプルダウンで選択。集計と円グラフは自動で更新されます。</t>
        </is>
      </c>
    </row>
    <row r="4">
      <c r="A4" s="11" t="inlineStr">
        <is>
          <t>テスト名</t>
        </is>
      </c>
      <c r="B4" s="12" t="n"/>
      <c r="C4" s="13" t="n"/>
      <c r="D4" s="12" t="n"/>
      <c r="F4" s="11" t="inlineStr">
        <is>
          <t>正解数</t>
        </is>
      </c>
      <c r="G4" s="14">
        <f>COUNTIF(D10:D49,"正解")&amp;" / 40"</f>
        <v/>
      </c>
    </row>
    <row r="5">
      <c r="A5" s="11" t="inlineStr">
        <is>
          <t>解いた日</t>
        </is>
      </c>
      <c r="B5" s="12" t="n"/>
      <c r="C5" s="15" t="n"/>
      <c r="D5" s="12" t="n"/>
      <c r="F5" s="11" t="inlineStr">
        <is>
          <t>バンド目安（Academic）</t>
        </is>
      </c>
      <c r="G5" s="14">
        <f>IF(COUNTA(D10:D49)=0,"",LOOKUP(COUNTIF(D10:D49,"正解"),選択肢マスタ!$E$4:$E$15,選択肢マスタ!$F$4:$F$15))</f>
        <v/>
      </c>
    </row>
    <row r="6">
      <c r="A6" s="11" t="inlineStr">
        <is>
          <t>分析日</t>
        </is>
      </c>
      <c r="B6" s="12" t="n"/>
      <c r="C6" s="15" t="n"/>
      <c r="D6" s="12" t="n"/>
      <c r="F6" s="11" t="inlineStr">
        <is>
          <t>Passage別 正解数</t>
        </is>
      </c>
      <c r="G6" s="14">
        <f>"P1: "&amp;COUNTIFS(B10:B49,1,D10:D49,"正解")&amp;"/13   P2: "&amp;COUNTIFS(B10:B49,2,D10:D49,"正解")&amp;"/13   P3: "&amp;COUNTIFS(B10:B49,3,D10:D49,"正解")&amp;"/14"</f>
        <v/>
      </c>
    </row>
    <row r="7">
      <c r="A7" s="11" t="inlineStr">
        <is>
          <t>解答時間（分）</t>
        </is>
      </c>
      <c r="B7" s="12" t="n"/>
      <c r="C7" s="13" t="n"/>
      <c r="D7" s="12" t="n"/>
      <c r="F7" s="11" t="inlineStr">
        <is>
          <t>不正解数</t>
        </is>
      </c>
      <c r="G7" s="14">
        <f>COUNTIF(D10:D49,"不正解")</f>
        <v/>
      </c>
    </row>
    <row r="9" ht="28" customHeight="1">
      <c r="A9" s="3" t="inlineStr">
        <is>
          <t>問題番号</t>
        </is>
      </c>
      <c r="B9" s="3" t="inlineStr">
        <is>
          <t>Passage</t>
        </is>
      </c>
      <c r="C9" s="3" t="inlineStr">
        <is>
          <t>設問タイプ</t>
        </is>
      </c>
      <c r="D9" s="3" t="inlineStr">
        <is>
          <t>正解/不正解</t>
        </is>
      </c>
      <c r="E9" s="3" t="inlineStr">
        <is>
          <t>大カテゴリー</t>
        </is>
      </c>
      <c r="F9" s="3" t="inlineStr">
        <is>
          <t>詳細理由</t>
        </is>
      </c>
      <c r="G9" s="3" t="inlineStr">
        <is>
          <t>具体的に間違いが起きた箇所</t>
        </is>
      </c>
      <c r="H9" s="3" t="inlineStr">
        <is>
          <t>同じミスを繰り返さないために</t>
        </is>
      </c>
    </row>
    <row r="10" ht="30" customHeight="1">
      <c r="A10" s="16" t="n">
        <v>1</v>
      </c>
      <c r="B10" s="16" t="n">
        <v>1</v>
      </c>
      <c r="C10" s="17" t="n"/>
      <c r="D10" s="17" t="n"/>
      <c r="E10" s="13" t="n"/>
      <c r="F10" s="13" t="n"/>
      <c r="G10" s="13" t="n"/>
      <c r="H10" s="13" t="n"/>
    </row>
    <row r="11" ht="30" customHeight="1">
      <c r="A11" s="16" t="n">
        <v>2</v>
      </c>
      <c r="B11" s="16" t="n">
        <v>1</v>
      </c>
      <c r="C11" s="17" t="n"/>
      <c r="D11" s="17" t="n"/>
      <c r="E11" s="13" t="n"/>
      <c r="F11" s="13" t="n"/>
      <c r="G11" s="13" t="n"/>
      <c r="H11" s="13" t="n"/>
    </row>
    <row r="12" ht="30" customHeight="1">
      <c r="A12" s="16" t="n">
        <v>3</v>
      </c>
      <c r="B12" s="16" t="n">
        <v>1</v>
      </c>
      <c r="C12" s="17" t="n"/>
      <c r="D12" s="17" t="n"/>
      <c r="E12" s="13" t="n"/>
      <c r="F12" s="13" t="n"/>
      <c r="G12" s="13" t="n"/>
      <c r="H12" s="13" t="n"/>
    </row>
    <row r="13" ht="30" customHeight="1">
      <c r="A13" s="16" t="n">
        <v>4</v>
      </c>
      <c r="B13" s="16" t="n">
        <v>1</v>
      </c>
      <c r="C13" s="17" t="n"/>
      <c r="D13" s="17" t="n"/>
      <c r="E13" s="13" t="n"/>
      <c r="F13" s="13" t="n"/>
      <c r="G13" s="13" t="n"/>
      <c r="H13" s="13" t="n"/>
    </row>
    <row r="14" ht="30" customHeight="1">
      <c r="A14" s="16" t="n">
        <v>5</v>
      </c>
      <c r="B14" s="16" t="n">
        <v>1</v>
      </c>
      <c r="C14" s="17" t="n"/>
      <c r="D14" s="17" t="n"/>
      <c r="E14" s="13" t="n"/>
      <c r="F14" s="13" t="n"/>
      <c r="G14" s="13" t="n"/>
      <c r="H14" s="13" t="n"/>
    </row>
    <row r="15" ht="30" customHeight="1">
      <c r="A15" s="16" t="n">
        <v>6</v>
      </c>
      <c r="B15" s="16" t="n">
        <v>1</v>
      </c>
      <c r="C15" s="17" t="n"/>
      <c r="D15" s="17" t="n"/>
      <c r="E15" s="13" t="n"/>
      <c r="F15" s="13" t="n"/>
      <c r="G15" s="13" t="n"/>
      <c r="H15" s="13" t="n"/>
    </row>
    <row r="16" ht="30" customHeight="1">
      <c r="A16" s="16" t="n">
        <v>7</v>
      </c>
      <c r="B16" s="16" t="n">
        <v>1</v>
      </c>
      <c r="C16" s="17" t="n"/>
      <c r="D16" s="17" t="n"/>
      <c r="E16" s="13" t="n"/>
      <c r="F16" s="13" t="n"/>
      <c r="G16" s="13" t="n"/>
      <c r="H16" s="13" t="n"/>
    </row>
    <row r="17" ht="30" customHeight="1">
      <c r="A17" s="16" t="n">
        <v>8</v>
      </c>
      <c r="B17" s="16" t="n">
        <v>1</v>
      </c>
      <c r="C17" s="17" t="n"/>
      <c r="D17" s="17" t="n"/>
      <c r="E17" s="13" t="n"/>
      <c r="F17" s="13" t="n"/>
      <c r="G17" s="13" t="n"/>
      <c r="H17" s="13" t="n"/>
    </row>
    <row r="18" ht="30" customHeight="1">
      <c r="A18" s="16" t="n">
        <v>9</v>
      </c>
      <c r="B18" s="16" t="n">
        <v>1</v>
      </c>
      <c r="C18" s="17" t="n"/>
      <c r="D18" s="17" t="n"/>
      <c r="E18" s="13" t="n"/>
      <c r="F18" s="13" t="n"/>
      <c r="G18" s="13" t="n"/>
      <c r="H18" s="13" t="n"/>
    </row>
    <row r="19" ht="30" customHeight="1">
      <c r="A19" s="16" t="n">
        <v>10</v>
      </c>
      <c r="B19" s="16" t="n">
        <v>1</v>
      </c>
      <c r="C19" s="17" t="n"/>
      <c r="D19" s="17" t="n"/>
      <c r="E19" s="13" t="n"/>
      <c r="F19" s="13" t="n"/>
      <c r="G19" s="13" t="n"/>
      <c r="H19" s="13" t="n"/>
    </row>
    <row r="20" ht="30" customHeight="1">
      <c r="A20" s="16" t="n">
        <v>11</v>
      </c>
      <c r="B20" s="16" t="n">
        <v>1</v>
      </c>
      <c r="C20" s="17" t="n"/>
      <c r="D20" s="17" t="n"/>
      <c r="E20" s="13" t="n"/>
      <c r="F20" s="13" t="n"/>
      <c r="G20" s="13" t="n"/>
      <c r="H20" s="13" t="n"/>
    </row>
    <row r="21" ht="30" customHeight="1">
      <c r="A21" s="16" t="n">
        <v>12</v>
      </c>
      <c r="B21" s="16" t="n">
        <v>1</v>
      </c>
      <c r="C21" s="17" t="n"/>
      <c r="D21" s="17" t="n"/>
      <c r="E21" s="13" t="n"/>
      <c r="F21" s="13" t="n"/>
      <c r="G21" s="13" t="n"/>
      <c r="H21" s="13" t="n"/>
    </row>
    <row r="22" ht="30" customHeight="1">
      <c r="A22" s="16" t="n">
        <v>13</v>
      </c>
      <c r="B22" s="16" t="n">
        <v>1</v>
      </c>
      <c r="C22" s="17" t="n"/>
      <c r="D22" s="17" t="n"/>
      <c r="E22" s="13" t="n"/>
      <c r="F22" s="13" t="n"/>
      <c r="G22" s="13" t="n"/>
      <c r="H22" s="13" t="n"/>
    </row>
    <row r="23" ht="30" customHeight="1">
      <c r="A23" s="16" t="n">
        <v>14</v>
      </c>
      <c r="B23" s="16" t="n">
        <v>2</v>
      </c>
      <c r="C23" s="17" t="n"/>
      <c r="D23" s="17" t="n"/>
      <c r="E23" s="13" t="n"/>
      <c r="F23" s="13" t="n"/>
      <c r="G23" s="13" t="n"/>
      <c r="H23" s="13" t="n"/>
    </row>
    <row r="24" ht="30" customHeight="1">
      <c r="A24" s="16" t="n">
        <v>15</v>
      </c>
      <c r="B24" s="16" t="n">
        <v>2</v>
      </c>
      <c r="C24" s="17" t="n"/>
      <c r="D24" s="17" t="n"/>
      <c r="E24" s="13" t="n"/>
      <c r="F24" s="13" t="n"/>
      <c r="G24" s="13" t="n"/>
      <c r="H24" s="13" t="n"/>
    </row>
    <row r="25" ht="30" customHeight="1">
      <c r="A25" s="16" t="n">
        <v>16</v>
      </c>
      <c r="B25" s="16" t="n">
        <v>2</v>
      </c>
      <c r="C25" s="17" t="n"/>
      <c r="D25" s="17" t="n"/>
      <c r="E25" s="13" t="n"/>
      <c r="F25" s="13" t="n"/>
      <c r="G25" s="13" t="n"/>
      <c r="H25" s="13" t="n"/>
    </row>
    <row r="26" ht="30" customHeight="1">
      <c r="A26" s="16" t="n">
        <v>17</v>
      </c>
      <c r="B26" s="16" t="n">
        <v>2</v>
      </c>
      <c r="C26" s="17" t="n"/>
      <c r="D26" s="17" t="n"/>
      <c r="E26" s="13" t="n"/>
      <c r="F26" s="13" t="n"/>
      <c r="G26" s="13" t="n"/>
      <c r="H26" s="13" t="n"/>
    </row>
    <row r="27" ht="30" customHeight="1">
      <c r="A27" s="16" t="n">
        <v>18</v>
      </c>
      <c r="B27" s="16" t="n">
        <v>2</v>
      </c>
      <c r="C27" s="17" t="n"/>
      <c r="D27" s="17" t="n"/>
      <c r="E27" s="13" t="n"/>
      <c r="F27" s="13" t="n"/>
      <c r="G27" s="13" t="n"/>
      <c r="H27" s="13" t="n"/>
    </row>
    <row r="28" ht="30" customHeight="1">
      <c r="A28" s="16" t="n">
        <v>19</v>
      </c>
      <c r="B28" s="16" t="n">
        <v>2</v>
      </c>
      <c r="C28" s="17" t="n"/>
      <c r="D28" s="17" t="n"/>
      <c r="E28" s="13" t="n"/>
      <c r="F28" s="13" t="n"/>
      <c r="G28" s="13" t="n"/>
      <c r="H28" s="13" t="n"/>
    </row>
    <row r="29" ht="30" customHeight="1">
      <c r="A29" s="16" t="n">
        <v>20</v>
      </c>
      <c r="B29" s="16" t="n">
        <v>2</v>
      </c>
      <c r="C29" s="17" t="n"/>
      <c r="D29" s="17" t="n"/>
      <c r="E29" s="13" t="n"/>
      <c r="F29" s="13" t="n"/>
      <c r="G29" s="13" t="n"/>
      <c r="H29" s="13" t="n"/>
    </row>
    <row r="30" ht="30" customHeight="1">
      <c r="A30" s="16" t="n">
        <v>21</v>
      </c>
      <c r="B30" s="16" t="n">
        <v>2</v>
      </c>
      <c r="C30" s="17" t="n"/>
      <c r="D30" s="17" t="n"/>
      <c r="E30" s="13" t="n"/>
      <c r="F30" s="13" t="n"/>
      <c r="G30" s="13" t="n"/>
      <c r="H30" s="13" t="n"/>
    </row>
    <row r="31" ht="30" customHeight="1">
      <c r="A31" s="16" t="n">
        <v>22</v>
      </c>
      <c r="B31" s="16" t="n">
        <v>2</v>
      </c>
      <c r="C31" s="17" t="n"/>
      <c r="D31" s="17" t="n"/>
      <c r="E31" s="13" t="n"/>
      <c r="F31" s="13" t="n"/>
      <c r="G31" s="13" t="n"/>
      <c r="H31" s="13" t="n"/>
    </row>
    <row r="32" ht="30" customHeight="1">
      <c r="A32" s="16" t="n">
        <v>23</v>
      </c>
      <c r="B32" s="16" t="n">
        <v>2</v>
      </c>
      <c r="C32" s="17" t="n"/>
      <c r="D32" s="17" t="n"/>
      <c r="E32" s="13" t="n"/>
      <c r="F32" s="13" t="n"/>
      <c r="G32" s="13" t="n"/>
      <c r="H32" s="13" t="n"/>
    </row>
    <row r="33" ht="30" customHeight="1">
      <c r="A33" s="16" t="n">
        <v>24</v>
      </c>
      <c r="B33" s="16" t="n">
        <v>2</v>
      </c>
      <c r="C33" s="17" t="n"/>
      <c r="D33" s="17" t="n"/>
      <c r="E33" s="13" t="n"/>
      <c r="F33" s="13" t="n"/>
      <c r="G33" s="13" t="n"/>
      <c r="H33" s="13" t="n"/>
    </row>
    <row r="34" ht="30" customHeight="1">
      <c r="A34" s="16" t="n">
        <v>25</v>
      </c>
      <c r="B34" s="16" t="n">
        <v>2</v>
      </c>
      <c r="C34" s="17" t="n"/>
      <c r="D34" s="17" t="n"/>
      <c r="E34" s="13" t="n"/>
      <c r="F34" s="13" t="n"/>
      <c r="G34" s="13" t="n"/>
      <c r="H34" s="13" t="n"/>
    </row>
    <row r="35" ht="30" customHeight="1">
      <c r="A35" s="16" t="n">
        <v>26</v>
      </c>
      <c r="B35" s="16" t="n">
        <v>2</v>
      </c>
      <c r="C35" s="17" t="n"/>
      <c r="D35" s="17" t="n"/>
      <c r="E35" s="13" t="n"/>
      <c r="F35" s="13" t="n"/>
      <c r="G35" s="13" t="n"/>
      <c r="H35" s="13" t="n"/>
    </row>
    <row r="36" ht="30" customHeight="1">
      <c r="A36" s="16" t="n">
        <v>27</v>
      </c>
      <c r="B36" s="16" t="n">
        <v>3</v>
      </c>
      <c r="C36" s="17" t="n"/>
      <c r="D36" s="17" t="n"/>
      <c r="E36" s="13" t="n"/>
      <c r="F36" s="13" t="n"/>
      <c r="G36" s="13" t="n"/>
      <c r="H36" s="13" t="n"/>
    </row>
    <row r="37" ht="30" customHeight="1">
      <c r="A37" s="16" t="n">
        <v>28</v>
      </c>
      <c r="B37" s="16" t="n">
        <v>3</v>
      </c>
      <c r="C37" s="17" t="n"/>
      <c r="D37" s="17" t="n"/>
      <c r="E37" s="13" t="n"/>
      <c r="F37" s="13" t="n"/>
      <c r="G37" s="13" t="n"/>
      <c r="H37" s="13" t="n"/>
    </row>
    <row r="38" ht="30" customHeight="1">
      <c r="A38" s="16" t="n">
        <v>29</v>
      </c>
      <c r="B38" s="16" t="n">
        <v>3</v>
      </c>
      <c r="C38" s="17" t="n"/>
      <c r="D38" s="17" t="n"/>
      <c r="E38" s="13" t="n"/>
      <c r="F38" s="13" t="n"/>
      <c r="G38" s="13" t="n"/>
      <c r="H38" s="13" t="n"/>
    </row>
    <row r="39" ht="30" customHeight="1">
      <c r="A39" s="16" t="n">
        <v>30</v>
      </c>
      <c r="B39" s="16" t="n">
        <v>3</v>
      </c>
      <c r="C39" s="17" t="n"/>
      <c r="D39" s="17" t="n"/>
      <c r="E39" s="13" t="n"/>
      <c r="F39" s="13" t="n"/>
      <c r="G39" s="13" t="n"/>
      <c r="H39" s="13" t="n"/>
    </row>
    <row r="40" ht="30" customHeight="1">
      <c r="A40" s="16" t="n">
        <v>31</v>
      </c>
      <c r="B40" s="16" t="n">
        <v>3</v>
      </c>
      <c r="C40" s="17" t="n"/>
      <c r="D40" s="17" t="n"/>
      <c r="E40" s="13" t="n"/>
      <c r="F40" s="13" t="n"/>
      <c r="G40" s="13" t="n"/>
      <c r="H40" s="13" t="n"/>
    </row>
    <row r="41" ht="30" customHeight="1">
      <c r="A41" s="16" t="n">
        <v>32</v>
      </c>
      <c r="B41" s="16" t="n">
        <v>3</v>
      </c>
      <c r="C41" s="17" t="n"/>
      <c r="D41" s="17" t="n"/>
      <c r="E41" s="13" t="n"/>
      <c r="F41" s="13" t="n"/>
      <c r="G41" s="13" t="n"/>
      <c r="H41" s="13" t="n"/>
    </row>
    <row r="42" ht="30" customHeight="1">
      <c r="A42" s="16" t="n">
        <v>33</v>
      </c>
      <c r="B42" s="16" t="n">
        <v>3</v>
      </c>
      <c r="C42" s="17" t="n"/>
      <c r="D42" s="17" t="n"/>
      <c r="E42" s="13" t="n"/>
      <c r="F42" s="13" t="n"/>
      <c r="G42" s="13" t="n"/>
      <c r="H42" s="13" t="n"/>
    </row>
    <row r="43" ht="30" customHeight="1">
      <c r="A43" s="16" t="n">
        <v>34</v>
      </c>
      <c r="B43" s="16" t="n">
        <v>3</v>
      </c>
      <c r="C43" s="17" t="n"/>
      <c r="D43" s="17" t="n"/>
      <c r="E43" s="13" t="n"/>
      <c r="F43" s="13" t="n"/>
      <c r="G43" s="13" t="n"/>
      <c r="H43" s="13" t="n"/>
    </row>
    <row r="44" ht="30" customHeight="1">
      <c r="A44" s="16" t="n">
        <v>35</v>
      </c>
      <c r="B44" s="16" t="n">
        <v>3</v>
      </c>
      <c r="C44" s="17" t="n"/>
      <c r="D44" s="17" t="n"/>
      <c r="E44" s="13" t="n"/>
      <c r="F44" s="13" t="n"/>
      <c r="G44" s="13" t="n"/>
      <c r="H44" s="13" t="n"/>
    </row>
    <row r="45" ht="30" customHeight="1">
      <c r="A45" s="16" t="n">
        <v>36</v>
      </c>
      <c r="B45" s="16" t="n">
        <v>3</v>
      </c>
      <c r="C45" s="17" t="n"/>
      <c r="D45" s="17" t="n"/>
      <c r="E45" s="13" t="n"/>
      <c r="F45" s="13" t="n"/>
      <c r="G45" s="13" t="n"/>
      <c r="H45" s="13" t="n"/>
    </row>
    <row r="46" ht="30" customHeight="1">
      <c r="A46" s="16" t="n">
        <v>37</v>
      </c>
      <c r="B46" s="16" t="n">
        <v>3</v>
      </c>
      <c r="C46" s="17" t="n"/>
      <c r="D46" s="17" t="n"/>
      <c r="E46" s="13" t="n"/>
      <c r="F46" s="13" t="n"/>
      <c r="G46" s="13" t="n"/>
      <c r="H46" s="13" t="n"/>
    </row>
    <row r="47" ht="30" customHeight="1">
      <c r="A47" s="16" t="n">
        <v>38</v>
      </c>
      <c r="B47" s="16" t="n">
        <v>3</v>
      </c>
      <c r="C47" s="17" t="n"/>
      <c r="D47" s="17" t="n"/>
      <c r="E47" s="13" t="n"/>
      <c r="F47" s="13" t="n"/>
      <c r="G47" s="13" t="n"/>
      <c r="H47" s="13" t="n"/>
    </row>
    <row r="48" ht="30" customHeight="1">
      <c r="A48" s="16" t="n">
        <v>39</v>
      </c>
      <c r="B48" s="16" t="n">
        <v>3</v>
      </c>
      <c r="C48" s="17" t="n"/>
      <c r="D48" s="17" t="n"/>
      <c r="E48" s="13" t="n"/>
      <c r="F48" s="13" t="n"/>
      <c r="G48" s="13" t="n"/>
      <c r="H48" s="13" t="n"/>
    </row>
    <row r="49" ht="30" customHeight="1">
      <c r="A49" s="16" t="n">
        <v>40</v>
      </c>
      <c r="B49" s="16" t="n">
        <v>3</v>
      </c>
      <c r="C49" s="17" t="n"/>
      <c r="D49" s="17" t="n"/>
      <c r="E49" s="13" t="n"/>
      <c r="F49" s="13" t="n"/>
      <c r="G49" s="13" t="n"/>
      <c r="H49" s="13" t="n"/>
    </row>
    <row r="51" ht="26" customHeight="1">
      <c r="A51" s="18" t="inlineStr">
        <is>
          <t>■ 何で間違えたのか（不正解の原因の割合）</t>
        </is>
      </c>
    </row>
    <row r="52">
      <c r="A52" s="11" t="inlineStr">
        <is>
          <t>大カテゴリー</t>
        </is>
      </c>
      <c r="B52" s="12" t="n"/>
      <c r="C52" s="12" t="n"/>
      <c r="D52" s="11" t="inlineStr">
        <is>
          <t>件数</t>
        </is>
      </c>
      <c r="E52" s="11" t="inlineStr">
        <is>
          <t>割合</t>
        </is>
      </c>
    </row>
    <row r="53">
      <c r="A53" s="19" t="inlineStr">
        <is>
          <t>語彙・文法理解の問題</t>
        </is>
      </c>
      <c r="B53" s="20" t="n"/>
      <c r="C53" s="20" t="n"/>
      <c r="D53" s="8">
        <f>COUNTIFS($D$10:$D$49,"不正解",$E$10:$E$49,A53)</f>
        <v/>
      </c>
      <c r="E53" s="21">
        <f>IF($D$58=0,"",D53/$D$58)</f>
        <v/>
      </c>
    </row>
    <row r="54">
      <c r="A54" s="19" t="inlineStr">
        <is>
          <t>情報検索・スキャニングの問題</t>
        </is>
      </c>
      <c r="B54" s="20" t="n"/>
      <c r="C54" s="20" t="n"/>
      <c r="D54" s="8">
        <f>COUNTIFS($D$10:$D$49,"不正解",$E$10:$E$49,A54)</f>
        <v/>
      </c>
      <c r="E54" s="21">
        <f>IF($D$58=0,"",D54/$D$58)</f>
        <v/>
      </c>
    </row>
    <row r="55">
      <c r="A55" s="19" t="inlineStr">
        <is>
          <t>論理的思考・推論の問題</t>
        </is>
      </c>
      <c r="B55" s="20" t="n"/>
      <c r="C55" s="20" t="n"/>
      <c r="D55" s="8">
        <f>COUNTIFS($D$10:$D$49,"不正解",$E$10:$E$49,A55)</f>
        <v/>
      </c>
      <c r="E55" s="21">
        <f>IF($D$58=0,"",D55/$D$58)</f>
        <v/>
      </c>
    </row>
    <row r="56">
      <c r="A56" s="19" t="inlineStr">
        <is>
          <t>注意力・正確性の問題</t>
        </is>
      </c>
      <c r="B56" s="20" t="n"/>
      <c r="C56" s="20" t="n"/>
      <c r="D56" s="8">
        <f>COUNTIFS($D$10:$D$49,"不正解",$E$10:$E$49,A56)</f>
        <v/>
      </c>
      <c r="E56" s="21">
        <f>IF($D$58=0,"",D56/$D$58)</f>
        <v/>
      </c>
    </row>
    <row r="57">
      <c r="A57" s="19" t="inlineStr">
        <is>
          <t>（カテゴリー未入力）</t>
        </is>
      </c>
      <c r="B57" s="20" t="n"/>
      <c r="C57" s="20" t="n"/>
      <c r="D57" s="8">
        <f>COUNTIFS($D$10:$D$49,"不正解",$E$10:$E$49,"")</f>
        <v/>
      </c>
      <c r="E57" s="21">
        <f>IF($D$58=0,"",D57/$D$58)</f>
        <v/>
      </c>
    </row>
    <row r="58">
      <c r="A58" s="22" t="inlineStr">
        <is>
          <t>合計（不正解数）</t>
        </is>
      </c>
      <c r="B58" s="23" t="n"/>
      <c r="C58" s="23" t="n"/>
      <c r="D58" s="24">
        <f>SUM(D53:D57)</f>
        <v/>
      </c>
      <c r="E58" s="25">
        <f>IF($D$58=0,"",D58/$D$58)</f>
        <v/>
      </c>
    </row>
    <row r="70">
      <c r="A70" s="11" t="inlineStr">
        <is>
          <t>詳細理由</t>
        </is>
      </c>
      <c r="B70" s="12" t="n"/>
      <c r="C70" s="12" t="n"/>
      <c r="D70" s="11" t="inlineStr">
        <is>
          <t>件数</t>
        </is>
      </c>
      <c r="E70" s="11" t="inlineStr">
        <is>
          <t>割合</t>
        </is>
      </c>
      <c r="F70" s="11" t="inlineStr">
        <is>
          <t>カテゴリー</t>
        </is>
      </c>
    </row>
    <row r="71">
      <c r="A71" s="19" t="inlineStr">
        <is>
          <t>単語の意味が分からなかった</t>
        </is>
      </c>
      <c r="B71" s="20" t="n"/>
      <c r="C71" s="20" t="n"/>
      <c r="D71" s="8">
        <f>COUNTIFS($D$10:$D$49,"不正解",$F$10:$F$49,A71)</f>
        <v/>
      </c>
      <c r="E71" s="21">
        <f>IF($D$58=0,"",D71/$D$58)</f>
        <v/>
      </c>
      <c r="F71" s="26" t="inlineStr">
        <is>
          <t>語彙・文法理解の問題</t>
        </is>
      </c>
    </row>
    <row r="72">
      <c r="A72" s="19" t="inlineStr">
        <is>
          <t>多義語の誤認識</t>
        </is>
      </c>
      <c r="B72" s="20" t="n"/>
      <c r="C72" s="20" t="n"/>
      <c r="D72" s="8">
        <f>COUNTIFS($D$10:$D$49,"不正解",$F$10:$F$49,A72)</f>
        <v/>
      </c>
      <c r="E72" s="21">
        <f>IF($D$58=0,"",D72/$D$58)</f>
        <v/>
      </c>
      <c r="F72" s="26" t="inlineStr">
        <is>
          <t>語彙・文法理解の問題</t>
        </is>
      </c>
    </row>
    <row r="73">
      <c r="A73" s="19" t="inlineStr">
        <is>
          <t>同義語・言い換え表現に気づけなかった</t>
        </is>
      </c>
      <c r="B73" s="20" t="n"/>
      <c r="C73" s="20" t="n"/>
      <c r="D73" s="8">
        <f>COUNTIFS($D$10:$D$49,"不正解",$F$10:$F$49,A73)</f>
        <v/>
      </c>
      <c r="E73" s="21">
        <f>IF($D$58=0,"",D73/$D$58)</f>
        <v/>
      </c>
      <c r="F73" s="26" t="inlineStr">
        <is>
          <t>語彙・文法理解の問題</t>
        </is>
      </c>
    </row>
    <row r="74">
      <c r="A74" s="19" t="inlineStr">
        <is>
          <t>文法構造が複雑で理解できなかった</t>
        </is>
      </c>
      <c r="B74" s="20" t="n"/>
      <c r="C74" s="20" t="n"/>
      <c r="D74" s="8">
        <f>COUNTIFS($D$10:$D$49,"不正解",$F$10:$F$49,A74)</f>
        <v/>
      </c>
      <c r="E74" s="21">
        <f>IF($D$58=0,"",D74/$D$58)</f>
        <v/>
      </c>
      <c r="F74" s="26" t="inlineStr">
        <is>
          <t>語彙・文法理解の問題</t>
        </is>
      </c>
    </row>
    <row r="75">
      <c r="A75" s="19" t="inlineStr">
        <is>
          <t>代名詞・指示語の指す内容を誤解</t>
        </is>
      </c>
      <c r="B75" s="20" t="n"/>
      <c r="C75" s="20" t="n"/>
      <c r="D75" s="8">
        <f>COUNTIFS($D$10:$D$49,"不正解",$F$10:$F$49,A75)</f>
        <v/>
      </c>
      <c r="E75" s="21">
        <f>IF($D$58=0,"",D75/$D$58)</f>
        <v/>
      </c>
      <c r="F75" s="26" t="inlineStr">
        <is>
          <t>語彙・文法理解の問題</t>
        </is>
      </c>
    </row>
    <row r="76">
      <c r="A76" s="19" t="inlineStr">
        <is>
          <t>接続詞・ディスコースマーカーの見落とし</t>
        </is>
      </c>
      <c r="B76" s="20" t="n"/>
      <c r="C76" s="20" t="n"/>
      <c r="D76" s="8">
        <f>COUNTIFS($D$10:$D$49,"不正解",$F$10:$F$49,A76)</f>
        <v/>
      </c>
      <c r="E76" s="21">
        <f>IF($D$58=0,"",D76/$D$58)</f>
        <v/>
      </c>
      <c r="F76" s="26" t="inlineStr">
        <is>
          <t>語彙・文法理解の問題</t>
        </is>
      </c>
    </row>
    <row r="77">
      <c r="A77" s="19" t="inlineStr">
        <is>
          <t>該当箇所を見つけられなかった</t>
        </is>
      </c>
      <c r="B77" s="20" t="n"/>
      <c r="C77" s="20" t="n"/>
      <c r="D77" s="8">
        <f>COUNTIFS($D$10:$D$49,"不正解",$F$10:$F$49,A77)</f>
        <v/>
      </c>
      <c r="E77" s="21">
        <f>IF($D$58=0,"",D77/$D$58)</f>
        <v/>
      </c>
      <c r="F77" s="26" t="inlineStr">
        <is>
          <t>情報検索・スキャニングの問題</t>
        </is>
      </c>
    </row>
    <row r="78">
      <c r="A78" s="19" t="inlineStr">
        <is>
          <t>キーワードのパラフレーズに気づけず探せなかった</t>
        </is>
      </c>
      <c r="B78" s="20" t="n"/>
      <c r="C78" s="20" t="n"/>
      <c r="D78" s="8">
        <f>COUNTIFS($D$10:$D$49,"不正解",$F$10:$F$49,A78)</f>
        <v/>
      </c>
      <c r="E78" s="21">
        <f>IF($D$58=0,"",D78/$D$58)</f>
        <v/>
      </c>
      <c r="F78" s="26" t="inlineStr">
        <is>
          <t>情報検索・スキャニングの問題</t>
        </is>
      </c>
    </row>
    <row r="79">
      <c r="A79" s="19" t="inlineStr">
        <is>
          <t>似た情報と混同した</t>
        </is>
      </c>
      <c r="B79" s="20" t="n"/>
      <c r="C79" s="20" t="n"/>
      <c r="D79" s="8">
        <f>COUNTIFS($D$10:$D$49,"不正解",$F$10:$F$49,A79)</f>
        <v/>
      </c>
      <c r="E79" s="21">
        <f>IF($D$58=0,"",D79/$D$58)</f>
        <v/>
      </c>
      <c r="F79" s="26" t="inlineStr">
        <is>
          <t>情報検索・スキャニングの問題</t>
        </is>
      </c>
    </row>
    <row r="80">
      <c r="A80" s="19" t="inlineStr">
        <is>
          <t>時間が足りず該当部分まで到達できなかった</t>
        </is>
      </c>
      <c r="B80" s="20" t="n"/>
      <c r="C80" s="20" t="n"/>
      <c r="D80" s="8">
        <f>COUNTIFS($D$10:$D$49,"不正解",$F$10:$F$49,A80)</f>
        <v/>
      </c>
      <c r="E80" s="21">
        <f>IF($D$58=0,"",D80/$D$58)</f>
        <v/>
      </c>
      <c r="F80" s="26" t="inlineStr">
        <is>
          <t>情報検索・スキャニングの問題</t>
        </is>
      </c>
    </row>
    <row r="81">
      <c r="A81" s="19" t="inlineStr">
        <is>
          <t>複数パラグラフにまたがる情報を統合できなかった</t>
        </is>
      </c>
      <c r="B81" s="20" t="n"/>
      <c r="C81" s="20" t="n"/>
      <c r="D81" s="8">
        <f>COUNTIFS($D$10:$D$49,"不正解",$F$10:$F$49,A81)</f>
        <v/>
      </c>
      <c r="E81" s="21">
        <f>IF($D$58=0,"",D81/$D$58)</f>
        <v/>
      </c>
      <c r="F81" s="26" t="inlineStr">
        <is>
          <t>情報検索・スキャニングの問題</t>
        </is>
      </c>
    </row>
    <row r="82">
      <c r="A82" s="19" t="inlineStr">
        <is>
          <t>因果関係の読み取りミス</t>
        </is>
      </c>
      <c r="B82" s="20" t="n"/>
      <c r="C82" s="20" t="n"/>
      <c r="D82" s="8">
        <f>COUNTIFS($D$10:$D$49,"不正解",$F$10:$F$49,A82)</f>
        <v/>
      </c>
      <c r="E82" s="21">
        <f>IF($D$58=0,"",D82/$D$58)</f>
        <v/>
      </c>
      <c r="F82" s="26" t="inlineStr">
        <is>
          <t>論理的思考・推論の問題</t>
        </is>
      </c>
    </row>
    <row r="83">
      <c r="A83" s="19" t="inlineStr">
        <is>
          <t>比較表現の理解不足</t>
        </is>
      </c>
      <c r="B83" s="20" t="n"/>
      <c r="C83" s="20" t="n"/>
      <c r="D83" s="8">
        <f>COUNTIFS($D$10:$D$49,"不正解",$F$10:$F$49,A83)</f>
        <v/>
      </c>
      <c r="E83" s="21">
        <f>IF($D$58=0,"",D83/$D$58)</f>
        <v/>
      </c>
      <c r="F83" s="26" t="inlineStr">
        <is>
          <t>論理的思考・推論の問題</t>
        </is>
      </c>
    </row>
    <row r="84">
      <c r="A84" s="19" t="inlineStr">
        <is>
          <t>筆者の主張と例示の区別ができなかった</t>
        </is>
      </c>
      <c r="B84" s="20" t="n"/>
      <c r="C84" s="20" t="n"/>
      <c r="D84" s="8">
        <f>COUNTIFS($D$10:$D$49,"不正解",$F$10:$F$49,A84)</f>
        <v/>
      </c>
      <c r="E84" s="21">
        <f>IF($D$58=0,"",D84/$D$58)</f>
        <v/>
      </c>
      <c r="F84" s="26" t="inlineStr">
        <is>
          <t>論理的思考・推論の問題</t>
        </is>
      </c>
    </row>
    <row r="85">
      <c r="A85" s="19" t="inlineStr">
        <is>
          <t>NOT GIVEN判定の誤り</t>
        </is>
      </c>
      <c r="B85" s="20" t="n"/>
      <c r="C85" s="20" t="n"/>
      <c r="D85" s="8">
        <f>COUNTIFS($D$10:$D$49,"不正解",$F$10:$F$49,A85)</f>
        <v/>
      </c>
      <c r="E85" s="21">
        <f>IF($D$58=0,"",D85/$D$58)</f>
        <v/>
      </c>
      <c r="F85" s="26" t="inlineStr">
        <is>
          <t>論理的思考・推論の問題</t>
        </is>
      </c>
    </row>
    <row r="86">
      <c r="A86" s="19" t="inlineStr">
        <is>
          <t>否定表現の見落とし</t>
        </is>
      </c>
      <c r="B86" s="20" t="n"/>
      <c r="C86" s="20" t="n"/>
      <c r="D86" s="8">
        <f>COUNTIFS($D$10:$D$49,"不正解",$F$10:$F$49,A86)</f>
        <v/>
      </c>
      <c r="E86" s="21">
        <f>IF($D$58=0,"",D86/$D$58)</f>
        <v/>
      </c>
      <c r="F86" s="26" t="inlineStr">
        <is>
          <t>論理的思考・推論の問題</t>
        </is>
      </c>
    </row>
    <row r="87">
      <c r="A87" s="19" t="inlineStr">
        <is>
          <t>限定表現の見落とし</t>
        </is>
      </c>
      <c r="B87" s="20" t="n"/>
      <c r="C87" s="20" t="n"/>
      <c r="D87" s="8">
        <f>COUNTIFS($D$10:$D$49,"不正解",$F$10:$F$49,A87)</f>
        <v/>
      </c>
      <c r="E87" s="21">
        <f>IF($D$58=0,"",D87/$D$58)</f>
        <v/>
      </c>
      <c r="F87" s="26" t="inlineStr">
        <is>
          <t>論理的思考・推論の問題</t>
        </is>
      </c>
    </row>
    <row r="88">
      <c r="A88" s="19" t="inlineStr">
        <is>
          <t>設問の指示を読み間違えた</t>
        </is>
      </c>
      <c r="B88" s="20" t="n"/>
      <c r="C88" s="20" t="n"/>
      <c r="D88" s="8">
        <f>COUNTIFS($D$10:$D$49,"不正解",$F$10:$F$49,A88)</f>
        <v/>
      </c>
      <c r="E88" s="21">
        <f>IF($D$58=0,"",D88/$D$58)</f>
        <v/>
      </c>
      <c r="F88" s="26" t="inlineStr">
        <is>
          <t>注意力・正確性の問題</t>
        </is>
      </c>
    </row>
    <row r="89">
      <c r="A89" s="19" t="inlineStr">
        <is>
          <t>答えを書き写す際のスペルミス</t>
        </is>
      </c>
      <c r="B89" s="20" t="n"/>
      <c r="C89" s="20" t="n"/>
      <c r="D89" s="8">
        <f>COUNTIFS($D$10:$D$49,"不正解",$F$10:$F$49,A89)</f>
        <v/>
      </c>
      <c r="E89" s="21">
        <f>IF($D$58=0,"",D89/$D$58)</f>
        <v/>
      </c>
      <c r="F89" s="26" t="inlineStr">
        <is>
          <t>注意力・正確性の問題</t>
        </is>
      </c>
    </row>
    <row r="90">
      <c r="A90" s="19" t="inlineStr">
        <is>
          <t>単数形・複数形の間違い</t>
        </is>
      </c>
      <c r="B90" s="20" t="n"/>
      <c r="C90" s="20" t="n"/>
      <c r="D90" s="8">
        <f>COUNTIFS($D$10:$D$49,"不正解",$F$10:$F$49,A90)</f>
        <v/>
      </c>
      <c r="E90" s="21">
        <f>IF($D$58=0,"",D90/$D$58)</f>
        <v/>
      </c>
      <c r="F90" s="26" t="inlineStr">
        <is>
          <t>注意力・正確性の問題</t>
        </is>
      </c>
    </row>
    <row r="91">
      <c r="A91" s="19" t="inlineStr">
        <is>
          <t>大文字・小文字の間違い</t>
        </is>
      </c>
      <c r="B91" s="20" t="n"/>
      <c r="C91" s="20" t="n"/>
      <c r="D91" s="8">
        <f>COUNTIFS($D$10:$D$49,"不正解",$F$10:$F$49,A91)</f>
        <v/>
      </c>
      <c r="E91" s="21">
        <f>IF($D$58=0,"",D91/$D$58)</f>
        <v/>
      </c>
      <c r="F91" s="26" t="inlineStr">
        <is>
          <t>注意力・正確性の問題</t>
        </is>
      </c>
    </row>
    <row r="92">
      <c r="A92" s="19" t="inlineStr">
        <is>
          <t>ハイフン・スペースの有無の間違い</t>
        </is>
      </c>
      <c r="B92" s="20" t="n"/>
      <c r="C92" s="20" t="n"/>
      <c r="D92" s="8">
        <f>COUNTIFS($D$10:$D$49,"不正解",$F$10:$F$49,A92)</f>
        <v/>
      </c>
      <c r="E92" s="21">
        <f>IF($D$58=0,"",D92/$D$58)</f>
        <v/>
      </c>
      <c r="F92" s="26" t="inlineStr">
        <is>
          <t>注意力・正確性の問題</t>
        </is>
      </c>
    </row>
    <row r="93">
      <c r="A93" s="19" t="inlineStr">
        <is>
          <t>解答欄のずれ</t>
        </is>
      </c>
      <c r="B93" s="20" t="n"/>
      <c r="C93" s="20" t="n"/>
      <c r="D93" s="8">
        <f>COUNTIFS($D$10:$D$49,"不正解",$F$10:$F$49,A93)</f>
        <v/>
      </c>
      <c r="E93" s="21">
        <f>IF($D$58=0,"",D93/$D$58)</f>
        <v/>
      </c>
      <c r="F93" s="26" t="inlineStr">
        <is>
          <t>注意力・正確性の問題</t>
        </is>
      </c>
    </row>
    <row r="94">
      <c r="A94" s="19" t="inlineStr">
        <is>
          <t>時間切れで未解答</t>
        </is>
      </c>
      <c r="B94" s="20" t="n"/>
      <c r="C94" s="20" t="n"/>
      <c r="D94" s="8">
        <f>COUNTIFS($D$10:$D$49,"不正解",$F$10:$F$49,A94)</f>
        <v/>
      </c>
      <c r="E94" s="21">
        <f>IF($D$58=0,"",D94/$D$58)</f>
        <v/>
      </c>
      <c r="F94" s="26" t="inlineStr">
        <is>
          <t>注意力・正確性の問題</t>
        </is>
      </c>
    </row>
    <row r="95">
      <c r="A95" s="10" t="inlineStr">
        <is>
          <t>※ 最も多い詳細理由は赤字で表示されます。</t>
        </is>
      </c>
    </row>
    <row r="97" ht="26" customHeight="1">
      <c r="A97" s="18" t="inlineStr">
        <is>
          <t>■ 振り返りと今後の対策</t>
        </is>
      </c>
    </row>
    <row r="98">
      <c r="A98" s="27" t="inlineStr">
        <is>
          <t>間違えた傾向（自分で書いてみよう）</t>
        </is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28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5">
      <c r="A105" s="27" t="inlineStr">
        <is>
          <t>解決するために、これから対策すること</t>
        </is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28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2">
      <c r="A112" s="27" t="inlineStr">
        <is>
          <t>今後、問題を解くときに意識すること</t>
        </is>
      </c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28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8" ht="24" customHeight="1">
      <c r="A118" s="11" t="inlineStr">
        <is>
          <t>次回の問題を解く日</t>
        </is>
      </c>
      <c r="B118" s="12" t="n"/>
      <c r="C118" s="29" t="n"/>
      <c r="D118" s="12" t="n"/>
      <c r="E118" s="11" t="inlineStr">
        <is>
          <t>次回解く予定の問題</t>
        </is>
      </c>
      <c r="F118" s="12" t="n"/>
      <c r="G118" s="13" t="n"/>
      <c r="H118" s="12" t="n"/>
    </row>
  </sheetData>
  <mergeCells count="55">
    <mergeCell ref="A90:C90"/>
    <mergeCell ref="C6:D6"/>
    <mergeCell ref="A80:C80"/>
    <mergeCell ref="A75:C75"/>
    <mergeCell ref="A84:C84"/>
    <mergeCell ref="A89:C89"/>
    <mergeCell ref="A51:H51"/>
    <mergeCell ref="C5:D5"/>
    <mergeCell ref="A74:C74"/>
    <mergeCell ref="A56:C56"/>
    <mergeCell ref="A98:H98"/>
    <mergeCell ref="A1:H1"/>
    <mergeCell ref="A55:C55"/>
    <mergeCell ref="A57:C57"/>
    <mergeCell ref="A6:B6"/>
    <mergeCell ref="A86:C86"/>
    <mergeCell ref="C4:D4"/>
    <mergeCell ref="A76:C76"/>
    <mergeCell ref="A71:C71"/>
    <mergeCell ref="A113:H116"/>
    <mergeCell ref="A7:B7"/>
    <mergeCell ref="A85:C85"/>
    <mergeCell ref="A53:C53"/>
    <mergeCell ref="A91:C91"/>
    <mergeCell ref="A118:B118"/>
    <mergeCell ref="C118:D118"/>
    <mergeCell ref="A81:C81"/>
    <mergeCell ref="E118:F118"/>
    <mergeCell ref="A72:C72"/>
    <mergeCell ref="A52:C52"/>
    <mergeCell ref="G118:H118"/>
    <mergeCell ref="A105:H105"/>
    <mergeCell ref="A93:C93"/>
    <mergeCell ref="A95:H95"/>
    <mergeCell ref="A2:H2"/>
    <mergeCell ref="A99:H103"/>
    <mergeCell ref="A58:C58"/>
    <mergeCell ref="A5:B5"/>
    <mergeCell ref="A92:C92"/>
    <mergeCell ref="A77:C77"/>
    <mergeCell ref="A83:C83"/>
    <mergeCell ref="A73:C73"/>
    <mergeCell ref="A97:H97"/>
    <mergeCell ref="A4:B4"/>
    <mergeCell ref="A82:C82"/>
    <mergeCell ref="C7:D7"/>
    <mergeCell ref="A94:C94"/>
    <mergeCell ref="A79:C79"/>
    <mergeCell ref="A88:C88"/>
    <mergeCell ref="A70:C70"/>
    <mergeCell ref="A112:H112"/>
    <mergeCell ref="A78:C78"/>
    <mergeCell ref="A87:C87"/>
    <mergeCell ref="A54:C54"/>
    <mergeCell ref="A106:H110"/>
  </mergeCells>
  <conditionalFormatting sqref="A10:H49">
    <cfRule type="expression" priority="1" dxfId="0">
      <formula>$D10="不正解"</formula>
    </cfRule>
    <cfRule type="expression" priority="2" dxfId="1">
      <formula>$D10="正解"</formula>
    </cfRule>
  </conditionalFormatting>
  <conditionalFormatting sqref="D53:D57">
    <cfRule type="dataBar" priority="3">
      <dataBar>
        <cfvo type="num" val="0"/>
        <cfvo type="max"/>
        <color rgb="004472C4"/>
      </dataBar>
    </cfRule>
  </conditionalFormatting>
  <conditionalFormatting sqref="D71:D94">
    <cfRule type="dataBar" priority="4">
      <dataBar>
        <cfvo type="num" val="0"/>
        <cfvo type="max"/>
        <color rgb="00ED7D31"/>
      </dataBar>
    </cfRule>
  </conditionalFormatting>
  <conditionalFormatting sqref="A71:E94">
    <cfRule type="expression" priority="5" dxfId="2">
      <formula>AND($D71&gt;0,$D71=MAX($D$71:$D$94))</formula>
    </cfRule>
  </conditionalFormatting>
  <dataValidations count="4">
    <dataValidation sqref="C10:C49" showDropDown="0" showInputMessage="0" showErrorMessage="0" allowBlank="1" type="list">
      <formula1>=選択肢マスタ!$C$4:$C$15</formula1>
    </dataValidation>
    <dataValidation sqref="D10:D49" showDropDown="0" showInputMessage="0" showErrorMessage="0" allowBlank="1" type="list">
      <formula1>=選択肢マスタ!$D$4:$D$5</formula1>
    </dataValidation>
    <dataValidation sqref="E10:E49" showDropDown="0" showInputMessage="0" showErrorMessage="0" allowBlank="1" type="list">
      <formula1>=選択肢マスタ!$A$4:$A$7</formula1>
    </dataValidation>
    <dataValidation sqref="F10:F49" showDropDown="0" showInputMessage="0" showErrorMessage="0" allowBlank="1" type="list">
      <formula1>=選択肢マスタ!$B$4:$B$27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6" customWidth="1" min="3" max="3"/>
    <col width="12" customWidth="1" min="4" max="4"/>
    <col width="12" customWidth="1" min="5" max="5"/>
    <col width="18" customWidth="1" min="6" max="6"/>
    <col width="3" customWidth="1" min="7" max="7"/>
    <col width="44" customWidth="1" min="8" max="8"/>
    <col width="30" customWidth="1" min="9" max="9"/>
  </cols>
  <sheetData>
    <row r="1">
      <c r="A1" s="30" t="inlineStr">
        <is>
          <t>選択肢マスタ（プルダウンの元データ。項目を変える時はここを編集）</t>
        </is>
      </c>
    </row>
    <row r="3">
      <c r="A3" s="3" t="inlineStr">
        <is>
          <t>大カテゴリー</t>
        </is>
      </c>
      <c r="B3" s="3" t="inlineStr">
        <is>
          <t>詳細理由（全て）</t>
        </is>
      </c>
      <c r="C3" s="3" t="inlineStr">
        <is>
          <t>設問タイプ</t>
        </is>
      </c>
      <c r="D3" s="3" t="inlineStr">
        <is>
          <t>正解/不正解</t>
        </is>
      </c>
      <c r="E3" s="3" t="inlineStr">
        <is>
          <t>正解数(下限)</t>
        </is>
      </c>
      <c r="F3" s="3" t="inlineStr">
        <is>
          <t>バンド目安(Academic)</t>
        </is>
      </c>
      <c r="H3" s="3" t="inlineStr">
        <is>
          <t>詳細理由</t>
        </is>
      </c>
      <c r="I3" s="3" t="inlineStr">
        <is>
          <t>所属カテゴリー</t>
        </is>
      </c>
    </row>
    <row r="4">
      <c r="A4" s="20" t="inlineStr">
        <is>
          <t>語彙・文法理解の問題</t>
        </is>
      </c>
      <c r="B4" s="20" t="inlineStr">
        <is>
          <t>単語の意味が分からなかった</t>
        </is>
      </c>
      <c r="C4" s="20" t="inlineStr">
        <is>
          <t>TRUE / FALSE / NOT GIVEN</t>
        </is>
      </c>
      <c r="D4" s="20" t="inlineStr">
        <is>
          <t>正解</t>
        </is>
      </c>
      <c r="E4" s="20" t="n">
        <v>0</v>
      </c>
      <c r="F4" s="20" t="inlineStr">
        <is>
          <t>〜3.5</t>
        </is>
      </c>
      <c r="H4" s="20" t="inlineStr">
        <is>
          <t>単語の意味が分からなかった</t>
        </is>
      </c>
      <c r="I4" s="20" t="inlineStr">
        <is>
          <t>語彙・文法理解の問題</t>
        </is>
      </c>
    </row>
    <row r="5">
      <c r="A5" s="20" t="inlineStr">
        <is>
          <t>情報検索・スキャニングの問題</t>
        </is>
      </c>
      <c r="B5" s="20" t="inlineStr">
        <is>
          <t>多義語の誤認識</t>
        </is>
      </c>
      <c r="C5" s="20" t="inlineStr">
        <is>
          <t>YES / NO / NOT GIVEN</t>
        </is>
      </c>
      <c r="D5" s="20" t="inlineStr">
        <is>
          <t>不正解</t>
        </is>
      </c>
      <c r="E5" s="20" t="n">
        <v>10</v>
      </c>
      <c r="F5" s="20" t="inlineStr">
        <is>
          <t>4.0</t>
        </is>
      </c>
      <c r="H5" s="20" t="inlineStr">
        <is>
          <t>多義語の誤認識</t>
        </is>
      </c>
      <c r="I5" s="20" t="inlineStr">
        <is>
          <t>語彙・文法理解の問題</t>
        </is>
      </c>
    </row>
    <row r="6">
      <c r="A6" s="20" t="inlineStr">
        <is>
          <t>論理的思考・推論の問題</t>
        </is>
      </c>
      <c r="B6" s="20" t="inlineStr">
        <is>
          <t>同義語・言い換え表現に気づけなかった</t>
        </is>
      </c>
      <c r="C6" s="20" t="inlineStr">
        <is>
          <t>見出し選択 (Headings)</t>
        </is>
      </c>
      <c r="E6" s="20" t="n">
        <v>13</v>
      </c>
      <c r="F6" s="20" t="inlineStr">
        <is>
          <t>4.5</t>
        </is>
      </c>
      <c r="H6" s="20" t="inlineStr">
        <is>
          <t>同義語・言い換え表現に気づけなかった</t>
        </is>
      </c>
      <c r="I6" s="20" t="inlineStr">
        <is>
          <t>語彙・文法理解の問題</t>
        </is>
      </c>
    </row>
    <row r="7">
      <c r="A7" s="20" t="inlineStr">
        <is>
          <t>注意力・正確性の問題</t>
        </is>
      </c>
      <c r="B7" s="20" t="inlineStr">
        <is>
          <t>文法構造が複雑で理解できなかった</t>
        </is>
      </c>
      <c r="C7" s="20" t="inlineStr">
        <is>
          <t>情報の場所 (Matching Information)</t>
        </is>
      </c>
      <c r="E7" s="20" t="n">
        <v>15</v>
      </c>
      <c r="F7" s="20" t="inlineStr">
        <is>
          <t>5.0</t>
        </is>
      </c>
      <c r="H7" s="20" t="inlineStr">
        <is>
          <t>文法構造が複雑で理解できなかった</t>
        </is>
      </c>
      <c r="I7" s="20" t="inlineStr">
        <is>
          <t>語彙・文法理解の問題</t>
        </is>
      </c>
    </row>
    <row r="8">
      <c r="B8" s="20" t="inlineStr">
        <is>
          <t>代名詞・指示語の指す内容を誤解</t>
        </is>
      </c>
      <c r="C8" s="20" t="inlineStr">
        <is>
          <t>特徴の組み合わせ (Matching Features)</t>
        </is>
      </c>
      <c r="E8" s="20" t="n">
        <v>19</v>
      </c>
      <c r="F8" s="20" t="inlineStr">
        <is>
          <t>5.5</t>
        </is>
      </c>
      <c r="H8" s="20" t="inlineStr">
        <is>
          <t>代名詞・指示語の指す内容を誤解</t>
        </is>
      </c>
      <c r="I8" s="20" t="inlineStr">
        <is>
          <t>語彙・文法理解の問題</t>
        </is>
      </c>
    </row>
    <row r="9">
      <c r="B9" s="20" t="inlineStr">
        <is>
          <t>接続詞・ディスコースマーカーの見落とし</t>
        </is>
      </c>
      <c r="C9" s="20" t="inlineStr">
        <is>
          <t>文の後半選択 (Sentence Endings)</t>
        </is>
      </c>
      <c r="E9" s="20" t="n">
        <v>23</v>
      </c>
      <c r="F9" s="20" t="inlineStr">
        <is>
          <t>6.0</t>
        </is>
      </c>
      <c r="H9" s="20" t="inlineStr">
        <is>
          <t>接続詞・ディスコースマーカーの見落とし</t>
        </is>
      </c>
      <c r="I9" s="20" t="inlineStr">
        <is>
          <t>語彙・文法理解の問題</t>
        </is>
      </c>
    </row>
    <row r="10">
      <c r="B10" s="20" t="inlineStr">
        <is>
          <t>該当箇所を見つけられなかった</t>
        </is>
      </c>
      <c r="C10" s="20" t="inlineStr">
        <is>
          <t>多肢選択 (Multiple Choice)</t>
        </is>
      </c>
      <c r="E10" s="20" t="n">
        <v>27</v>
      </c>
      <c r="F10" s="20" t="inlineStr">
        <is>
          <t>6.5</t>
        </is>
      </c>
      <c r="H10" s="20" t="inlineStr">
        <is>
          <t>該当箇所を見つけられなかった</t>
        </is>
      </c>
      <c r="I10" s="20" t="inlineStr">
        <is>
          <t>情報検索・スキャニングの問題</t>
        </is>
      </c>
    </row>
    <row r="11">
      <c r="B11" s="20" t="inlineStr">
        <is>
          <t>キーワードのパラフレーズに気づけず探せなかった</t>
        </is>
      </c>
      <c r="C11" s="20" t="inlineStr">
        <is>
          <t>文完成 (Sentence Completion)</t>
        </is>
      </c>
      <c r="E11" s="20" t="n">
        <v>30</v>
      </c>
      <c r="F11" s="20" t="inlineStr">
        <is>
          <t>7.0</t>
        </is>
      </c>
      <c r="H11" s="20" t="inlineStr">
        <is>
          <t>キーワードのパラフレーズに気づけず探せなかった</t>
        </is>
      </c>
      <c r="I11" s="20" t="inlineStr">
        <is>
          <t>情報検索・スキャニングの問題</t>
        </is>
      </c>
    </row>
    <row r="12">
      <c r="B12" s="20" t="inlineStr">
        <is>
          <t>似た情報と混同した</t>
        </is>
      </c>
      <c r="C12" s="20" t="inlineStr">
        <is>
          <t>要約完成 (Summary Completion)</t>
        </is>
      </c>
      <c r="E12" s="20" t="n">
        <v>33</v>
      </c>
      <c r="F12" s="20" t="inlineStr">
        <is>
          <t>7.5</t>
        </is>
      </c>
      <c r="H12" s="20" t="inlineStr">
        <is>
          <t>似た情報と混同した</t>
        </is>
      </c>
      <c r="I12" s="20" t="inlineStr">
        <is>
          <t>情報検索・スキャニングの問題</t>
        </is>
      </c>
    </row>
    <row r="13">
      <c r="B13" s="20" t="inlineStr">
        <is>
          <t>時間が足りず該当部分まで到達できなかった</t>
        </is>
      </c>
      <c r="C13" s="20" t="inlineStr">
        <is>
          <t>表・ノート・フローチャート完成</t>
        </is>
      </c>
      <c r="E13" s="20" t="n">
        <v>35</v>
      </c>
      <c r="F13" s="20" t="inlineStr">
        <is>
          <t>8.0</t>
        </is>
      </c>
      <c r="H13" s="20" t="inlineStr">
        <is>
          <t>時間が足りず該当部分まで到達できなかった</t>
        </is>
      </c>
      <c r="I13" s="20" t="inlineStr">
        <is>
          <t>情報検索・スキャニングの問題</t>
        </is>
      </c>
    </row>
    <row r="14">
      <c r="B14" s="20" t="inlineStr">
        <is>
          <t>複数パラグラフにまたがる情報を統合できなかった</t>
        </is>
      </c>
      <c r="C14" s="20" t="inlineStr">
        <is>
          <t>図のラベル (Diagram)</t>
        </is>
      </c>
      <c r="E14" s="20" t="n">
        <v>37</v>
      </c>
      <c r="F14" s="20" t="inlineStr">
        <is>
          <t>8.5</t>
        </is>
      </c>
      <c r="H14" s="20" t="inlineStr">
        <is>
          <t>複数パラグラフにまたがる情報を統合できなかった</t>
        </is>
      </c>
      <c r="I14" s="20" t="inlineStr">
        <is>
          <t>情報検索・スキャニングの問題</t>
        </is>
      </c>
    </row>
    <row r="15">
      <c r="B15" s="20" t="inlineStr">
        <is>
          <t>因果関係の読み取りミス</t>
        </is>
      </c>
      <c r="C15" s="20" t="inlineStr">
        <is>
          <t>短答式 (Short Answer)</t>
        </is>
      </c>
      <c r="E15" s="20" t="n">
        <v>39</v>
      </c>
      <c r="F15" s="20" t="inlineStr">
        <is>
          <t>9.0</t>
        </is>
      </c>
      <c r="H15" s="20" t="inlineStr">
        <is>
          <t>因果関係の読み取りミス</t>
        </is>
      </c>
      <c r="I15" s="20" t="inlineStr">
        <is>
          <t>論理的思考・推論の問題</t>
        </is>
      </c>
    </row>
    <row r="16">
      <c r="B16" s="20" t="inlineStr">
        <is>
          <t>比較表現の理解不足</t>
        </is>
      </c>
      <c r="H16" s="20" t="inlineStr">
        <is>
          <t>比較表現の理解不足</t>
        </is>
      </c>
      <c r="I16" s="20" t="inlineStr">
        <is>
          <t>論理的思考・推論の問題</t>
        </is>
      </c>
    </row>
    <row r="17">
      <c r="B17" s="20" t="inlineStr">
        <is>
          <t>筆者の主張と例示の区別ができなかった</t>
        </is>
      </c>
      <c r="E17" s="31" t="inlineStr">
        <is>
          <t>※バンド目安はAcademicの一般的な換算表に基づく目安です。回によって多少前後します。</t>
        </is>
      </c>
      <c r="H17" s="20" t="inlineStr">
        <is>
          <t>筆者の主張と例示の区別ができなかった</t>
        </is>
      </c>
      <c r="I17" s="20" t="inlineStr">
        <is>
          <t>論理的思考・推論の問題</t>
        </is>
      </c>
    </row>
    <row r="18">
      <c r="B18" s="20" t="inlineStr">
        <is>
          <t>NOT GIVEN判定の誤り</t>
        </is>
      </c>
      <c r="H18" s="20" t="inlineStr">
        <is>
          <t>NOT GIVEN判定の誤り</t>
        </is>
      </c>
      <c r="I18" s="20" t="inlineStr">
        <is>
          <t>論理的思考・推論の問題</t>
        </is>
      </c>
    </row>
    <row r="19">
      <c r="B19" s="20" t="inlineStr">
        <is>
          <t>否定表現の見落とし</t>
        </is>
      </c>
      <c r="H19" s="20" t="inlineStr">
        <is>
          <t>否定表現の見落とし</t>
        </is>
      </c>
      <c r="I19" s="20" t="inlineStr">
        <is>
          <t>論理的思考・推論の問題</t>
        </is>
      </c>
    </row>
    <row r="20">
      <c r="B20" s="20" t="inlineStr">
        <is>
          <t>限定表現の見落とし</t>
        </is>
      </c>
      <c r="H20" s="20" t="inlineStr">
        <is>
          <t>限定表現の見落とし</t>
        </is>
      </c>
      <c r="I20" s="20" t="inlineStr">
        <is>
          <t>論理的思考・推論の問題</t>
        </is>
      </c>
    </row>
    <row r="21">
      <c r="B21" s="20" t="inlineStr">
        <is>
          <t>設問の指示を読み間違えた</t>
        </is>
      </c>
      <c r="H21" s="20" t="inlineStr">
        <is>
          <t>設問の指示を読み間違えた</t>
        </is>
      </c>
      <c r="I21" s="20" t="inlineStr">
        <is>
          <t>注意力・正確性の問題</t>
        </is>
      </c>
    </row>
    <row r="22">
      <c r="B22" s="20" t="inlineStr">
        <is>
          <t>答えを書き写す際のスペルミス</t>
        </is>
      </c>
      <c r="H22" s="20" t="inlineStr">
        <is>
          <t>答えを書き写す際のスペルミス</t>
        </is>
      </c>
      <c r="I22" s="20" t="inlineStr">
        <is>
          <t>注意力・正確性の問題</t>
        </is>
      </c>
    </row>
    <row r="23">
      <c r="B23" s="20" t="inlineStr">
        <is>
          <t>単数形・複数形の間違い</t>
        </is>
      </c>
      <c r="H23" s="20" t="inlineStr">
        <is>
          <t>単数形・複数形の間違い</t>
        </is>
      </c>
      <c r="I23" s="20" t="inlineStr">
        <is>
          <t>注意力・正確性の問題</t>
        </is>
      </c>
    </row>
    <row r="24">
      <c r="B24" s="20" t="inlineStr">
        <is>
          <t>大文字・小文字の間違い</t>
        </is>
      </c>
      <c r="H24" s="20" t="inlineStr">
        <is>
          <t>大文字・小文字の間違い</t>
        </is>
      </c>
      <c r="I24" s="20" t="inlineStr">
        <is>
          <t>注意力・正確性の問題</t>
        </is>
      </c>
    </row>
    <row r="25">
      <c r="B25" s="20" t="inlineStr">
        <is>
          <t>ハイフン・スペースの有無の間違い</t>
        </is>
      </c>
      <c r="H25" s="20" t="inlineStr">
        <is>
          <t>ハイフン・スペースの有無の間違い</t>
        </is>
      </c>
      <c r="I25" s="20" t="inlineStr">
        <is>
          <t>注意力・正確性の問題</t>
        </is>
      </c>
    </row>
    <row r="26">
      <c r="B26" s="20" t="inlineStr">
        <is>
          <t>解答欄のずれ</t>
        </is>
      </c>
      <c r="H26" s="20" t="inlineStr">
        <is>
          <t>解答欄のずれ</t>
        </is>
      </c>
      <c r="I26" s="20" t="inlineStr">
        <is>
          <t>注意力・正確性の問題</t>
        </is>
      </c>
    </row>
    <row r="27">
      <c r="B27" s="20" t="inlineStr">
        <is>
          <t>時間切れで未解答</t>
        </is>
      </c>
      <c r="H27" s="20" t="inlineStr">
        <is>
          <t>時間切れで未解答</t>
        </is>
      </c>
      <c r="I27" s="20" t="inlineStr">
        <is>
          <t>注意力・正確性の問題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2026-10-27T07:50:52Z</dcterms:created>
  <dcterms:modified xmlns:dcterms="http://purl.org/dc/terms/" xmlns:xsi="http://www.w3.org/2001/XMLSchema-instance" xsi:type="dcterms:W3CDTF">2026-10-27T07:50:52Z</dcterms:modified>
</cp:coreProperties>
</file>