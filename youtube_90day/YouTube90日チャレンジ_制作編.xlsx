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動画レシピ" sheetId="1" state="visible" r:id="rId1"/>
    <sheet name="05_スプリント管理" sheetId="2" state="visible" r:id="rId2"/>
    <sheet name="06_制作シート" sheetId="3" state="visible" r:id="rId3"/>
    <sheet name="07_投稿後振り返り" sheetId="4" state="visible" r:id="rId4"/>
    <sheet name="08_渾身の1本" sheetId="5" state="visible" r:id="rId5"/>
    <sheet name="09_最終振り返り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Meiryo"/>
      <b val="1"/>
      <color rgb="001F3864"/>
      <sz val="16"/>
    </font>
    <font>
      <name val="Meiryo"/>
      <i val="1"/>
      <color rgb="00595959"/>
      <sz val="10"/>
    </font>
    <font>
      <name val="Meiryo"/>
      <b val="1"/>
      <color rgb="00FFFFFF"/>
      <sz val="10"/>
    </font>
    <font>
      <name val="Meiryo"/>
      <sz val="10"/>
    </font>
    <font>
      <name val="Meiryo"/>
      <b val="1"/>
      <color rgb="001F3864"/>
      <sz val="12"/>
    </font>
    <font>
      <name val="Meiryo"/>
      <b val="1"/>
      <sz val="10"/>
    </font>
    <font>
      <name val="Meiryo"/>
      <color rgb="000000FF"/>
      <sz val="10"/>
    </font>
    <font>
      <name val="Meiryo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164" fontId="8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164" fontId="8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8" borderId="0" pivotButton="0" quotePrefix="0" xfId="0"/>
    <xf numFmtId="0" fontId="0" fillId="8" borderId="0" pivotButton="0" quotePrefix="0" xfId="0"/>
    <xf numFmtId="0" fontId="0" fillId="0" borderId="4" pivotButton="0" quotePrefix="0" xfId="0"/>
    <xf numFmtId="0" fontId="4" fillId="0" borderId="0" pivotButton="0" quotePrefix="0" xfId="0"/>
    <xf numFmtId="0" fontId="0" fillId="0" borderId="5" pivotButton="0" quotePrefix="0" xfId="0"/>
    <xf numFmtId="9" fontId="6" fillId="0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vertical="top" wrapText="1"/>
    </xf>
    <xf numFmtId="165" fontId="8" fillId="7" borderId="1" applyAlignment="1" pivotButton="0" quotePrefix="0" xfId="0">
      <alignment vertical="top" wrapText="1"/>
    </xf>
    <xf numFmtId="3" fontId="8" fillId="7" borderId="1" applyAlignment="1" pivotButton="0" quotePrefix="0" xfId="0">
      <alignment vertical="top" wrapText="1"/>
    </xf>
    <xf numFmtId="165" fontId="8" fillId="7" borderId="1" applyAlignment="1" pivotButton="0" quotePrefix="0" xfId="0">
      <alignment vertical="top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name val="Meiryo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W3 独自の動画レシピ（テスト用に1〜3個）</t>
        </is>
      </c>
    </row>
    <row r="2">
      <c r="A2" s="2" t="inlineStr">
        <is>
          <t>準備編で作ったレシピをここにも書き写してください（05〜08のプルダウンに使います）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要素</t>
        </is>
      </c>
      <c r="B5" s="3" t="inlineStr">
        <is>
          <t>自分への問い</t>
        </is>
      </c>
      <c r="C5" s="3" t="inlineStr">
        <is>
          <t>レシピA</t>
        </is>
      </c>
      <c r="D5" s="3" t="inlineStr">
        <is>
          <t>レシピB</t>
        </is>
      </c>
      <c r="E5" s="3" t="inlineStr">
        <is>
          <t>レシピC</t>
        </is>
      </c>
    </row>
    <row r="6" ht="24" customHeight="1">
      <c r="A6" s="18" t="inlineStr">
        <is>
          <t>レシピ名</t>
        </is>
      </c>
      <c r="B6" s="23" t="inlineStr">
        <is>
          <t>短い呼び名（アイデア・振り返りシートで使う）</t>
        </is>
      </c>
      <c r="C6" s="22" t="inlineStr">
        <is>
          <t>IELTS独学ラボ</t>
        </is>
      </c>
      <c r="D6" s="22" t="inlineStr">
        <is>
          <t>社会人の英語Vlog</t>
        </is>
      </c>
      <c r="E6" s="22" t="inlineStr">
        <is>
          <t>スコア検証実験</t>
        </is>
      </c>
    </row>
    <row r="7" ht="60" customHeight="1">
      <c r="A7" s="18" t="inlineStr">
        <is>
          <t>① ターゲット層</t>
        </is>
      </c>
      <c r="B7" s="23" t="inlineStr">
        <is>
          <t>誰のため？何に興味があり、何に悩んでいる？普段どんな動画を見ている？</t>
        </is>
      </c>
      <c r="C7" s="22" t="inlineStr">
        <is>
          <t>IELTS 6.5〜7.0を目指す社会人（独学・時間がない）</t>
        </is>
      </c>
      <c r="D7" s="22" t="inlineStr">
        <is>
          <t>留学・海外転職を考える20〜30代の会社員</t>
        </is>
      </c>
      <c r="E7" s="22" t="inlineStr">
        <is>
          <t>IELTS受験予定で勉強法に迷っている人</t>
        </is>
      </c>
    </row>
    <row r="8" ht="60" customHeight="1">
      <c r="A8" s="18" t="inlineStr">
        <is>
          <t>② 価値</t>
        </is>
      </c>
      <c r="B8" s="23" t="inlineStr">
        <is>
          <t>見た人は何を得る？行動の後押し／理解が深まる／孤独が和らぐ／娯楽／インスピレーション</t>
        </is>
      </c>
      <c r="C8" s="22" t="inlineStr">
        <is>
          <t>スコアを上げる具体的な手順がわかる</t>
        </is>
      </c>
      <c r="D8" s="22" t="inlineStr">
        <is>
          <t>「自分も続けられそう」と思える／孤独が和らぐ</t>
        </is>
      </c>
      <c r="E8" s="22" t="inlineStr">
        <is>
          <t>どの方法が効くか実験結果でわかる</t>
        </is>
      </c>
    </row>
    <row r="9" ht="60" customHeight="1">
      <c r="A9" s="18" t="inlineStr">
        <is>
          <t>③ フォーマット</t>
        </is>
      </c>
      <c r="B9" s="23" t="inlineStr">
        <is>
          <t>その価値をどう届ける？（Vlog・解説・チュートリアル・チャレンジ等から強みに合う1〜2個）</t>
        </is>
      </c>
      <c r="C9" s="22" t="inlineStr">
        <is>
          <t>解説＋画面録画チュートリアル</t>
        </is>
      </c>
      <c r="D9" s="22" t="inlineStr">
        <is>
          <t>Vlog</t>
        </is>
      </c>
      <c r="E9" s="22" t="inlineStr">
        <is>
          <t>チャレンジ・比較検証</t>
        </is>
      </c>
    </row>
    <row r="10" ht="60" customHeight="1">
      <c r="A10" s="18" t="inlineStr">
        <is>
          <t>④ 雰囲気（バイブス）</t>
        </is>
      </c>
      <c r="B10" s="23" t="inlineStr">
        <is>
          <t>見終わった後どんな気分にさせたい？（居心地がいい・スリル・刺激的・効率的…）</t>
        </is>
      </c>
      <c r="C10" s="22" t="inlineStr">
        <is>
          <t>効率的・安心感</t>
        </is>
      </c>
      <c r="D10" s="22" t="inlineStr">
        <is>
          <t>居心地がいい・穏やか</t>
        </is>
      </c>
      <c r="E10" s="22" t="inlineStr">
        <is>
          <t>ワクワク・スリル</t>
        </is>
      </c>
    </row>
    <row r="11" ht="60" customHeight="1">
      <c r="A11" s="18" t="inlineStr">
        <is>
          <t>⑤ 差別化要因</t>
        </is>
      </c>
      <c r="B11" s="23" t="inlineStr">
        <is>
          <t>なぜ他の人ではなく自分の動画を見るべき？（独自スキル／アクセス権／深い洞察／個性）</t>
        </is>
      </c>
      <c r="C11" s="22" t="inlineStr">
        <is>
          <t>自分が実際に独学で上げた記録と失敗例を全公開</t>
        </is>
      </c>
      <c r="D11" s="22" t="inlineStr">
        <is>
          <t>フルタイム勤務のリアルな時間の使い方を見せられる</t>
        </is>
      </c>
      <c r="E11" s="22" t="inlineStr">
        <is>
          <t>自分の体で検証し、実際のスコアで結果を出す</t>
        </is>
      </c>
    </row>
    <row r="13" ht="22" customHeight="1">
      <c r="A13" s="24" t="inlineStr">
        <is>
          <t>レシピを作る前に考えること</t>
        </is>
      </c>
      <c r="B13" s="25" t="n"/>
      <c r="C13" s="25" t="n"/>
      <c r="D13" s="25" t="n"/>
      <c r="E13" s="25" t="n"/>
    </row>
    <row r="14" ht="30" customHeight="1">
      <c r="A14" s="18" t="inlineStr">
        <is>
          <t>自分が生まれつき得意なことは？</t>
        </is>
      </c>
      <c r="B14" s="26" t="n"/>
      <c r="C14" s="22" t="inlineStr">
        <is>
          <t>図解して説明すること、学習計画を立てること</t>
        </is>
      </c>
      <c r="D14" s="28" t="n"/>
      <c r="E14" s="26" t="n"/>
    </row>
    <row r="15" ht="30" customHeight="1">
      <c r="A15" s="18" t="inlineStr">
        <is>
          <t>スワイプファイルで何度も出てくるフォーマットは？</t>
        </is>
      </c>
      <c r="B15" s="26" t="n"/>
      <c r="C15" s="22" t="inlineStr">
        <is>
          <t>Vlog・チャレンジ系（スワイプの約半分）</t>
        </is>
      </c>
      <c r="D15" s="28" t="n"/>
      <c r="E15" s="26" t="n"/>
    </row>
    <row r="16" ht="30" customHeight="1">
      <c r="A16" s="18" t="inlineStr">
        <is>
          <t>スワイプファイルで何度も出てくる雰囲気は？</t>
        </is>
      </c>
      <c r="B16" s="26" t="n"/>
      <c r="C16" s="22" t="inlineStr">
        <is>
          <t>穏やかで前向き、効率的</t>
        </is>
      </c>
      <c r="D16" s="28" t="n"/>
      <c r="E16" s="26" t="n"/>
    </row>
    <row r="17" ht="30" customHeight="1">
      <c r="A17" s="18" t="inlineStr">
        <is>
          <t>他の人にない経験・アクセス・スキルは？</t>
        </is>
      </c>
      <c r="B17" s="26" t="n"/>
      <c r="C17" s="22" t="inlineStr">
        <is>
          <t>独学でIELTS 7.0を取った実体験とスコア記録、会社員としての時間制約</t>
        </is>
      </c>
      <c r="D17" s="28" t="n"/>
      <c r="E17" s="26" t="n"/>
    </row>
  </sheetData>
  <mergeCells count="8">
    <mergeCell ref="C16:E16"/>
    <mergeCell ref="A16:B16"/>
    <mergeCell ref="C14:E14"/>
    <mergeCell ref="A15:B15"/>
    <mergeCell ref="A14:B14"/>
    <mergeCell ref="C17:E17"/>
    <mergeCell ref="A17:B17"/>
    <mergeCell ref="C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36" customWidth="1" min="4" max="4"/>
    <col width="13" customWidth="1" min="5" max="5"/>
    <col width="13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W5〜W9 スプリントモード：8本の進捗管理</t>
        </is>
      </c>
    </row>
    <row r="2">
      <c r="A2" s="2" t="inlineStr">
        <is>
          <t>投稿頻度2倍・8本・5週間（1週は予備）。本数より「1本ごとの学び」。遅れても前進を続ける。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4">
      <c r="A4" s="13" t="inlineStr">
        <is>
          <t>公開本数</t>
        </is>
      </c>
      <c r="C4" s="13">
        <f>COUNTIF(G7:G14,"公開済")</f>
        <v/>
      </c>
      <c r="D4" s="13">
        <f>C4&amp;" / 8本（"&amp;TEXT(C4/8,"0%")&amp;"）"</f>
        <v/>
      </c>
      <c r="E4" s="13" t="inlineStr">
        <is>
          <t>振り返り済</t>
        </is>
      </c>
      <c r="F4" s="13">
        <f>COUNTIF(J7:J14,"✔")&amp;" / "&amp;C4</f>
        <v/>
      </c>
    </row>
    <row r="6" ht="32" customHeight="1">
      <c r="A6" s="3" t="inlineStr">
        <is>
          <t>#</t>
        </is>
      </c>
      <c r="B6" s="3" t="inlineStr">
        <is>
          <t>動画タイトル</t>
        </is>
      </c>
      <c r="C6" s="3" t="inlineStr">
        <is>
          <t>レシピ</t>
        </is>
      </c>
      <c r="D6" s="3" t="inlineStr">
        <is>
          <t>学習目標（この動画で学ぶ1つのこと）</t>
        </is>
      </c>
      <c r="E6" s="3" t="inlineStr">
        <is>
          <t>公開予定日</t>
        </is>
      </c>
      <c r="F6" s="3" t="inlineStr">
        <is>
          <t>実際の公開日</t>
        </is>
      </c>
      <c r="G6" s="3" t="inlineStr">
        <is>
          <t>ステータス</t>
        </is>
      </c>
      <c r="H6" s="3" t="inlineStr">
        <is>
          <t>予定との差(日)</t>
        </is>
      </c>
      <c r="I6" s="3" t="inlineStr">
        <is>
          <t>学習目標設定</t>
        </is>
      </c>
      <c r="J6" s="3" t="inlineStr">
        <is>
          <t>振り返り記入</t>
        </is>
      </c>
      <c r="K6" s="3" t="inlineStr">
        <is>
          <t>コミュニティ共有</t>
        </is>
      </c>
      <c r="L6" s="3" t="inlineStr">
        <is>
          <t>メモ・詰まったこと</t>
        </is>
      </c>
    </row>
    <row r="7" ht="36" customHeight="1">
      <c r="A7" s="16" t="n">
        <v>1</v>
      </c>
      <c r="B7" s="22" t="inlineStr">
        <is>
          <t>IELTSライティング 独学で6.5→7.0にした添削ルーティン</t>
        </is>
      </c>
      <c r="C7" s="22" t="inlineStr">
        <is>
          <t>IELTS独学ラボ</t>
        </is>
      </c>
      <c r="D7" s="22" t="inlineStr">
        <is>
          <t>スワイプの「結果→過程」冒頭で30秒維持率が上がるか</t>
        </is>
      </c>
      <c r="E7" s="40" t="n">
        <v>46321</v>
      </c>
      <c r="F7" s="40" t="n">
        <v>46321</v>
      </c>
      <c r="G7" s="22" t="inlineStr">
        <is>
          <t>公開済</t>
        </is>
      </c>
      <c r="H7" s="16">
        <f>IF(OR(E7="",F7=""),"",F7-E7)</f>
        <v/>
      </c>
      <c r="I7" s="22" t="inlineStr">
        <is>
          <t>✔</t>
        </is>
      </c>
      <c r="J7" s="22" t="inlineStr">
        <is>
          <t>✔</t>
        </is>
      </c>
      <c r="K7" s="22" t="inlineStr">
        <is>
          <t>✔</t>
        </is>
      </c>
      <c r="L7" s="22" t="inlineStr">
        <is>
          <t>台本2時間で書けた</t>
        </is>
      </c>
    </row>
    <row r="8" ht="36" customHeight="1">
      <c r="A8" s="16" t="n">
        <v>2</v>
      </c>
      <c r="B8" s="22" t="inlineStr">
        <is>
          <t>平日30分しかない社会人のIELTS勉強1週間Vlog</t>
        </is>
      </c>
      <c r="C8" s="22" t="inlineStr">
        <is>
          <t>社会人の英語Vlog</t>
        </is>
      </c>
      <c r="D8" s="22" t="inlineStr">
        <is>
          <t>時刻テロップ付きVlogで平均視聴率40%を超えるか</t>
        </is>
      </c>
      <c r="E8" s="40" t="n">
        <v>46324</v>
      </c>
      <c r="F8" s="40" t="n">
        <v>46325</v>
      </c>
      <c r="G8" s="22" t="inlineStr">
        <is>
          <t>公開済</t>
        </is>
      </c>
      <c r="H8" s="16">
        <f>IF(OR(E8="",F8=""),"",F8-E8)</f>
        <v/>
      </c>
      <c r="I8" s="22" t="inlineStr">
        <is>
          <t>✔</t>
        </is>
      </c>
      <c r="J8" s="22" t="inlineStr">
        <is>
          <t>✔</t>
        </is>
      </c>
      <c r="K8" s="41" t="n"/>
      <c r="L8" s="22" t="inlineStr">
        <is>
          <t>撮影素材が多すぎて編集に6時間</t>
        </is>
      </c>
    </row>
    <row r="9" ht="36" customHeight="1">
      <c r="A9" s="16" t="n">
        <v>3</v>
      </c>
      <c r="B9" s="22" t="inlineStr">
        <is>
          <t>IELTSスピーキング Part2 を AI採点 vs 人間採点で比べてみた</t>
        </is>
      </c>
      <c r="C9" s="22" t="inlineStr">
        <is>
          <t>スコア検証実験</t>
        </is>
      </c>
      <c r="D9" s="22" t="inlineStr">
        <is>
          <t>比較系タイトルでCTR 6%以上を出せるか</t>
        </is>
      </c>
      <c r="E9" s="40" t="n">
        <v>46328</v>
      </c>
      <c r="F9" s="40" t="n">
        <v>46330</v>
      </c>
      <c r="G9" s="22" t="inlineStr">
        <is>
          <t>公開済</t>
        </is>
      </c>
      <c r="H9" s="16">
        <f>IF(OR(E9="",F9=""),"",F9-E9)</f>
        <v/>
      </c>
      <c r="I9" s="22" t="inlineStr">
        <is>
          <t>✔</t>
        </is>
      </c>
      <c r="J9" s="22" t="inlineStr">
        <is>
          <t>✔</t>
        </is>
      </c>
      <c r="K9" s="22" t="inlineStr">
        <is>
          <t>✔</t>
        </is>
      </c>
      <c r="L9" s="22" t="inlineStr">
        <is>
          <t>サムネ3案作って1時間迷った</t>
        </is>
      </c>
    </row>
    <row r="10" ht="36" customHeight="1">
      <c r="A10" s="16" t="n">
        <v>4</v>
      </c>
      <c r="B10" s="22" t="inlineStr">
        <is>
          <t>リスニングが伸びない人がやりがちな3つのミス</t>
        </is>
      </c>
      <c r="C10" s="22" t="inlineStr">
        <is>
          <t>IELTS独学ラボ</t>
        </is>
      </c>
      <c r="D10" s="22" t="inlineStr">
        <is>
          <t>顔出し＋文字3語のサムネでCTRが変わるか</t>
        </is>
      </c>
      <c r="E10" s="40" t="n">
        <v>46331</v>
      </c>
      <c r="F10" s="42" t="n"/>
      <c r="G10" s="22" t="inlineStr">
        <is>
          <t>編集</t>
        </is>
      </c>
      <c r="H10" s="16">
        <f>IF(OR(E10="",F10=""),"",F10-E10)</f>
        <v/>
      </c>
      <c r="I10" s="22" t="inlineStr">
        <is>
          <t>✔</t>
        </is>
      </c>
      <c r="J10" s="41" t="n"/>
      <c r="K10" s="41" t="n"/>
      <c r="L10" s="22" t="inlineStr">
        <is>
          <t>字幕テンプレで編集が速くなった</t>
        </is>
      </c>
    </row>
    <row r="11" ht="36" customHeight="1">
      <c r="A11" s="16" t="n">
        <v>5</v>
      </c>
      <c r="B11" s="22" t="inlineStr">
        <is>
          <t>1日だけIELTS本番と同じ時間割で過ごしてみた</t>
        </is>
      </c>
      <c r="C11" s="22" t="inlineStr">
        <is>
          <t>スコア検証実験</t>
        </is>
      </c>
      <c r="D11" s="22" t="inlineStr">
        <is>
          <t>撮影を1日で終わらせる段取りを試す</t>
        </is>
      </c>
      <c r="E11" s="40" t="n">
        <v>46335</v>
      </c>
      <c r="F11" s="42" t="n"/>
      <c r="G11" s="22" t="inlineStr">
        <is>
          <t>撮影</t>
        </is>
      </c>
      <c r="H11" s="16">
        <f>IF(OR(E11="",F11=""),"",F11-E11)</f>
        <v/>
      </c>
      <c r="I11" s="22" t="inlineStr">
        <is>
          <t>✔</t>
        </is>
      </c>
      <c r="J11" s="41" t="n"/>
      <c r="K11" s="41" t="n"/>
      <c r="L11" s="41" t="n"/>
    </row>
    <row r="12" ht="36" customHeight="1">
      <c r="A12" s="16" t="n">
        <v>6</v>
      </c>
      <c r="B12" s="22" t="inlineStr">
        <is>
          <t>IELTS用 単語帳3冊を1ヶ月使い比べた正直レビュー</t>
        </is>
      </c>
      <c r="C12" s="22" t="inlineStr">
        <is>
          <t>IELTS独学ラボ</t>
        </is>
      </c>
      <c r="D12" s="22" t="inlineStr">
        <is>
          <t>レビュー形式で検索流入の割合を見る</t>
        </is>
      </c>
      <c r="E12" s="40" t="n">
        <v>46338</v>
      </c>
      <c r="F12" s="42" t="n"/>
      <c r="G12" s="22" t="inlineStr">
        <is>
          <t>台本</t>
        </is>
      </c>
      <c r="H12" s="16">
        <f>IF(OR(E12="",F12=""),"",F12-E12)</f>
        <v/>
      </c>
      <c r="I12" s="22" t="inlineStr">
        <is>
          <t>✔</t>
        </is>
      </c>
      <c r="J12" s="41" t="n"/>
      <c r="K12" s="41" t="n"/>
      <c r="L12" s="41" t="n"/>
    </row>
    <row r="13" ht="36" customHeight="1">
      <c r="A13" s="16" t="n">
        <v>7</v>
      </c>
      <c r="B13" s="22" t="inlineStr">
        <is>
          <t>仕事終わりのカフェ勉強ルーティン【IELTS 7.0目標】</t>
        </is>
      </c>
      <c r="C13" s="22" t="inlineStr">
        <is>
          <t>社会人の英語Vlog</t>
        </is>
      </c>
      <c r="D13" s="22" t="inlineStr">
        <is>
          <t>BGM・照明を変えて雰囲気を強調</t>
        </is>
      </c>
      <c r="E13" s="40" t="n">
        <v>46342</v>
      </c>
      <c r="F13" s="42" t="n"/>
      <c r="G13" s="22" t="inlineStr">
        <is>
          <t>企画</t>
        </is>
      </c>
      <c r="H13" s="16">
        <f>IF(OR(E13="",F13=""),"",F13-E13)</f>
        <v/>
      </c>
      <c r="I13" s="22" t="inlineStr">
        <is>
          <t>✔</t>
        </is>
      </c>
      <c r="J13" s="41" t="n"/>
      <c r="K13" s="41" t="n"/>
      <c r="L13" s="41" t="n"/>
    </row>
    <row r="14" ht="36" customHeight="1">
      <c r="A14" s="16" t="n">
        <v>8</v>
      </c>
      <c r="B14" s="22" t="inlineStr">
        <is>
          <t>IELTSライティング Task2 を20分で書く型を公開</t>
        </is>
      </c>
      <c r="C14" s="22" t="inlineStr">
        <is>
          <t>IELTS独学ラボ</t>
        </is>
      </c>
      <c r="D14" s="22" t="inlineStr">
        <is>
          <t>概要欄テンプレ配布でコメント数が増えるか</t>
        </is>
      </c>
      <c r="E14" s="40" t="n">
        <v>46345</v>
      </c>
      <c r="F14" s="42" t="n"/>
      <c r="G14" s="22" t="inlineStr">
        <is>
          <t>未着手</t>
        </is>
      </c>
      <c r="H14" s="16">
        <f>IF(OR(E14="",F14=""),"",F14-E14)</f>
        <v/>
      </c>
      <c r="I14" s="22" t="inlineStr">
        <is>
          <t>✔</t>
        </is>
      </c>
      <c r="J14" s="41" t="n"/>
      <c r="K14" s="41" t="n"/>
      <c r="L14" s="41" t="n"/>
    </row>
    <row r="16" ht="22" customHeight="1">
      <c r="A16" s="24" t="inlineStr">
        <is>
          <t>各動画の4ステップ（毎回これを回す）</t>
        </is>
      </c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</row>
    <row r="17" ht="30" customHeight="1">
      <c r="A17" s="18" t="inlineStr">
        <is>
          <t>1 学習目標を設定</t>
        </is>
      </c>
      <c r="B17" s="26" t="n"/>
      <c r="C17" s="23" t="inlineStr">
        <is>
          <t>台本・撮影の前に「この動画で学ぶ1つのこと」を決める（新フォーマット／タイトル構成／サムネ／編集の簡略化など）。→ D列</t>
        </is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6" t="n"/>
    </row>
    <row r="18" ht="30" customHeight="1">
      <c r="A18" s="18" t="inlineStr">
        <is>
          <t>2 動画を制作</t>
        </is>
      </c>
      <c r="B18" s="26" t="n"/>
      <c r="C18" s="23" t="inlineStr">
        <is>
          <t>とにかく完成させる。考えすぎない・完璧を求めない。未完成に感じても約束したペースで公開。→ 06_制作シート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6" t="n"/>
    </row>
    <row r="19" ht="30" customHeight="1">
      <c r="A19" s="18" t="inlineStr">
        <is>
          <t>3 振り返る</t>
        </is>
      </c>
      <c r="B19" s="26" t="n"/>
      <c r="C19" s="23" t="inlineStr">
        <is>
          <t>公開後20〜30分で振り返りシートを記入。絶対に飛ばさない（最重要）。→ 07_投稿後振り返り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6" t="n"/>
    </row>
    <row r="20" ht="30" customHeight="1">
      <c r="A20" s="18" t="inlineStr">
        <is>
          <t>4 コミュニティ共有（任意・推奨）</t>
        </is>
      </c>
      <c r="B20" s="26" t="n"/>
      <c r="C20" s="23" t="inlineStr">
        <is>
          <t>「8本中3本目完了！」や振り返りの気づきを共有。投稿ごと or 週1。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6" t="n"/>
    </row>
    <row r="22">
      <c r="A22" s="2" t="inlineStr">
        <is>
          <t>心構え：3本目あたりで新鮮さが消え、再生が伸びない・遅れる・疑問が湧くのは普通。1回目9本、2回目は4本でも効果があった。</t>
        </is>
      </c>
    </row>
  </sheetData>
  <mergeCells count="8">
    <mergeCell ref="C19:L19"/>
    <mergeCell ref="A20:B20"/>
    <mergeCell ref="C18:L18"/>
    <mergeCell ref="A19:B19"/>
    <mergeCell ref="C17:L17"/>
    <mergeCell ref="C20:L20"/>
    <mergeCell ref="A17:B17"/>
    <mergeCell ref="A18:B18"/>
  </mergeCells>
  <conditionalFormatting sqref="G7:G14">
    <cfRule type="cellIs" priority="1" operator="equal" dxfId="0">
      <formula>"公開済"</formula>
    </cfRule>
  </conditionalFormatting>
  <conditionalFormatting sqref="H7:H14">
    <cfRule type="cellIs" priority="2" operator="greaterThan" dxfId="2">
      <formula>0</formula>
    </cfRule>
  </conditionalFormatting>
  <dataValidations count="3">
    <dataValidation sqref="G7:G14" showDropDown="0" showInputMessage="0" showErrorMessage="0" allowBlank="1" type="list">
      <formula1>"未着手,企画,台本,撮影,編集,公開済"</formula1>
    </dataValidation>
    <dataValidation sqref="I7:K14" showDropDown="0" showInputMessage="0" showErrorMessage="0" allowBlank="1" type="list">
      <formula1>"✔"</formula1>
    </dataValidation>
    <dataValidation sqref="C7:C14" showDropDown="0" showInputMessage="0" showErrorMessage="0" allowBlank="1" type="list">
      <formula1>'03_動画レシピ'!$C$6:$E$6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制作シート：1本ごとの企画〜公開チェック</t>
        </is>
      </c>
    </row>
    <row r="2">
      <c r="A2" s="2" t="inlineStr">
        <is>
          <t>スプリント8本＋渾身の1本（#9）。各動画の列に記入。短い制作期間でも抜けがないようにする。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項目</t>
        </is>
      </c>
      <c r="B5" s="3" t="inlineStr">
        <is>
          <t>動画 #1</t>
        </is>
      </c>
      <c r="C5" s="3" t="inlineStr">
        <is>
          <t>動画 #2</t>
        </is>
      </c>
      <c r="D5" s="3" t="inlineStr">
        <is>
          <t>動画 #3</t>
        </is>
      </c>
      <c r="E5" s="3" t="inlineStr">
        <is>
          <t>動画 #4</t>
        </is>
      </c>
      <c r="F5" s="3" t="inlineStr">
        <is>
          <t>動画 #5</t>
        </is>
      </c>
      <c r="G5" s="3" t="inlineStr">
        <is>
          <t>動画 #6</t>
        </is>
      </c>
      <c r="H5" s="3" t="inlineStr">
        <is>
          <t>動画 #7</t>
        </is>
      </c>
      <c r="I5" s="3" t="inlineStr">
        <is>
          <t>動画 #8</t>
        </is>
      </c>
      <c r="J5" s="3" t="inlineStr">
        <is>
          <t>渾身の1本</t>
        </is>
      </c>
    </row>
    <row r="6" ht="22" customHeight="1">
      <c r="A6" s="24" t="inlineStr">
        <is>
          <t>【企画】</t>
        </is>
      </c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 ht="30" customHeight="1">
      <c r="A7" s="18" t="inlineStr">
        <is>
          <t>動画タイトル（←05から自動）</t>
        </is>
      </c>
      <c r="B7" s="23">
        <f>IF('05_スプリント管理'!B7="","",'05_スプリント管理'!B7)</f>
        <v/>
      </c>
      <c r="C7" s="23">
        <f>IF('05_スプリント管理'!B8="","",'05_スプリント管理'!B8)</f>
        <v/>
      </c>
      <c r="D7" s="23">
        <f>IF('05_スプリント管理'!B9="","",'05_スプリント管理'!B9)</f>
        <v/>
      </c>
      <c r="E7" s="23">
        <f>IF('05_スプリント管理'!B10="","",'05_スプリント管理'!B10)</f>
        <v/>
      </c>
      <c r="F7" s="23">
        <f>IF('05_スプリント管理'!B11="","",'05_スプリント管理'!B11)</f>
        <v/>
      </c>
      <c r="G7" s="23">
        <f>IF('05_スプリント管理'!B12="","",'05_スプリント管理'!B12)</f>
        <v/>
      </c>
      <c r="H7" s="23">
        <f>IF('05_スプリント管理'!B13="","",'05_スプリント管理'!B13)</f>
        <v/>
      </c>
      <c r="I7" s="23">
        <f>IF('05_スプリント管理'!B14="","",'05_スプリント管理'!B14)</f>
        <v/>
      </c>
      <c r="J7" s="41" t="n"/>
    </row>
    <row r="8" ht="30" customHeight="1">
      <c r="A8" s="18" t="inlineStr">
        <is>
          <t>学習目標（←05から自動）</t>
        </is>
      </c>
      <c r="B8" s="23">
        <f>IF('05_スプリント管理'!D7="","",'05_スプリント管理'!D7)</f>
        <v/>
      </c>
      <c r="C8" s="23">
        <f>IF('05_スプリント管理'!D8="","",'05_スプリント管理'!D8)</f>
        <v/>
      </c>
      <c r="D8" s="23">
        <f>IF('05_スプリント管理'!D9="","",'05_スプリント管理'!D9)</f>
        <v/>
      </c>
      <c r="E8" s="23">
        <f>IF('05_スプリント管理'!D10="","",'05_スプリント管理'!D10)</f>
        <v/>
      </c>
      <c r="F8" s="23">
        <f>IF('05_スプリント管理'!D11="","",'05_スプリント管理'!D11)</f>
        <v/>
      </c>
      <c r="G8" s="23">
        <f>IF('05_スプリント管理'!D12="","",'05_スプリント管理'!D12)</f>
        <v/>
      </c>
      <c r="H8" s="23">
        <f>IF('05_スプリント管理'!D13="","",'05_スプリント管理'!D13)</f>
        <v/>
      </c>
      <c r="I8" s="23">
        <f>IF('05_スプリント管理'!D14="","",'05_スプリント管理'!D14)</f>
        <v/>
      </c>
      <c r="J8" s="41" t="n"/>
    </row>
    <row r="9" ht="30" customHeight="1">
      <c r="A9" s="18" t="inlineStr">
        <is>
          <t>ターゲットが抱える悩み</t>
        </is>
      </c>
      <c r="B9" s="22" t="inlineStr">
        <is>
          <t>添削してくれる人がいない・何を直せば7.0になるかわからない</t>
        </is>
      </c>
      <c r="C9" s="22" t="inlineStr">
        <is>
          <t>平日に勉強時間が取れず続かない</t>
        </is>
      </c>
      <c r="D9" s="41" t="n"/>
      <c r="E9" s="41" t="n"/>
      <c r="F9" s="41" t="n"/>
      <c r="G9" s="41" t="n"/>
      <c r="H9" s="41" t="n"/>
      <c r="I9" s="41" t="n"/>
      <c r="J9" s="22" t="inlineStr">
        <is>
          <t>独学でどこまで行けるのか、本当に7.0は取れるのか不安</t>
        </is>
      </c>
    </row>
    <row r="10" ht="30" customHeight="1">
      <c r="A10" s="18" t="inlineStr">
        <is>
          <t>視聴者が得る価値（1文）</t>
        </is>
      </c>
      <c r="B10" s="22" t="inlineStr">
        <is>
          <t>自分ひとりで添削できる手順が手に入る</t>
        </is>
      </c>
      <c r="C10" s="22" t="inlineStr">
        <is>
          <t>リアルな1週間を見て「自分もできそう」と思える</t>
        </is>
      </c>
      <c r="D10" s="41" t="n"/>
      <c r="E10" s="41" t="n"/>
      <c r="F10" s="41" t="n"/>
      <c r="G10" s="41" t="n"/>
      <c r="H10" s="41" t="n"/>
      <c r="I10" s="41" t="n"/>
      <c r="J10" s="22" t="inlineStr">
        <is>
          <t>5.5から7.0までの全過程と失敗が1本で追体験できる</t>
        </is>
      </c>
    </row>
    <row r="11" ht="30" customHeight="1">
      <c r="A11" s="18" t="inlineStr">
        <is>
          <t>タイトル案A</t>
        </is>
      </c>
      <c r="B11" s="22" t="inlineStr">
        <is>
          <t>IELTSライティング 独学で6.5→7.0にした添削ルーティン</t>
        </is>
      </c>
      <c r="C11" s="22" t="inlineStr">
        <is>
          <t>平日30分しかない社会人のIELTS勉強1週間Vlog</t>
        </is>
      </c>
      <c r="D11" s="41" t="n"/>
      <c r="E11" s="41" t="n"/>
      <c r="F11" s="41" t="n"/>
      <c r="G11" s="41" t="n"/>
      <c r="H11" s="41" t="n"/>
      <c r="I11" s="41" t="n"/>
      <c r="J11" s="22" t="inlineStr">
        <is>
          <t>IELTS 5.5→7.0 までの全記録（独学・会社員・1年）</t>
        </is>
      </c>
    </row>
    <row r="12" ht="30" customHeight="1">
      <c r="A12" s="18" t="inlineStr">
        <is>
          <t>タイトル案B</t>
        </is>
      </c>
      <c r="B12" s="22" t="inlineStr">
        <is>
          <t>【IELTS】添削なしでライティング7.0を取った方法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</row>
    <row r="13" ht="30" customHeight="1">
      <c r="A13" s="18" t="inlineStr">
        <is>
          <t>タイトル案C</t>
        </is>
      </c>
      <c r="B13" s="22" t="inlineStr">
        <is>
          <t>ライティングが6.5で止まる人へ｜独学添削の手順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</row>
    <row r="14" ht="30" customHeight="1">
      <c r="A14" s="18" t="inlineStr">
        <is>
          <t>採用タイトル</t>
        </is>
      </c>
      <c r="B14" s="22" t="inlineStr">
        <is>
          <t>IELTSライティング 独学で6.5→7.0にした添削ルーティン</t>
        </is>
      </c>
      <c r="C14" s="22" t="inlineStr">
        <is>
          <t>平日30分しかない社会人のIELTS勉強1週間Vlog</t>
        </is>
      </c>
      <c r="D14" s="41" t="n"/>
      <c r="E14" s="41" t="n"/>
      <c r="F14" s="41" t="n"/>
      <c r="G14" s="41" t="n"/>
      <c r="H14" s="41" t="n"/>
      <c r="I14" s="41" t="n"/>
      <c r="J14" s="41" t="n"/>
    </row>
    <row r="15" ht="30" customHeight="1">
      <c r="A15" s="18" t="inlineStr">
        <is>
          <t>サムネイル案（構図・文字・表情）</t>
        </is>
      </c>
      <c r="B15" s="22" t="inlineStr">
        <is>
          <t>左：6.5の答案（赤ペンだらけ）／右：7.0のスコア表。文字「独学で7.0」</t>
        </is>
      </c>
      <c r="C15" s="41" t="n"/>
      <c r="D15" s="41" t="n"/>
      <c r="E15" s="41" t="n"/>
      <c r="F15" s="41" t="n"/>
      <c r="G15" s="41" t="n"/>
      <c r="H15" s="41" t="n"/>
      <c r="I15" s="41" t="n"/>
      <c r="J15" s="22" t="inlineStr">
        <is>
          <t>スコア表5枚を時系列に並べ、最後だけ7.0が光る</t>
        </is>
      </c>
    </row>
    <row r="16" ht="30" customHeight="1">
      <c r="A16" s="18" t="inlineStr">
        <is>
          <t>冒頭30秒のフック</t>
        </is>
      </c>
      <c r="B16" s="22" t="inlineStr">
        <is>
          <t>「このスコア表、添削を一度も受けずに取りました」から入る</t>
        </is>
      </c>
      <c r="C16" s="22" t="inlineStr">
        <is>
          <t>月曜5:30、アラームが鳴るところから</t>
        </is>
      </c>
      <c r="D16" s="41" t="n"/>
      <c r="E16" s="41" t="n"/>
      <c r="F16" s="41" t="n"/>
      <c r="G16" s="41" t="n"/>
      <c r="H16" s="41" t="n"/>
      <c r="I16" s="41" t="n"/>
      <c r="J16" s="22" t="inlineStr">
        <is>
          <t>「この1年で4回落ちました」</t>
        </is>
      </c>
    </row>
    <row r="17" ht="30" customHeight="1">
      <c r="A17" s="18" t="inlineStr">
        <is>
          <t>構成（起承転結／見出し）</t>
        </is>
      </c>
      <c r="B17" s="22" t="inlineStr">
        <is>
          <t>①結果 ②6.5で止まった原因 ③添削ルーティン3ステップ ④実演 ⑤テンプレ配布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</row>
    <row r="18" ht="30" customHeight="1">
      <c r="A18" s="18" t="inlineStr">
        <is>
          <t>参考スワイプNo.</t>
        </is>
      </c>
      <c r="B18" s="22" t="inlineStr">
        <is>
          <t>1, 3</t>
        </is>
      </c>
      <c r="C18" s="41" t="n"/>
      <c r="D18" s="41" t="n"/>
      <c r="E18" s="41" t="n"/>
      <c r="F18" s="41" t="n"/>
      <c r="G18" s="41" t="n"/>
      <c r="H18" s="41" t="n"/>
      <c r="I18" s="41" t="n"/>
      <c r="J18" s="41" t="n"/>
    </row>
    <row r="19" ht="22" customHeight="1">
      <c r="A19" s="24" t="inlineStr">
        <is>
          <t>【制作】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 ht="18" customHeight="1">
      <c r="A20" s="18" t="inlineStr">
        <is>
          <t>台本 完了</t>
        </is>
      </c>
      <c r="B20" s="37" t="inlineStr">
        <is>
          <t>✔</t>
        </is>
      </c>
      <c r="C20" s="37" t="inlineStr">
        <is>
          <t>✔</t>
        </is>
      </c>
      <c r="D20" s="38" t="n"/>
      <c r="E20" s="38" t="n"/>
      <c r="F20" s="38" t="n"/>
      <c r="G20" s="38" t="n"/>
      <c r="H20" s="38" t="n"/>
      <c r="I20" s="38" t="n"/>
      <c r="J20" s="38" t="n"/>
    </row>
    <row r="21" ht="18" customHeight="1">
      <c r="A21" s="18" t="inlineStr">
        <is>
          <t>撮影 完了</t>
        </is>
      </c>
      <c r="B21" s="37" t="inlineStr">
        <is>
          <t>✔</t>
        </is>
      </c>
      <c r="C21" s="37" t="inlineStr">
        <is>
          <t>✔</t>
        </is>
      </c>
      <c r="D21" s="38" t="n"/>
      <c r="E21" s="38" t="n"/>
      <c r="F21" s="38" t="n"/>
      <c r="G21" s="38" t="n"/>
      <c r="H21" s="38" t="n"/>
      <c r="I21" s="38" t="n"/>
      <c r="J21" s="38" t="n"/>
    </row>
    <row r="22" ht="18" customHeight="1">
      <c r="A22" s="18" t="inlineStr">
        <is>
          <t>編集 完了</t>
        </is>
      </c>
      <c r="B22" s="37" t="inlineStr">
        <is>
          <t>✔</t>
        </is>
      </c>
      <c r="C22" s="37" t="inlineStr">
        <is>
          <t>✔</t>
        </is>
      </c>
      <c r="D22" s="38" t="n"/>
      <c r="E22" s="38" t="n"/>
      <c r="F22" s="38" t="n"/>
      <c r="G22" s="38" t="n"/>
      <c r="H22" s="38" t="n"/>
      <c r="I22" s="38" t="n"/>
      <c r="J22" s="38" t="n"/>
    </row>
    <row r="23" ht="18" customHeight="1">
      <c r="A23" s="18" t="inlineStr">
        <is>
          <t>サムネ 完了</t>
        </is>
      </c>
      <c r="B23" s="37" t="inlineStr">
        <is>
          <t>✔</t>
        </is>
      </c>
      <c r="C23" s="38" t="n"/>
      <c r="D23" s="38" t="n"/>
      <c r="E23" s="38" t="n"/>
      <c r="F23" s="38" t="n"/>
      <c r="G23" s="38" t="n"/>
      <c r="H23" s="38" t="n"/>
      <c r="I23" s="38" t="n"/>
      <c r="J23" s="38" t="n"/>
    </row>
    <row r="24" ht="18" customHeight="1">
      <c r="A24" s="18" t="inlineStr">
        <is>
          <t>概要欄・タグ・チャプター</t>
        </is>
      </c>
      <c r="B24" s="37" t="inlineStr">
        <is>
          <t>✔</t>
        </is>
      </c>
      <c r="C24" s="38" t="n"/>
      <c r="D24" s="38" t="n"/>
      <c r="E24" s="38" t="n"/>
      <c r="F24" s="38" t="n"/>
      <c r="G24" s="38" t="n"/>
      <c r="H24" s="38" t="n"/>
      <c r="I24" s="38" t="n"/>
      <c r="J24" s="38" t="n"/>
    </row>
    <row r="25" ht="18" customHeight="1">
      <c r="A25" s="18" t="inlineStr">
        <is>
          <t>#ハッシュタグ・宣言/タグ付け</t>
        </is>
      </c>
      <c r="B25" s="37" t="inlineStr">
        <is>
          <t>✔</t>
        </is>
      </c>
      <c r="C25" s="38" t="n"/>
      <c r="D25" s="38" t="n"/>
      <c r="E25" s="38" t="n"/>
      <c r="F25" s="38" t="n"/>
      <c r="G25" s="38" t="n"/>
      <c r="H25" s="38" t="n"/>
      <c r="I25" s="38" t="n"/>
      <c r="J25" s="38" t="n"/>
    </row>
    <row r="26" ht="18" customHeight="1">
      <c r="A26" s="18" t="inlineStr">
        <is>
          <t>公開</t>
        </is>
      </c>
      <c r="B26" s="37" t="inlineStr">
        <is>
          <t>✔</t>
        </is>
      </c>
      <c r="C26" s="38" t="n"/>
      <c r="D26" s="38" t="n"/>
      <c r="E26" s="38" t="n"/>
      <c r="F26" s="38" t="n"/>
      <c r="G26" s="38" t="n"/>
      <c r="H26" s="38" t="n"/>
      <c r="I26" s="38" t="n"/>
      <c r="J26" s="38" t="n"/>
    </row>
    <row r="27" ht="18" customHeight="1">
      <c r="A27" s="18" t="inlineStr">
        <is>
          <t>制作にかかった時間(h)</t>
        </is>
      </c>
      <c r="B27" s="37" t="n">
        <v>9</v>
      </c>
      <c r="C27" s="38" t="n"/>
      <c r="D27" s="38" t="n"/>
      <c r="E27" s="38" t="n"/>
      <c r="F27" s="38" t="n"/>
      <c r="G27" s="38" t="n"/>
      <c r="H27" s="38" t="n"/>
      <c r="I27" s="38" t="n"/>
      <c r="J27" s="38" t="n"/>
    </row>
    <row r="28" ht="18" customHeight="1">
      <c r="A28" s="18" t="inlineStr">
        <is>
          <t>チェック完了率</t>
        </is>
      </c>
      <c r="B28" s="29">
        <f>COUNTIF(B20:B26,"✔")/7</f>
        <v/>
      </c>
      <c r="C28" s="29">
        <f>COUNTIF(C20:C26,"✔")/7</f>
        <v/>
      </c>
      <c r="D28" s="29">
        <f>COUNTIF(D20:D26,"✔")/7</f>
        <v/>
      </c>
      <c r="E28" s="29">
        <f>COUNTIF(E20:E26,"✔")/7</f>
        <v/>
      </c>
      <c r="F28" s="29">
        <f>COUNTIF(F20:F26,"✔")/7</f>
        <v/>
      </c>
      <c r="G28" s="29">
        <f>COUNTIF(G20:G26,"✔")/7</f>
        <v/>
      </c>
      <c r="H28" s="29">
        <f>COUNTIF(H20:H26,"✔")/7</f>
        <v/>
      </c>
      <c r="I28" s="29">
        <f>COUNTIF(I20:I26,"✔")/7</f>
        <v/>
      </c>
      <c r="J28" s="29">
        <f>COUNTIF(J20:J26,"✔")/7</f>
        <v/>
      </c>
    </row>
  </sheetData>
  <dataValidations count="1">
    <dataValidation sqref="B20:J26" showDropDown="0" showInputMessage="0" showErrorMessage="0" allowBlank="1" type="list">
      <formula1>"✔"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30" customWidth="1" min="4" max="4"/>
    <col width="30" customWidth="1" min="5" max="5"/>
    <col width="30" customWidth="1" min="6" max="6"/>
    <col width="26" customWidth="1" min="7" max="7"/>
    <col width="30" customWidth="1" min="8" max="8"/>
    <col width="32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30" customWidth="1" min="15" max="15"/>
  </cols>
  <sheetData>
    <row r="1">
      <c r="A1" s="1" t="inlineStr">
        <is>
          <t>投稿後の振り返り（1本20〜30分・絶対に飛ばさない）</t>
        </is>
      </c>
    </row>
    <row r="2">
      <c r="A2" s="2" t="inlineStr">
        <is>
          <t>詳しく書くほどパターンが見える。「もっと時間があったら」欄は渾身の1本のヒントになる。数値は公開7日後など同じタイミングで記録。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>
      <c r="J5" s="2" t="inlineStr">
        <is>
          <t>CTR・視聴率は小数で（5.2%→0.052）</t>
        </is>
      </c>
    </row>
    <row r="6" ht="32" customHeight="1">
      <c r="A6" s="3" t="inlineStr">
        <is>
          <t>#</t>
        </is>
      </c>
      <c r="B6" s="3" t="inlineStr">
        <is>
          <t>動画タイトル</t>
        </is>
      </c>
      <c r="C6" s="3" t="inlineStr">
        <is>
          <t>使ったレシピ</t>
        </is>
      </c>
      <c r="D6" s="3" t="inlineStr">
        <is>
          <t>学習目標は達成できた？何がわかった？</t>
        </is>
      </c>
      <c r="E6" s="3" t="inlineStr">
        <is>
          <t>うまくいったこと</t>
        </is>
      </c>
      <c r="F6" s="3" t="inlineStr">
        <is>
          <t>次の動画で重点的に改善すること</t>
        </is>
      </c>
      <c r="G6" s="3" t="inlineStr">
        <is>
          <t>新しく習得したスキル</t>
        </is>
      </c>
      <c r="H6" s="3" t="inlineStr">
        <is>
          <t>視聴者の反応（コメント等）</t>
        </is>
      </c>
      <c r="I6" s="3" t="inlineStr">
        <is>
          <t>もっと時間があったら何をしていた？</t>
        </is>
      </c>
      <c r="J6" s="3" t="inlineStr">
        <is>
          <t>再生数
(7日)</t>
        </is>
      </c>
      <c r="K6" s="3" t="inlineStr">
        <is>
          <t>CTR(%)</t>
        </is>
      </c>
      <c r="L6" s="3" t="inlineStr">
        <is>
          <t>平均視聴率(%)</t>
        </is>
      </c>
      <c r="M6" s="3" t="inlineStr">
        <is>
          <t>登録者増</t>
        </is>
      </c>
      <c r="N6" s="3" t="inlineStr">
        <is>
          <t>感覚評価
(1-5)</t>
        </is>
      </c>
      <c r="O6" s="3" t="inlineStr">
        <is>
          <t>気づき・パターン</t>
        </is>
      </c>
    </row>
    <row r="7" ht="48" customHeight="1">
      <c r="A7" s="16" t="n">
        <v>1</v>
      </c>
      <c r="B7" s="22" t="inlineStr">
        <is>
          <t>IELTSライティング 独学で6.5→7.0…</t>
        </is>
      </c>
      <c r="C7" s="22" t="inlineStr">
        <is>
          <t>IELTS独学ラボ</t>
        </is>
      </c>
      <c r="D7" s="22" t="inlineStr">
        <is>
          <t>冒頭で結果を見せると30秒維持率+8%</t>
        </is>
      </c>
      <c r="E7" s="22" t="inlineStr">
        <is>
          <t>画面録画は撮影が早い</t>
        </is>
      </c>
      <c r="F7" s="22" t="inlineStr">
        <is>
          <t>中盤のテンポ（カットを増やす）</t>
        </is>
      </c>
      <c r="G7" s="22" t="inlineStr">
        <is>
          <t>字幕テンプレ作成</t>
        </is>
      </c>
      <c r="H7" s="22" t="inlineStr">
        <is>
          <t>「添削例をもっと見たい」多数</t>
        </is>
      </c>
      <c r="I7" s="22" t="inlineStr">
        <is>
          <t>実際の添削ビフォーアフターを5本分見せたかった</t>
        </is>
      </c>
      <c r="J7" s="32" t="n">
        <v>1200</v>
      </c>
      <c r="K7" s="33" t="n">
        <v>0.052</v>
      </c>
      <c r="L7" s="33" t="n">
        <v>0.41</v>
      </c>
      <c r="M7" s="22" t="n">
        <v>35</v>
      </c>
      <c r="N7" s="22" t="n">
        <v>4</v>
      </c>
      <c r="O7" s="22" t="inlineStr">
        <is>
          <t>解説系は冒頭の結果提示が効く</t>
        </is>
      </c>
    </row>
    <row r="8" ht="48" customHeight="1">
      <c r="A8" s="16" t="n">
        <v>2</v>
      </c>
      <c r="B8" s="22" t="inlineStr">
        <is>
          <t>平日30分しかない社会人のIELTS勉強1週間Vlog</t>
        </is>
      </c>
      <c r="C8" s="22" t="inlineStr">
        <is>
          <t>社会人の英語Vlog</t>
        </is>
      </c>
      <c r="D8" s="22" t="inlineStr">
        <is>
          <t>時刻テロップで区切ると離脱が減った（平均視聴率44%）</t>
        </is>
      </c>
      <c r="E8" s="22" t="inlineStr">
        <is>
          <t>朝の映像の雰囲気がコメントで好評</t>
        </is>
      </c>
      <c r="F8" s="22" t="inlineStr">
        <is>
          <t>撮影素材を絞る（撮りすぎ）</t>
        </is>
      </c>
      <c r="G8" s="22" t="inlineStr">
        <is>
          <t>カラーグレーディングの基本</t>
        </is>
      </c>
      <c r="H8" s="22" t="inlineStr">
        <is>
          <t>「落ち着く」「自分も頑張る」</t>
        </is>
      </c>
      <c r="I8" s="22" t="inlineStr">
        <is>
          <t>1週間ではなく1ヶ月の変化を見せたかった</t>
        </is>
      </c>
      <c r="J8" s="32" t="n">
        <v>850</v>
      </c>
      <c r="K8" s="33" t="n">
        <v>0.038</v>
      </c>
      <c r="L8" s="33" t="n">
        <v>0.44</v>
      </c>
      <c r="M8" s="22" t="n">
        <v>22</v>
      </c>
      <c r="N8" s="22" t="n">
        <v>4</v>
      </c>
      <c r="O8" s="22" t="inlineStr">
        <is>
          <t>Vlogは視聴率高いがCTR低め→サムネ改善</t>
        </is>
      </c>
    </row>
    <row r="9" ht="48" customHeight="1">
      <c r="A9" s="16" t="n">
        <v>3</v>
      </c>
      <c r="B9" s="22" t="inlineStr">
        <is>
          <t>IELTSスピーキング Part2 を AI採点 vs 人間採点で比べてみた</t>
        </is>
      </c>
      <c r="C9" s="22" t="inlineStr">
        <is>
          <t>スコア検証実験</t>
        </is>
      </c>
      <c r="D9" s="22" t="inlineStr">
        <is>
          <t>比較タイトルでCTR 7.1%。狙い通り</t>
        </is>
      </c>
      <c r="E9" s="22" t="inlineStr">
        <is>
          <t>AIと人間の採点差がはっきり出た</t>
        </is>
      </c>
      <c r="F9" s="22" t="inlineStr">
        <is>
          <t>結論をもっと早く出す</t>
        </is>
      </c>
      <c r="G9" s="22" t="inlineStr">
        <is>
          <t>画面分割編集</t>
        </is>
      </c>
      <c r="H9" s="22" t="inlineStr">
        <is>
          <t>「他のPartも比較して」多数</t>
        </is>
      </c>
      <c r="I9" s="22" t="inlineStr">
        <is>
          <t>採点者を3人に増やして信頼性を上げたかった</t>
        </is>
      </c>
      <c r="J9" s="32" t="n">
        <v>3400</v>
      </c>
      <c r="K9" s="33" t="n">
        <v>0.07099999999999999</v>
      </c>
      <c r="L9" s="33" t="n">
        <v>0.36</v>
      </c>
      <c r="M9" s="22" t="n">
        <v>80</v>
      </c>
      <c r="N9" s="22" t="n">
        <v>5</v>
      </c>
      <c r="O9" s="22" t="inlineStr">
        <is>
          <t>比較・検証はCTRが強い→渾身の1本の軸に</t>
        </is>
      </c>
    </row>
    <row r="10" ht="48" customHeight="1">
      <c r="A10" s="16" t="n">
        <v>4</v>
      </c>
      <c r="B10" s="22" t="inlineStr">
        <is>
          <t>リスニングが伸びない人がやりがちな3つのミス</t>
        </is>
      </c>
      <c r="C10" s="22" t="inlineStr">
        <is>
          <t>IELTS独学ラボ</t>
        </is>
      </c>
      <c r="D10" s="22" t="inlineStr">
        <is>
          <t>顔出しサムネはCTRに大差なし</t>
        </is>
      </c>
      <c r="E10" s="22" t="inlineStr">
        <is>
          <t>3つに絞った構成でテンポが良かった</t>
        </is>
      </c>
      <c r="F10" s="22" t="inlineStr">
        <is>
          <t>具体例の音声を増やす</t>
        </is>
      </c>
      <c r="G10" s="22" t="inlineStr">
        <is>
          <t>音声の波形編集</t>
        </is>
      </c>
      <c r="H10" s="22" t="inlineStr">
        <is>
          <t>「2つ目のミス自分だ」</t>
        </is>
      </c>
      <c r="I10" s="22" t="inlineStr">
        <is>
          <t>ミスごとに練習問題を付けたかった</t>
        </is>
      </c>
      <c r="J10" s="32" t="n">
        <v>1500</v>
      </c>
      <c r="K10" s="33" t="n">
        <v>0.049</v>
      </c>
      <c r="L10" s="33" t="n">
        <v>0.39</v>
      </c>
      <c r="M10" s="22" t="n">
        <v>30</v>
      </c>
      <c r="N10" s="22" t="n">
        <v>3</v>
      </c>
      <c r="O10" s="22" t="inlineStr">
        <is>
          <t>リスト型は安定するが爆発力は弱い</t>
        </is>
      </c>
    </row>
    <row r="11" ht="48" customHeight="1">
      <c r="A11" s="16" t="n">
        <v>5</v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3" t="n"/>
      <c r="K11" s="44" t="n"/>
      <c r="L11" s="44" t="n"/>
      <c r="M11" s="41" t="n"/>
      <c r="N11" s="41" t="n"/>
      <c r="O11" s="41" t="n"/>
    </row>
    <row r="12" ht="48" customHeight="1">
      <c r="A12" s="16" t="n">
        <v>6</v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3" t="n"/>
      <c r="K12" s="44" t="n"/>
      <c r="L12" s="44" t="n"/>
      <c r="M12" s="41" t="n"/>
      <c r="N12" s="41" t="n"/>
      <c r="O12" s="41" t="n"/>
    </row>
    <row r="13" ht="48" customHeight="1">
      <c r="A13" s="16" t="n">
        <v>7</v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3" t="n"/>
      <c r="K13" s="44" t="n"/>
      <c r="L13" s="44" t="n"/>
      <c r="M13" s="41" t="n"/>
      <c r="N13" s="41" t="n"/>
      <c r="O13" s="41" t="n"/>
    </row>
    <row r="14" ht="48" customHeight="1">
      <c r="A14" s="16" t="n">
        <v>8</v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3" t="n"/>
      <c r="K14" s="44" t="n"/>
      <c r="L14" s="44" t="n"/>
      <c r="M14" s="41" t="n"/>
      <c r="N14" s="41" t="n"/>
      <c r="O14" s="41" t="n"/>
    </row>
    <row r="15" ht="48" customHeight="1">
      <c r="A15" s="16" t="n">
        <v>9</v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3" t="n"/>
      <c r="K15" s="44" t="n"/>
      <c r="L15" s="44" t="n"/>
      <c r="M15" s="41" t="n"/>
      <c r="N15" s="41" t="n"/>
      <c r="O15" s="41" t="n"/>
    </row>
    <row r="16" ht="48" customHeight="1">
      <c r="A16" s="16" t="inlineStr">
        <is>
          <t>渾身</t>
        </is>
      </c>
      <c r="B16" s="22" t="inlineStr">
        <is>
          <t>IELTS 5.5→7.0 までの全記録（独学・会社員・1年）</t>
        </is>
      </c>
      <c r="C16" s="22" t="inlineStr">
        <is>
          <t>スコア検証実験</t>
        </is>
      </c>
      <c r="D16" s="22" t="inlineStr">
        <is>
          <t>長尺でも比較・検証の軸があれば最後まで見られる</t>
        </is>
      </c>
      <c r="E16" s="22" t="inlineStr">
        <is>
          <t>失敗パートへのコメントが最多</t>
        </is>
      </c>
      <c r="F16" s="22" t="inlineStr">
        <is>
          <t>チャプターを細かく切る</t>
        </is>
      </c>
      <c r="G16" s="22" t="inlineStr">
        <is>
          <t>ストーリー構成・BGMの使い分け</t>
        </is>
      </c>
      <c r="H16" s="22" t="inlineStr">
        <is>
          <t>「泣いた」「勇気が出た」</t>
        </is>
      </c>
      <c r="I16" s="22" t="inlineStr">
        <is>
          <t>当時の答案をもっと映像で見せたかった</t>
        </is>
      </c>
      <c r="J16" s="32" t="n">
        <v>25000</v>
      </c>
      <c r="K16" s="33" t="n">
        <v>0.082</v>
      </c>
      <c r="L16" s="33" t="n">
        <v>0.47</v>
      </c>
      <c r="M16" s="22" t="n">
        <v>620</v>
      </c>
      <c r="N16" s="22" t="n">
        <v>5</v>
      </c>
      <c r="O16" s="22" t="inlineStr">
        <is>
          <t>スプリントの学び（結果先出し・比較軸）を全部入れたら過去最高</t>
        </is>
      </c>
    </row>
    <row r="18" ht="22" customHeight="1">
      <c r="A18" s="24" t="inlineStr">
        <is>
          <t>レシピ別の平均（スプリント8本・自動）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</row>
    <row r="19" ht="32" customHeight="1">
      <c r="A19" s="3" t="inlineStr"/>
      <c r="B19" s="3" t="inlineStr">
        <is>
          <t>レシピ</t>
        </is>
      </c>
      <c r="C19" s="3" t="inlineStr">
        <is>
          <t>本数</t>
        </is>
      </c>
      <c r="D19" s="3" t="inlineStr">
        <is>
          <t>平均再生数</t>
        </is>
      </c>
      <c r="E19" s="3" t="inlineStr">
        <is>
          <t>平均CTR</t>
        </is>
      </c>
      <c r="F19" s="3" t="inlineStr">
        <is>
          <t>平均視聴率</t>
        </is>
      </c>
      <c r="G19" s="3" t="inlineStr">
        <is>
          <t>平均登録者増</t>
        </is>
      </c>
      <c r="H19" s="3" t="inlineStr">
        <is>
          <t>平均感覚評価</t>
        </is>
      </c>
    </row>
    <row r="20">
      <c r="B20" s="18">
        <f>IF('03_動画レシピ'!C6="","",'03_動画レシピ'!C6)</f>
        <v/>
      </c>
      <c r="C20" s="16">
        <f>IF(B20="","",COUNTIF($C$7:$C$15,B20))</f>
        <v/>
      </c>
      <c r="D20" s="34">
        <f>IF(B20="","",IFERROR(AVERAGEIF($C$7:$C$15,B20,$J$7:$J$15),"-"))</f>
        <v/>
      </c>
      <c r="E20" s="35">
        <f>IF(B20="","",IFERROR(AVERAGEIF($C$7:$C$15,B20,$K$7:$K$15),"-"))</f>
        <v/>
      </c>
      <c r="F20" s="35">
        <f>IF(B20="","",IFERROR(AVERAGEIF($C$7:$C$15,B20,$L$7:$L$15),"-"))</f>
        <v/>
      </c>
      <c r="G20" s="36">
        <f>IF(B20="","",IFERROR(AVERAGEIF($C$7:$C$15,B20,$M$7:$M$15),"-"))</f>
        <v/>
      </c>
      <c r="H20" s="36">
        <f>IF(B20="","",IFERROR(AVERAGEIF($C$7:$C$15,B20,$N$7:$N$15),"-"))</f>
        <v/>
      </c>
    </row>
    <row r="21">
      <c r="B21" s="18">
        <f>IF('03_動画レシピ'!D6="","",'03_動画レシピ'!D6)</f>
        <v/>
      </c>
      <c r="C21" s="16">
        <f>IF(B21="","",COUNTIF($C$7:$C$15,B21))</f>
        <v/>
      </c>
      <c r="D21" s="34">
        <f>IF(B21="","",IFERROR(AVERAGEIF($C$7:$C$15,B21,$J$7:$J$15),"-"))</f>
        <v/>
      </c>
      <c r="E21" s="35">
        <f>IF(B21="","",IFERROR(AVERAGEIF($C$7:$C$15,B21,$K$7:$K$15),"-"))</f>
        <v/>
      </c>
      <c r="F21" s="35">
        <f>IF(B21="","",IFERROR(AVERAGEIF($C$7:$C$15,B21,$L$7:$L$15),"-"))</f>
        <v/>
      </c>
      <c r="G21" s="36">
        <f>IF(B21="","",IFERROR(AVERAGEIF($C$7:$C$15,B21,$M$7:$M$15),"-"))</f>
        <v/>
      </c>
      <c r="H21" s="36">
        <f>IF(B21="","",IFERROR(AVERAGEIF($C$7:$C$15,B21,$N$7:$N$15),"-"))</f>
        <v/>
      </c>
    </row>
    <row r="22">
      <c r="B22" s="18">
        <f>IF('03_動画レシピ'!E6="","",'03_動画レシピ'!E6)</f>
        <v/>
      </c>
      <c r="C22" s="16">
        <f>IF(B22="","",COUNTIF($C$7:$C$15,B22))</f>
        <v/>
      </c>
      <c r="D22" s="34">
        <f>IF(B22="","",IFERROR(AVERAGEIF($C$7:$C$15,B22,$J$7:$J$15),"-"))</f>
        <v/>
      </c>
      <c r="E22" s="35">
        <f>IF(B22="","",IFERROR(AVERAGEIF($C$7:$C$15,B22,$K$7:$K$15),"-"))</f>
        <v/>
      </c>
      <c r="F22" s="35">
        <f>IF(B22="","",IFERROR(AVERAGEIF($C$7:$C$15,B22,$L$7:$L$15),"-"))</f>
        <v/>
      </c>
      <c r="G22" s="36">
        <f>IF(B22="","",IFERROR(AVERAGEIF($C$7:$C$15,B22,$M$7:$M$15),"-"))</f>
        <v/>
      </c>
      <c r="H22" s="36">
        <f>IF(B22="","",IFERROR(AVERAGEIF($C$7:$C$15,B22,$N$7:$N$15),"-"))</f>
        <v/>
      </c>
    </row>
  </sheetData>
  <dataValidations count="2">
    <dataValidation sqref="C7:C16" showDropDown="0" showInputMessage="0" showErrorMessage="0" allowBlank="1" type="list">
      <formula1>'03_動画レシピ'!$C$6:$E$6</formula1>
    </dataValidation>
    <dataValidation sqref="N7:N1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W10〜W11 フェーズ3：渾身の特大ヒット作</t>
        </is>
      </c>
    </row>
    <row r="2">
      <c r="A2" s="2" t="inlineStr">
        <is>
          <t>これまでの全行動はこの1本のため。スプリントの学びと「もっと時間があったら」を全投入し、質を極限まで追求する。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考えること</t>
        </is>
      </c>
      <c r="B5" s="3" t="inlineStr">
        <is>
          <t>あなたの答え</t>
        </is>
      </c>
    </row>
    <row r="6" ht="22" customHeight="1">
      <c r="A6" s="24" t="inlineStr">
        <is>
          <t>【振り返りから集める】</t>
        </is>
      </c>
      <c r="B6" s="25" t="n"/>
    </row>
    <row r="7" ht="36" customHeight="1">
      <c r="A7" s="18" t="inlineStr">
        <is>
          <t>スプリントで最も反応が良かったレシピ（自動参照→07下の表）</t>
        </is>
      </c>
      <c r="B7" s="41">
        <f>IFERROR(INDEX('07_投稿後振り返り'!B20:B22,MATCH(MAX('07_投稿後振り返り'!D20:D22),'07_投稿後振り返り'!D20:D22,0))&amp;"（平均再生数ベース）","振り返りを記入すると表示")</f>
        <v/>
      </c>
    </row>
    <row r="8" ht="36" customHeight="1">
      <c r="A8" s="18" t="inlineStr">
        <is>
          <t>振り返りの「もっと時間があったら」で繰り返し出た要素</t>
        </is>
      </c>
      <c r="B8" s="22" t="inlineStr">
        <is>
          <t>もっと長い期間の変化を見せたい／実例をもっと見せたい</t>
        </is>
      </c>
    </row>
    <row r="9" ht="36" customHeight="1">
      <c r="A9" s="18" t="inlineStr">
        <is>
          <t>振り返りの「次に改善すること」で繰り返し出た要素</t>
        </is>
      </c>
      <c r="B9" s="22" t="inlineStr">
        <is>
          <t>結論を早く出す・素材を絞る</t>
        </is>
      </c>
    </row>
    <row r="10" ht="36" customHeight="1">
      <c r="A10" s="18" t="inlineStr">
        <is>
          <t>視聴者の反応で多かった要望</t>
        </is>
      </c>
      <c r="B10" s="22" t="inlineStr">
        <is>
          <t>「全Partで比較して」「スコアが上がるまでの全部を見たい」</t>
        </is>
      </c>
    </row>
    <row r="11" ht="36" customHeight="1">
      <c r="A11" s="18" t="inlineStr">
        <is>
          <t>W4で「渾身候補」に回した大きなアイデア</t>
        </is>
      </c>
      <c r="B11" s="22" t="inlineStr">
        <is>
          <t>IELTS 5.5→7.0 までの全記録ドキュメンタリー</t>
        </is>
      </c>
    </row>
    <row r="12" ht="22" customHeight="1">
      <c r="A12" s="24" t="inlineStr">
        <is>
          <t>【企画】</t>
        </is>
      </c>
      <c r="B12" s="25" t="n"/>
    </row>
    <row r="13" ht="36" customHeight="1">
      <c r="A13" s="18" t="inlineStr">
        <is>
          <t>渾身の1本のテーマ</t>
        </is>
      </c>
      <c r="B13" s="22" t="inlineStr">
        <is>
          <t>IELTS 5.5→7.0 まで独学1年の全記録</t>
        </is>
      </c>
    </row>
    <row r="14" ht="36" customHeight="1">
      <c r="A14" s="18" t="inlineStr">
        <is>
          <t>なぜこれがチャンネルを爆発させ得るか（根拠：実績コンテンツ・データ）</t>
        </is>
      </c>
      <c r="B14" s="22" t="inlineStr">
        <is>
          <t>学習ドキュメンタリーは120万回の実績あり。スプリントで比較・検証系のCTRが最も高かった（7.1%）</t>
        </is>
      </c>
    </row>
    <row r="15" ht="36" customHeight="1">
      <c r="A15" s="18" t="inlineStr">
        <is>
          <t>ターゲット／価値／雰囲気／差別化（最終レシピ）</t>
        </is>
      </c>
      <c r="B15" s="22" t="inlineStr">
        <is>
          <t>IELTS受験予定の社会人／独学でも7.0に届く道筋がわかる／ワクワク＋感動／実際の答案とスコア表を全部持っている</t>
        </is>
      </c>
    </row>
    <row r="16" ht="36" customHeight="1">
      <c r="A16" s="18" t="inlineStr">
        <is>
          <t>タイトル案（10案以上出して選ぶ）</t>
        </is>
      </c>
      <c r="B16" s="22" t="inlineStr">
        <is>
          <t>①独学1年でIELTS 7.0になるまで ②4回落ちた会社員がIELTS 7.0を取るまで ③… (10案)</t>
        </is>
      </c>
    </row>
    <row r="17" ht="36" customHeight="1">
      <c r="A17" s="18" t="inlineStr">
        <is>
          <t>サムネイル案（複数の構図・スタイル）</t>
        </is>
      </c>
      <c r="B17" s="22" t="inlineStr">
        <is>
          <t>A：スコア表5枚を時系列 B：落ち込んだ顔＋7.0 C：答案の赤ペン→きれいな答案</t>
        </is>
      </c>
    </row>
    <row r="18" ht="36" customHeight="1">
      <c r="A18" s="18" t="inlineStr">
        <is>
          <t>冒頭30秒のフック</t>
        </is>
      </c>
      <c r="B18" s="22" t="inlineStr">
        <is>
          <t>「この1年で4回落ちました」→最後の結果は伏せたまま本編へ</t>
        </is>
      </c>
    </row>
    <row r="19" ht="36" customHeight="1">
      <c r="A19" s="18" t="inlineStr">
        <is>
          <t>ストーリー構成（好奇心を引っ張る要素）</t>
        </is>
      </c>
      <c r="B19" s="22" t="inlineStr">
        <is>
          <t>受験1回ごとに章立て。各章で「何を変えたか」を提示し、最後に7.0を見せる</t>
        </is>
      </c>
    </row>
    <row r="20" ht="36" customHeight="1">
      <c r="A20" s="18" t="inlineStr">
        <is>
          <t>スプリント時より時間・予算をかけるポイント</t>
        </is>
      </c>
      <c r="B20" s="22" t="inlineStr">
        <is>
          <t>当時の答案の撮り直し、BGMのライセンス、サムネの外注</t>
        </is>
      </c>
    </row>
    <row r="21" ht="22" customHeight="1">
      <c r="A21" s="24" t="inlineStr">
        <is>
          <t>【スケジュール】</t>
        </is>
      </c>
      <c r="B21" s="25" t="n"/>
    </row>
    <row r="22" ht="36" customHeight="1">
      <c r="A22" s="18" t="inlineStr">
        <is>
          <t>企画・台本 締切</t>
        </is>
      </c>
      <c r="B22" s="40" t="n">
        <v>46358</v>
      </c>
    </row>
    <row r="23" ht="36" customHeight="1">
      <c r="A23" s="18" t="inlineStr">
        <is>
          <t>撮影 締切</t>
        </is>
      </c>
      <c r="B23" s="40" t="n">
        <v>46362</v>
      </c>
    </row>
    <row r="24" ht="36" customHeight="1">
      <c r="A24" s="18" t="inlineStr">
        <is>
          <t>編集 締切</t>
        </is>
      </c>
      <c r="B24" s="40" t="n">
        <v>46367</v>
      </c>
    </row>
    <row r="25" ht="36" customHeight="1">
      <c r="A25" s="18" t="inlineStr">
        <is>
          <t>公開日</t>
        </is>
      </c>
      <c r="B25" s="40" t="n">
        <v>46369</v>
      </c>
    </row>
    <row r="26" ht="36" customHeight="1">
      <c r="A26" s="18" t="inlineStr">
        <is>
          <t>公開時の告知（どこで・何を）</t>
        </is>
      </c>
      <c r="B26" s="22" t="inlineStr">
        <is>
          <t>コミュニティ投稿・X・ショートで予告 → 公開当日にスプリントの振り返りと一緒に告知</t>
        </is>
      </c>
    </row>
    <row r="28">
      <c r="A28" s="2" t="inlineStr">
        <is>
          <t>※制作チェックは 06_制作シート の「渾身の1本」列、振り返りは 07 の「渾身」行を使う。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W12 最終振り返り：勢いを失わずに次の章へ</t>
        </is>
      </c>
    </row>
    <row r="2">
      <c r="A2" s="2" t="inlineStr">
        <is>
          <t>全振り返りを見直し、公開した動画を新鮮な目で見返す。量（スプリント）と質（渾身）の両極端を経験した今、今後のバランスを決める。</t>
        </is>
      </c>
    </row>
    <row r="3">
      <c r="A3" s="2" t="inlineStr">
        <is>
          <t>記入例入り版：灰色の斜体＝記入例です。自分の内容に上書きしてください（空欄版は別ファイル）</t>
        </is>
      </c>
    </row>
    <row r="5" ht="32" customHeight="1">
      <c r="A5" s="3" t="inlineStr">
        <is>
          <t>考えること</t>
        </is>
      </c>
      <c r="B5" s="3" t="inlineStr">
        <is>
          <t>あなたの答え</t>
        </is>
      </c>
    </row>
    <row r="6" ht="22" customHeight="1">
      <c r="A6" s="24" t="inlineStr">
        <is>
          <t>【数字】</t>
        </is>
      </c>
      <c r="B6" s="25" t="n"/>
    </row>
    <row r="7" ht="40" customHeight="1">
      <c r="A7" s="18" t="inlineStr">
        <is>
          <t>チャレンジ中の公開本数（自動）</t>
        </is>
      </c>
      <c r="B7" s="23">
        <f>'05_スプリント管理'!C4&amp;"本（スプリント）＋渾身1本"</f>
        <v/>
      </c>
    </row>
    <row r="8" ht="40" customHeight="1">
      <c r="A8" s="18" t="inlineStr">
        <is>
          <t>開始時→終了時の登録者数</t>
        </is>
      </c>
      <c r="B8" s="22" t="inlineStr">
        <is>
          <t>300人 → 1,250人</t>
        </is>
      </c>
    </row>
    <row r="9" ht="40" customHeight="1">
      <c r="A9" s="18" t="inlineStr">
        <is>
          <t>最も伸びた動画とその理由</t>
        </is>
      </c>
      <c r="B9" s="22" t="inlineStr">
        <is>
          <t>渾身の1本（25,000回）。比較の軸と実体験のストーリーがかみ合った</t>
        </is>
      </c>
    </row>
    <row r="10" ht="22" customHeight="1">
      <c r="A10" s="24" t="inlineStr">
        <is>
          <t>【量 vs 質】</t>
        </is>
      </c>
      <c r="B10" s="25" t="n"/>
    </row>
    <row r="11" ht="40" customHeight="1">
      <c r="A11" s="18" t="inlineStr">
        <is>
          <t>スプリント（量を極限まで）でどう感じた？何ができた？</t>
        </is>
      </c>
      <c r="B11" s="22" t="inlineStr">
        <is>
          <t>考えすぎずに出せた。週2本でも回る段取りがわかった。ただ3本目以降は疲れて質が落ちた</t>
        </is>
      </c>
    </row>
    <row r="12" ht="40" customHeight="1">
      <c r="A12" s="18" t="inlineStr">
        <is>
          <t>渾身の1本（質を極限まで）でどう感じた？何ができた？</t>
        </is>
      </c>
      <c r="B12" s="22" t="inlineStr">
        <is>
          <t>時間をかけた分、自分でも誇れる1本になった。検索とおすすめの両方から流入があった</t>
        </is>
      </c>
    </row>
    <row r="13" ht="40" customHeight="1">
      <c r="A13" s="18" t="inlineStr">
        <is>
          <t>今後のバランスはどうしたい？</t>
        </is>
      </c>
      <c r="B13" s="22" t="inlineStr">
        <is>
          <t>普段は週1本（量）＋2ヶ月に1本の渾身回（質）</t>
        </is>
      </c>
    </row>
    <row r="14" ht="22" customHeight="1">
      <c r="A14" s="24" t="inlineStr">
        <is>
          <t>【今後の方針】</t>
        </is>
      </c>
      <c r="B14" s="25" t="n"/>
    </row>
    <row r="15" ht="40" customHeight="1">
      <c r="A15" s="18" t="inlineStr">
        <is>
          <t>今後の投稿スケジュール（元に戻す／変更する）</t>
        </is>
      </c>
      <c r="B15" s="22" t="inlineStr">
        <is>
          <t>週1本に戻す。ただし土曜まとめ撮りの型はそのまま使う</t>
        </is>
      </c>
    </row>
    <row r="16" ht="40" customHeight="1">
      <c r="A16" s="18" t="inlineStr">
        <is>
          <t>確定した動画レシピ（黄金律）</t>
        </is>
      </c>
      <c r="B16" s="22" t="inlineStr">
        <is>
          <t>比較・検証の軸 × 実体験 × 結果を先に見せる冒頭</t>
        </is>
      </c>
    </row>
    <row r="17" ht="40" customHeight="1">
      <c r="A17" s="18" t="inlineStr">
        <is>
          <t>自分のクリエイティブな表現で明確になったこと</t>
        </is>
      </c>
      <c r="B17" s="22" t="inlineStr">
        <is>
          <t>「効率的だけど温かい」雰囲気が自分らしい</t>
        </is>
      </c>
    </row>
    <row r="18" ht="40" customHeight="1">
      <c r="A18" s="18" t="inlineStr">
        <is>
          <t>視聴者とのつながりで変わったこと</t>
        </is>
      </c>
      <c r="B18" s="22" t="inlineStr">
        <is>
          <t>コメントで次の企画リクエストが来るようになった</t>
        </is>
      </c>
    </row>
    <row r="19" ht="40" customHeight="1">
      <c r="A19" s="18" t="inlineStr">
        <is>
          <t>次の90日でやること</t>
        </is>
      </c>
      <c r="B19" s="22" t="inlineStr">
        <is>
          <t>次の90日は渾身回を2本に増やし、登録者3,000人を目指す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2026-09-25T01:27:24Z</dcterms:created>
  <dcterms:modified xsi:type="dcterms:W3CDTF">2026-09-25T01:27:24Z</dcterms:modified>
</cp:coreProperties>
</file>