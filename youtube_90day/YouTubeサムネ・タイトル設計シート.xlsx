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原則まとめ" sheetId="1" state="visible" r:id="rId1"/>
    <sheet name="01_アウトライヤー分析" sheetId="2" state="visible" r:id="rId2"/>
    <sheet name="02_作る手順" sheetId="3" state="visible" r:id="rId3"/>
    <sheet name="03_案出しシート" sheetId="4" state="visible" r:id="rId4"/>
    <sheet name="04_公開前チェック" sheetId="5" state="visible" r:id="rId5"/>
    <sheet name="05_公開後の検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i val="1"/>
      <color rgb="00595959"/>
      <sz val="10"/>
    </font>
    <font>
      <name val="Meiryo"/>
      <b val="1"/>
      <color rgb="00FFFFFF"/>
      <sz val="10"/>
    </font>
    <font>
      <name val="Meiryo"/>
      <b val="1"/>
      <color rgb="001F3864"/>
      <sz val="12"/>
    </font>
    <font>
      <name val="Meiryo"/>
      <b val="1"/>
      <sz val="10"/>
    </font>
    <font>
      <name val="Meiryo"/>
      <sz val="10"/>
    </font>
    <font>
      <name val="Meiryo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3" fontId="7" fillId="5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</cols>
  <sheetData>
    <row r="1">
      <c r="A1" s="1" t="inlineStr">
        <is>
          <t>サムネイル＆タイトル設計：原則まとめ</t>
        </is>
      </c>
    </row>
    <row r="2">
      <c r="A2" s="2" t="inlineStr">
        <is>
          <t>出典：①サムネ動画 ②タイトル動画 ③ブレイク分析動画 ／ ※＝動画にない、日本語向けの目安（作成者による）</t>
        </is>
      </c>
    </row>
    <row r="3">
      <c r="A3" s="2" t="inlineStr">
        <is>
          <t>凡例：黄色＝記入欄 ／ 灰色の斜体＝記入例（上書き・削除OK） ／ 白＝自動計算</t>
        </is>
      </c>
    </row>
    <row r="5" ht="32" customHeight="1">
      <c r="A5" s="3" t="inlineStr">
        <is>
          <t>テーマ</t>
        </is>
      </c>
      <c r="B5" s="3" t="inlineStr">
        <is>
          <t>要点</t>
        </is>
      </c>
      <c r="C5" s="3" t="inlineStr">
        <is>
          <t>出典</t>
        </is>
      </c>
    </row>
    <row r="6">
      <c r="A6" s="4" t="inlineStr">
        <is>
          <t>【土台】</t>
        </is>
      </c>
      <c r="B6" s="5" t="n"/>
      <c r="C6" s="5" t="n"/>
    </row>
    <row r="7">
      <c r="A7" s="6" t="inlineStr">
        <is>
          <t>チャンネル戦略</t>
        </is>
      </c>
      <c r="B7" s="7" t="inlineStr">
        <is>
          <t>次の動画は、前の動画の視聴者の8割が興味を持つか（80%ルール）。視聴者層とフォーマットがぶれると勢いが次の動画に引き継がれない</t>
        </is>
      </c>
      <c r="C7" s="8" t="inlineStr">
        <is>
          <t>③</t>
        </is>
      </c>
    </row>
    <row r="8">
      <c r="A8" s="6" t="inlineStr">
        <is>
          <t>動画レシピ</t>
        </is>
      </c>
      <c r="B8" s="7" t="inlineStr">
        <is>
          <t>個性・制作/編集の質・中身の価値のうち2つ以上で差別化。自分にしか出せない要素（経験・スキル・人柄）で真似されにくくする</t>
        </is>
      </c>
      <c r="C8" s="8" t="inlineStr">
        <is>
          <t>③</t>
        </is>
      </c>
    </row>
    <row r="9">
      <c r="A9" s="6" t="inlineStr">
        <is>
          <t>企画が先</t>
        </is>
      </c>
      <c r="B9" s="7" t="inlineStr">
        <is>
          <t>サムネが思いつかない企画は、そもそも企画が弱い可能性。良いサムネは良い企画から生まれる</t>
        </is>
      </c>
      <c r="C9" s="8" t="inlineStr">
        <is>
          <t>①</t>
        </is>
      </c>
    </row>
    <row r="10">
      <c r="A10" s="6" t="inlineStr">
        <is>
          <t>時間配分</t>
        </is>
      </c>
      <c r="B10" s="7" t="inlineStr">
        <is>
          <t>サムネ・タイトルは結果の半分を左右する。公開直前ではなく、制作に入る前に作る。数日かけてもよい</t>
        </is>
      </c>
      <c r="C10" s="8" t="inlineStr">
        <is>
          <t>①②</t>
        </is>
      </c>
    </row>
    <row r="11">
      <c r="A11" s="4" t="inlineStr">
        <is>
          <t>【クリックの心理】</t>
        </is>
      </c>
      <c r="B11" s="5" t="n"/>
      <c r="C11" s="5" t="n"/>
    </row>
    <row r="12">
      <c r="A12" s="6" t="inlineStr">
        <is>
          <t>好奇心のギャップ</t>
        </is>
      </c>
      <c r="B12" s="7" t="inlineStr">
        <is>
          <t>「知っていること」と「知りたいこと」の差。サムネの8〜9割は心理、デザインは1〜2割</t>
        </is>
      </c>
      <c r="C12" s="8" t="inlineStr">
        <is>
          <t>①②</t>
        </is>
      </c>
    </row>
    <row r="13">
      <c r="A13" s="6" t="inlineStr">
        <is>
          <t>サムネの5つの型</t>
        </is>
      </c>
      <c r="B13" s="7" t="inlineStr">
        <is>
          <t>瞬間型（リアクション直前）／ストーリー型（緊張・問い）／結果型（欲しい成果）／変身型（前→後）／新奇性型（見たことがない・意外）</t>
        </is>
      </c>
      <c r="C13" s="8" t="inlineStr">
        <is>
          <t>①</t>
        </is>
      </c>
    </row>
    <row r="14">
      <c r="A14" s="6" t="inlineStr">
        <is>
          <t>タイトルの2つの作り方</t>
        </is>
      </c>
      <c r="B14" s="7" t="inlineStr">
        <is>
          <t>結末を伏せて引っぱる（オープンループ）／比べて戦わせる（対立）。どちらも「書かないこと」で好奇心を生む</t>
        </is>
      </c>
      <c r="C14" s="8" t="inlineStr">
        <is>
          <t>②</t>
        </is>
      </c>
    </row>
    <row r="15">
      <c r="A15" s="6" t="inlineStr">
        <is>
          <t>スクロールストッパー</t>
        </is>
      </c>
      <c r="B15" s="7" t="inlineStr">
        <is>
          <t>顔・見慣れたもの・大きな数字・お金・危険や動き・感情・鮮やかな色・美しさ。使うのは1〜2個。詰め込むと釣りっぽくなりブランドを損なう</t>
        </is>
      </c>
      <c r="C15" s="8" t="inlineStr">
        <is>
          <t>①</t>
        </is>
      </c>
    </row>
    <row r="16">
      <c r="A16" s="6" t="inlineStr">
        <is>
          <t>小さいチャンネルの顔</t>
        </is>
      </c>
      <c r="B16" s="7" t="inlineStr">
        <is>
          <t>知名度がないうちは顔の効果が弱い。顔だけに頼らず他のストッパーも使う</t>
        </is>
      </c>
      <c r="C16" s="8" t="inlineStr">
        <is>
          <t>①</t>
        </is>
      </c>
    </row>
    <row r="17">
      <c r="A17" s="4" t="inlineStr">
        <is>
          <t>【デザイン（3つのC）】</t>
        </is>
      </c>
      <c r="B17" s="5" t="n"/>
      <c r="C17" s="5" t="n"/>
    </row>
    <row r="18">
      <c r="A18" s="6" t="inlineStr">
        <is>
          <t>中身</t>
        </is>
      </c>
      <c r="B18" s="7" t="inlineStr">
        <is>
          <t>好奇心のギャップに必要なものだけ。主役は1つ、他は主役を支える脇役</t>
        </is>
      </c>
      <c r="C18" s="8" t="inlineStr">
        <is>
          <t>①</t>
        </is>
      </c>
    </row>
    <row r="19">
      <c r="A19" s="6" t="inlineStr">
        <is>
          <t>構図</t>
        </is>
      </c>
      <c r="B19" s="7" t="inlineStr">
        <is>
          <t>左右対称（主役を中央）か三分割（主役を左右1/3）。線・矢印で視線を主役へ。大きさ・ぼかし・奥行きで主役を最上位に</t>
        </is>
      </c>
      <c r="C19" s="8" t="inlineStr">
        <is>
          <t>①</t>
        </is>
      </c>
    </row>
    <row r="20">
      <c r="A20" s="6" t="inlineStr">
        <is>
          <t>サムネの文字</t>
        </is>
      </c>
      <c r="B20" s="7" t="inlineStr">
        <is>
          <t>タイトルの繰り返しは不可。規模・背景・補足など情報を足すときだけ。英語なら5語以内。主役より目立たせない</t>
        </is>
      </c>
      <c r="C20" s="8" t="inlineStr">
        <is>
          <t>①</t>
        </is>
      </c>
    </row>
    <row r="21">
      <c r="A21" s="6" t="inlineStr">
        <is>
          <t>コントラスト</t>
        </is>
      </c>
      <c r="B21" s="7" t="inlineStr">
        <is>
          <t>明度（明暗）・彩度（鮮やか/灰色）・色相（補色）で主役を浮かせる。同ジャンルの流行と逆を行くと目立つ</t>
        </is>
      </c>
      <c r="C21" s="8" t="inlineStr">
        <is>
          <t>①</t>
        </is>
      </c>
    </row>
    <row r="22">
      <c r="A22" s="4" t="inlineStr">
        <is>
          <t>【タイトル】</t>
        </is>
      </c>
      <c r="B22" s="5" t="n"/>
      <c r="C22" s="5" t="n"/>
    </row>
    <row r="23">
      <c r="A23" s="6" t="inlineStr">
        <is>
          <t>型を借りる</t>
        </is>
      </c>
      <c r="B23" s="7" t="inlineStr">
        <is>
          <t>ゼロから考えない。伸びた型の構造だけ借りる（例：【期間】で【成果】を作った方法／【痛い結果】を招く【〇〇】のミス）</t>
        </is>
      </c>
      <c r="C23" s="8" t="inlineStr">
        <is>
          <t>②</t>
        </is>
      </c>
    </row>
    <row r="24">
      <c r="A24" s="6" t="inlineStr">
        <is>
          <t>強い言葉</t>
        </is>
      </c>
      <c r="B24" s="7" t="inlineStr">
        <is>
          <t>「良い・コツ」より、感情・緊急性が伝わる言葉（台無し・誰も知らない・圧倒的 など）</t>
        </is>
      </c>
      <c r="C24" s="8" t="inlineStr">
        <is>
          <t>②</t>
        </is>
      </c>
    </row>
    <row r="25">
      <c r="A25" s="6" t="inlineStr">
        <is>
          <t>長さ</t>
        </is>
      </c>
      <c r="B25" s="7" t="inlineStr">
        <is>
          <t>英語は50字未満・6〜10語。日本語はスマホで切れる前の前半約30字に要点を入れる</t>
        </is>
      </c>
      <c r="C25" s="8" t="inlineStr">
        <is>
          <t>②※</t>
        </is>
      </c>
    </row>
    <row r="26">
      <c r="A26" s="6" t="inlineStr">
        <is>
          <t>サムネと分担</t>
        </is>
      </c>
      <c r="B26" s="7" t="inlineStr">
        <is>
          <t>サムネで見れば分かることはタイトルに書かない。2つでチームにする</t>
        </is>
      </c>
      <c r="C26" s="8" t="inlineStr">
        <is>
          <t>②</t>
        </is>
      </c>
    </row>
    <row r="27">
      <c r="A27" s="4" t="inlineStr">
        <is>
          <t>【研究と検証】</t>
        </is>
      </c>
      <c r="B27" s="5" t="n"/>
      <c r="C27" s="5" t="n"/>
    </row>
    <row r="28">
      <c r="A28" s="6" t="inlineStr">
        <is>
          <t>アウトライヤー</t>
        </is>
      </c>
      <c r="B28" s="7" t="inlineStr">
        <is>
          <t>チャンネル平均より桁違いに伸びた動画。効いた要素がアイデア・タイトル・サムネのどれかを特定し、借りるのは1つだけ。丸ごと真似は埋もれる</t>
        </is>
      </c>
      <c r="C28" s="8" t="inlineStr">
        <is>
          <t>③</t>
        </is>
      </c>
    </row>
    <row r="29">
      <c r="A29" s="6" t="inlineStr">
        <is>
          <t>案の数</t>
        </is>
      </c>
      <c r="B29" s="7" t="inlineStr">
        <is>
          <t>タイトルは20〜50案、サムネは下書き10〜15案。完成させるのは3案（公開用＋差し替え用2つ）</t>
        </is>
      </c>
      <c r="C29" s="8" t="inlineStr">
        <is>
          <t>①②</t>
        </is>
      </c>
    </row>
    <row r="30">
      <c r="A30" s="6" t="inlineStr">
        <is>
          <t>公開後</t>
        </is>
      </c>
      <c r="B30" s="7" t="inlineStr">
        <is>
          <t>数時間〜48時間で判断。全部平均以上→そのまま／再生・表示が多くCTRだけ低い→外に広がっている証拠なのでそのまま／全部平均以下→差し替え</t>
        </is>
      </c>
      <c r="C30" s="8" t="inlineStr">
        <is>
          <t>①②</t>
        </is>
      </c>
    </row>
    <row r="31">
      <c r="A31" s="6" t="inlineStr">
        <is>
          <t>心構え</t>
        </is>
      </c>
      <c r="B31" s="7" t="inlineStr">
        <is>
          <t>完璧なサムネはない。ガイドラインは破ってよいが、まず知ること。伸びなかった動画も学びになる。続けた人が勝つ</t>
        </is>
      </c>
      <c r="C31" s="8" t="inlineStr">
        <is>
          <t>①③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0" customWidth="1" min="4" max="4"/>
    <col width="8" customWidth="1" min="5" max="5"/>
    <col width="10" customWidth="1" min="6" max="6"/>
    <col width="11" customWidth="1" min="7" max="7"/>
    <col width="12" customWidth="1" min="8" max="8"/>
    <col width="12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6" customWidth="1" min="16" max="16"/>
    <col width="24" customWidth="1" min="17" max="17"/>
  </cols>
  <sheetData>
    <row r="1">
      <c r="A1" s="1" t="inlineStr">
        <is>
          <t>分析すべきポイント：伸びた動画を分解する</t>
        </is>
      </c>
    </row>
    <row r="2">
      <c r="A2" s="2" t="inlineStr">
        <is>
          <t>登録者数に対して再生数が多い動画を集め、何が効いたかを分解する。倍率3倍以上を目安に「候補」表示（※動画の分析ツールの指標3を参考にした簡易版）</t>
        </is>
      </c>
    </row>
    <row r="3">
      <c r="A3" s="2" t="inlineStr">
        <is>
          <t>凡例：黄色＝記入欄 ／ 灰色の斜体＝記入例（上書き・削除OK） ／ 白＝自動計算</t>
        </is>
      </c>
    </row>
    <row r="5" ht="32" customHeight="1">
      <c r="A5" s="3" t="inlineStr">
        <is>
          <t>No</t>
        </is>
      </c>
      <c r="B5" s="3" t="inlineStr">
        <is>
          <t>動画タイトル／URL</t>
        </is>
      </c>
      <c r="C5" s="3" t="inlineStr">
        <is>
          <t>登録者数</t>
        </is>
      </c>
      <c r="D5" s="3" t="inlineStr">
        <is>
          <t>再生数</t>
        </is>
      </c>
      <c r="E5" s="3" t="inlineStr">
        <is>
          <t>倍率</t>
        </is>
      </c>
      <c r="F5" s="3" t="inlineStr">
        <is>
          <t>判定</t>
        </is>
      </c>
      <c r="G5" s="3" t="inlineStr">
        <is>
          <t>一番効いた要素</t>
        </is>
      </c>
      <c r="H5" s="3" t="inlineStr">
        <is>
          <t>サムネの型</t>
        </is>
      </c>
      <c r="I5" s="3" t="inlineStr">
        <is>
          <t>タイトルの作り方</t>
        </is>
      </c>
      <c r="J5" s="3" t="inlineStr">
        <is>
          <t>タイトルの型（構造）</t>
        </is>
      </c>
      <c r="K5" s="3" t="inlineStr">
        <is>
          <t>強い言葉</t>
        </is>
      </c>
      <c r="L5" s="3" t="inlineStr">
        <is>
          <t>ストッパー</t>
        </is>
      </c>
      <c r="M5" s="3" t="inlineStr">
        <is>
          <t>主役</t>
        </is>
      </c>
      <c r="N5" s="3" t="inlineStr">
        <is>
          <t>構図</t>
        </is>
      </c>
      <c r="O5" s="3" t="inlineStr">
        <is>
          <t>コントラスト</t>
        </is>
      </c>
      <c r="P5" s="3" t="inlineStr">
        <is>
          <t>サムネ文字の役割</t>
        </is>
      </c>
      <c r="Q5" s="3" t="inlineStr">
        <is>
          <t>自分が借りる1要素</t>
        </is>
      </c>
    </row>
    <row r="6">
      <c r="A6" s="8" t="n">
        <v>1</v>
      </c>
      <c r="B6" s="9" t="inlineStr">
        <is>
          <t>IELTS独学で7.0取った人の勉強法（仮）</t>
        </is>
      </c>
      <c r="C6" s="10" t="n">
        <v>8000</v>
      </c>
      <c r="D6" s="10" t="n">
        <v>95000</v>
      </c>
      <c r="E6" s="11">
        <f>IF(OR(C6="",D6="",C6=0),"",D6/C6)</f>
        <v/>
      </c>
      <c r="F6" s="8">
        <f>IF(E6="","",IF(E6&gt;=3,"候補","－"))</f>
        <v/>
      </c>
      <c r="G6" s="9" t="inlineStr">
        <is>
          <t>サムネ</t>
        </is>
      </c>
      <c r="H6" s="9" t="inlineStr">
        <is>
          <t>結果型</t>
        </is>
      </c>
      <c r="I6" s="9" t="inlineStr">
        <is>
          <t>オープンループ</t>
        </is>
      </c>
      <c r="J6" s="9" t="inlineStr">
        <is>
          <t>【期間】で【成果】を取った方法</t>
        </is>
      </c>
      <c r="K6" s="9" t="inlineStr">
        <is>
          <t>独学・たった</t>
        </is>
      </c>
      <c r="L6" s="9" t="inlineStr">
        <is>
          <t>大きな数字</t>
        </is>
      </c>
      <c r="M6" s="9" t="inlineStr">
        <is>
          <t>スコア表</t>
        </is>
      </c>
      <c r="N6" s="9" t="inlineStr">
        <is>
          <t>三分割</t>
        </is>
      </c>
      <c r="O6" s="9" t="inlineStr">
        <is>
          <t>明度（暗い背景に白文字）</t>
        </is>
      </c>
      <c r="P6" s="9" t="inlineStr">
        <is>
          <t>規模（3ヶ月）</t>
        </is>
      </c>
      <c r="Q6" s="9" t="inlineStr">
        <is>
          <t>スコア表を主役にする構図</t>
        </is>
      </c>
    </row>
    <row r="7">
      <c r="A7" s="8" t="n">
        <v>2</v>
      </c>
      <c r="B7" s="9" t="inlineStr">
        <is>
          <t>社会人が英語100時間やった結果（仮）</t>
        </is>
      </c>
      <c r="C7" s="10" t="n">
        <v>30000</v>
      </c>
      <c r="D7" s="10" t="n">
        <v>400000</v>
      </c>
      <c r="E7" s="11">
        <f>IF(OR(C7="",D7="",C7=0),"",D7/C7)</f>
        <v/>
      </c>
      <c r="F7" s="8">
        <f>IF(E7="","",IF(E7&gt;=3,"候補","－"))</f>
        <v/>
      </c>
      <c r="G7" s="9" t="inlineStr">
        <is>
          <t>アイデア</t>
        </is>
      </c>
      <c r="H7" s="9" t="inlineStr">
        <is>
          <t>変身型</t>
        </is>
      </c>
      <c r="I7" s="9" t="inlineStr">
        <is>
          <t>オープンループ</t>
        </is>
      </c>
      <c r="J7" s="9" t="inlineStr">
        <is>
          <t>【数字】時間やった結果</t>
        </is>
      </c>
      <c r="K7" s="9" t="inlineStr">
        <is>
          <t>結果</t>
        </is>
      </c>
      <c r="L7" s="9" t="inlineStr">
        <is>
          <t>顔</t>
        </is>
      </c>
      <c r="M7" s="9" t="inlineStr">
        <is>
          <t>本人の表情</t>
        </is>
      </c>
      <c r="N7" s="9" t="inlineStr">
        <is>
          <t>左右対称</t>
        </is>
      </c>
      <c r="O7" s="9" t="inlineStr">
        <is>
          <t>彩度（背景灰色）</t>
        </is>
      </c>
      <c r="P7" s="9" t="inlineStr">
        <is>
          <t>なし</t>
        </is>
      </c>
      <c r="Q7" s="9" t="inlineStr">
        <is>
          <t>ビフォーアフターの企画</t>
        </is>
      </c>
    </row>
    <row r="8">
      <c r="A8" s="8" t="n">
        <v>3</v>
      </c>
      <c r="B8" s="12" t="n"/>
      <c r="C8" s="13" t="n"/>
      <c r="D8" s="13" t="n"/>
      <c r="E8" s="11">
        <f>IF(OR(C8="",D8="",C8=0),"",D8/C8)</f>
        <v/>
      </c>
      <c r="F8" s="8">
        <f>IF(E8="","",IF(E8&gt;=3,"候補","－"))</f>
        <v/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</row>
    <row r="9">
      <c r="A9" s="8" t="n">
        <v>4</v>
      </c>
      <c r="B9" s="12" t="n"/>
      <c r="C9" s="13" t="n"/>
      <c r="D9" s="13" t="n"/>
      <c r="E9" s="11">
        <f>IF(OR(C9="",D9="",C9=0),"",D9/C9)</f>
        <v/>
      </c>
      <c r="F9" s="8">
        <f>IF(E9="","",IF(E9&gt;=3,"候補","－"))</f>
        <v/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</row>
    <row r="10">
      <c r="A10" s="8" t="n">
        <v>5</v>
      </c>
      <c r="B10" s="12" t="n"/>
      <c r="C10" s="13" t="n"/>
      <c r="D10" s="13" t="n"/>
      <c r="E10" s="11">
        <f>IF(OR(C10="",D10="",C10=0),"",D10/C10)</f>
        <v/>
      </c>
      <c r="F10" s="8">
        <f>IF(E10="","",IF(E10&gt;=3,"候補","－"))</f>
        <v/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</row>
    <row r="11">
      <c r="A11" s="8" t="n">
        <v>6</v>
      </c>
      <c r="B11" s="12" t="n"/>
      <c r="C11" s="13" t="n"/>
      <c r="D11" s="13" t="n"/>
      <c r="E11" s="11">
        <f>IF(OR(C11="",D11="",C11=0),"",D11/C11)</f>
        <v/>
      </c>
      <c r="F11" s="8">
        <f>IF(E11="","",IF(E11&gt;=3,"候補","－"))</f>
        <v/>
      </c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</row>
    <row r="12">
      <c r="A12" s="8" t="n">
        <v>7</v>
      </c>
      <c r="B12" s="12" t="n"/>
      <c r="C12" s="13" t="n"/>
      <c r="D12" s="13" t="n"/>
      <c r="E12" s="11">
        <f>IF(OR(C12="",D12="",C12=0),"",D12/C12)</f>
        <v/>
      </c>
      <c r="F12" s="8">
        <f>IF(E12="","",IF(E12&gt;=3,"候補","－"))</f>
        <v/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</row>
    <row r="13">
      <c r="A13" s="8" t="n">
        <v>8</v>
      </c>
      <c r="B13" s="12" t="n"/>
      <c r="C13" s="13" t="n"/>
      <c r="D13" s="13" t="n"/>
      <c r="E13" s="11">
        <f>IF(OR(C13="",D13="",C13=0),"",D13/C13)</f>
        <v/>
      </c>
      <c r="F13" s="8">
        <f>IF(E13="","",IF(E13&gt;=3,"候補","－"))</f>
        <v/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</row>
    <row r="14">
      <c r="A14" s="8" t="n">
        <v>9</v>
      </c>
      <c r="B14" s="12" t="n"/>
      <c r="C14" s="13" t="n"/>
      <c r="D14" s="13" t="n"/>
      <c r="E14" s="11">
        <f>IF(OR(C14="",D14="",C14=0),"",D14/C14)</f>
        <v/>
      </c>
      <c r="F14" s="8">
        <f>IF(E14="","",IF(E14&gt;=3,"候補","－"))</f>
        <v/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</row>
    <row r="15">
      <c r="A15" s="8" t="n">
        <v>10</v>
      </c>
      <c r="B15" s="12" t="n"/>
      <c r="C15" s="13" t="n"/>
      <c r="D15" s="13" t="n"/>
      <c r="E15" s="11">
        <f>IF(OR(C15="",D15="",C15=0),"",D15/C15)</f>
        <v/>
      </c>
      <c r="F15" s="8">
        <f>IF(E15="","",IF(E15&gt;=3,"候補","－"))</f>
        <v/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</row>
    <row r="16">
      <c r="A16" s="8" t="n">
        <v>11</v>
      </c>
      <c r="B16" s="12" t="n"/>
      <c r="C16" s="13" t="n"/>
      <c r="D16" s="13" t="n"/>
      <c r="E16" s="11">
        <f>IF(OR(C16="",D16="",C16=0),"",D16/C16)</f>
        <v/>
      </c>
      <c r="F16" s="8">
        <f>IF(E16="","",IF(E16&gt;=3,"候補","－"))</f>
        <v/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</row>
    <row r="17">
      <c r="A17" s="8" t="n">
        <v>12</v>
      </c>
      <c r="B17" s="12" t="n"/>
      <c r="C17" s="13" t="n"/>
      <c r="D17" s="13" t="n"/>
      <c r="E17" s="11">
        <f>IF(OR(C17="",D17="",C17=0),"",D17/C17)</f>
        <v/>
      </c>
      <c r="F17" s="8">
        <f>IF(E17="","",IF(E17&gt;=3,"候補","－"))</f>
        <v/>
      </c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</row>
    <row r="18">
      <c r="A18" s="8" t="n">
        <v>13</v>
      </c>
      <c r="B18" s="12" t="n"/>
      <c r="C18" s="13" t="n"/>
      <c r="D18" s="13" t="n"/>
      <c r="E18" s="11">
        <f>IF(OR(C18="",D18="",C18=0),"",D18/C18)</f>
        <v/>
      </c>
      <c r="F18" s="8">
        <f>IF(E18="","",IF(E18&gt;=3,"候補","－"))</f>
        <v/>
      </c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</row>
    <row r="19">
      <c r="A19" s="8" t="n">
        <v>14</v>
      </c>
      <c r="B19" s="12" t="n"/>
      <c r="C19" s="13" t="n"/>
      <c r="D19" s="13" t="n"/>
      <c r="E19" s="11">
        <f>IF(OR(C19="",D19="",C19=0),"",D19/C19)</f>
        <v/>
      </c>
      <c r="F19" s="8">
        <f>IF(E19="","",IF(E19&gt;=3,"候補","－"))</f>
        <v/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</row>
    <row r="20">
      <c r="A20" s="8" t="n">
        <v>15</v>
      </c>
      <c r="B20" s="12" t="n"/>
      <c r="C20" s="13" t="n"/>
      <c r="D20" s="13" t="n"/>
      <c r="E20" s="11">
        <f>IF(OR(C20="",D20="",C20=0),"",D20/C20)</f>
        <v/>
      </c>
      <c r="F20" s="8">
        <f>IF(E20="","",IF(E20&gt;=3,"候補","－"))</f>
        <v/>
      </c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</row>
    <row r="21">
      <c r="A21" s="8" t="n">
        <v>16</v>
      </c>
      <c r="B21" s="12" t="n"/>
      <c r="C21" s="13" t="n"/>
      <c r="D21" s="13" t="n"/>
      <c r="E21" s="11">
        <f>IF(OR(C21="",D21="",C21=0),"",D21/C21)</f>
        <v/>
      </c>
      <c r="F21" s="8">
        <f>IF(E21="","",IF(E21&gt;=3,"候補","－"))</f>
        <v/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</row>
    <row r="22">
      <c r="A22" s="8" t="n">
        <v>17</v>
      </c>
      <c r="B22" s="12" t="n"/>
      <c r="C22" s="13" t="n"/>
      <c r="D22" s="13" t="n"/>
      <c r="E22" s="11">
        <f>IF(OR(C22="",D22="",C22=0),"",D22/C22)</f>
        <v/>
      </c>
      <c r="F22" s="8">
        <f>IF(E22="","",IF(E22&gt;=3,"候補","－"))</f>
        <v/>
      </c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</row>
    <row r="23">
      <c r="A23" s="8" t="n">
        <v>18</v>
      </c>
      <c r="B23" s="12" t="n"/>
      <c r="C23" s="13" t="n"/>
      <c r="D23" s="13" t="n"/>
      <c r="E23" s="11">
        <f>IF(OR(C23="",D23="",C23=0),"",D23/C23)</f>
        <v/>
      </c>
      <c r="F23" s="8">
        <f>IF(E23="","",IF(E23&gt;=3,"候補","－"))</f>
        <v/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</row>
    <row r="24">
      <c r="A24" s="8" t="n">
        <v>19</v>
      </c>
      <c r="B24" s="12" t="n"/>
      <c r="C24" s="13" t="n"/>
      <c r="D24" s="13" t="n"/>
      <c r="E24" s="11">
        <f>IF(OR(C24="",D24="",C24=0),"",D24/C24)</f>
        <v/>
      </c>
      <c r="F24" s="8">
        <f>IF(E24="","",IF(E24&gt;=3,"候補","－"))</f>
        <v/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</row>
    <row r="25">
      <c r="A25" s="8" t="n">
        <v>20</v>
      </c>
      <c r="B25" s="12" t="n"/>
      <c r="C25" s="13" t="n"/>
      <c r="D25" s="13" t="n"/>
      <c r="E25" s="11">
        <f>IF(OR(C25="",D25="",C25=0),"",D25/C25)</f>
        <v/>
      </c>
      <c r="F25" s="8">
        <f>IF(E25="","",IF(E25&gt;=3,"候補","－"))</f>
        <v/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</row>
    <row r="27">
      <c r="A27" s="2" t="inlineStr">
        <is>
          <t>見方：①平均より伸びた動画を探す → ②アイデア・タイトル・サムネのどれが効いたか1つ特定 → ③その1要素だけ自分のレシピに合わせて借りる（丸ごと真似はしない）</t>
        </is>
      </c>
    </row>
  </sheetData>
  <conditionalFormatting sqref="F6:F25">
    <cfRule type="cellIs" priority="1" operator="equal" dxfId="0">
      <formula>"候補"</formula>
    </cfRule>
  </conditionalFormatting>
  <dataValidations count="6">
    <dataValidation sqref="G6:G25" showDropDown="0" showInputMessage="0" showErrorMessage="0" allowBlank="1" type="list">
      <formula1>"アイデア,タイトル,サムネ"</formula1>
    </dataValidation>
    <dataValidation sqref="H6:H25" showDropDown="0" showInputMessage="0" showErrorMessage="0" allowBlank="1" type="list">
      <formula1>"瞬間型,ストーリー型,結果型,変身型,新奇性型"</formula1>
    </dataValidation>
    <dataValidation sqref="I6:I25" showDropDown="0" showInputMessage="0" showErrorMessage="0" allowBlank="1" type="list">
      <formula1>"オープンループ,対立,両方,なし"</formula1>
    </dataValidation>
    <dataValidation sqref="L6:L25" showDropDown="0" showInputMessage="0" showErrorMessage="0" allowBlank="1" type="list">
      <formula1>"顔,見慣れたもの,大きな数字,お金,危険・動き,感情,鮮やかな色,美しさ"</formula1>
    </dataValidation>
    <dataValidation sqref="N6:N25" showDropDown="0" showInputMessage="0" showErrorMessage="0" allowBlank="1" type="list">
      <formula1>"左右対称,三分割"</formula1>
    </dataValidation>
    <dataValidation sqref="P6:P25" showDropDown="0" showInputMessage="0" showErrorMessage="0" allowBlank="1" type="list">
      <formula1>"規模,背景の説明,補足,見出し,なし"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44" customWidth="1" min="4" max="4"/>
    <col width="8" customWidth="1" min="5" max="5"/>
    <col width="8" customWidth="1" min="6" max="6"/>
  </cols>
  <sheetData>
    <row r="1">
      <c r="A1" s="1" t="inlineStr">
        <is>
          <t>サムネイルとタイトルを作る手順</t>
        </is>
      </c>
    </row>
    <row r="2">
      <c r="A2" s="2" t="inlineStr">
        <is>
          <t>上から順に進める。動画の制作（台本・撮影）に入る前に STEP 7 まで終わらせるのが理想</t>
        </is>
      </c>
    </row>
    <row r="3">
      <c r="A3" s="2" t="inlineStr">
        <is>
          <t>凡例：黄色＝記入欄 ／ 灰色の斜体＝記入例（上書き・削除OK） ／ 白＝自動計算</t>
        </is>
      </c>
    </row>
    <row r="5" ht="32" customHeight="1">
      <c r="A5" s="3" t="inlineStr">
        <is>
          <t>STEP</t>
        </is>
      </c>
      <c r="B5" s="3" t="inlineStr">
        <is>
          <t>段階</t>
        </is>
      </c>
      <c r="C5" s="3" t="inlineStr">
        <is>
          <t>やること</t>
        </is>
      </c>
      <c r="D5" s="3" t="inlineStr">
        <is>
          <t>考える問い</t>
        </is>
      </c>
      <c r="E5" s="3" t="inlineStr">
        <is>
          <t>出典</t>
        </is>
      </c>
      <c r="F5" s="3" t="inlineStr">
        <is>
          <t>済✔</t>
        </is>
      </c>
    </row>
    <row r="6" ht="42" customHeight="1">
      <c r="A6" s="14" t="inlineStr">
        <is>
          <t>0</t>
        </is>
      </c>
      <c r="B6" s="14" t="inlineStr">
        <is>
          <t>土台</t>
        </is>
      </c>
      <c r="C6" s="7" t="inlineStr">
        <is>
          <t>チャンネル戦略と動画レシピを確認する</t>
        </is>
      </c>
      <c r="D6" s="7" t="inlineStr">
        <is>
          <t>前の動画の視聴者の8割がこの動画に興味を持つ？ いつものフォーマット・レシピに乗っている？</t>
        </is>
      </c>
      <c r="E6" s="8" t="inlineStr">
        <is>
          <t>③</t>
        </is>
      </c>
      <c r="F6" s="15" t="n"/>
    </row>
    <row r="7" ht="42" customHeight="1">
      <c r="A7" s="14" t="inlineStr">
        <is>
          <t>1</t>
        </is>
      </c>
      <c r="B7" s="14" t="inlineStr">
        <is>
          <t>企画</t>
        </is>
      </c>
      <c r="C7" s="7" t="inlineStr">
        <is>
          <t>企画の強さを確かめる</t>
        </is>
      </c>
      <c r="D7" s="7" t="inlineStr">
        <is>
          <t>好奇心のギャップが作れる企画か？ サムネが思いつかないなら企画を見直す</t>
        </is>
      </c>
      <c r="E7" s="8" t="inlineStr">
        <is>
          <t>①</t>
        </is>
      </c>
      <c r="F7" s="15" t="n"/>
    </row>
    <row r="8" ht="42" customHeight="1">
      <c r="A8" s="14" t="inlineStr">
        <is>
          <t>2</t>
        </is>
      </c>
      <c r="B8" s="14" t="inlineStr">
        <is>
          <t>研究</t>
        </is>
      </c>
      <c r="C8" s="7" t="inlineStr">
        <is>
          <t>アウトライヤーを探して 01 に記録する</t>
        </is>
      </c>
      <c r="D8" s="7" t="inlineStr">
        <is>
          <t>登録者に対して桁違いに伸びた動画は？ ジャンルの外にもないか？</t>
        </is>
      </c>
      <c r="E8" s="8" t="inlineStr">
        <is>
          <t>③</t>
        </is>
      </c>
      <c r="F8" s="15" t="n"/>
    </row>
    <row r="9" ht="42" customHeight="1">
      <c r="A9" s="14" t="inlineStr">
        <is>
          <t>3</t>
        </is>
      </c>
      <c r="B9" s="14" t="inlineStr">
        <is>
          <t>研究</t>
        </is>
      </c>
      <c r="C9" s="7" t="inlineStr">
        <is>
          <t>効いた要素を1つだけ特定し、借りるものを決める</t>
        </is>
      </c>
      <c r="D9" s="7" t="inlineStr">
        <is>
          <t>アイデア・タイトル・サムネのどれが効いた？ 自分のレシピに合わせるとどうなる？</t>
        </is>
      </c>
      <c r="E9" s="8" t="inlineStr">
        <is>
          <t>③</t>
        </is>
      </c>
      <c r="F9" s="15" t="n"/>
    </row>
    <row r="10" ht="42" customHeight="1">
      <c r="A10" s="14" t="inlineStr">
        <is>
          <t>4</t>
        </is>
      </c>
      <c r="B10" s="14" t="inlineStr">
        <is>
          <t>心理</t>
        </is>
      </c>
      <c r="C10" s="7" t="inlineStr">
        <is>
          <t>好奇心の型と、伏せる情報を決める</t>
        </is>
      </c>
      <c r="D10" s="7" t="inlineStr">
        <is>
          <t>5つの型のどれ？ 視聴者が「答えを知りたい」と思う問いは何？</t>
        </is>
      </c>
      <c r="E10" s="8" t="inlineStr">
        <is>
          <t>①②</t>
        </is>
      </c>
      <c r="F10" s="15" t="n"/>
    </row>
    <row r="11" ht="42" customHeight="1">
      <c r="A11" s="14" t="inlineStr">
        <is>
          <t>5</t>
        </is>
      </c>
      <c r="B11" s="14" t="inlineStr">
        <is>
          <t>タイトル</t>
        </is>
      </c>
      <c r="C11" s="7" t="inlineStr">
        <is>
          <t>タイトルを20案以上出して採点する（03）</t>
        </is>
      </c>
      <c r="D11" s="7" t="inlineStr">
        <is>
          <t>結末を伏せている？ 対立がある？ 実績ある型？ 強い言葉？ 前半30字※で伝わる？</t>
        </is>
      </c>
      <c r="E11" s="8" t="inlineStr">
        <is>
          <t>②</t>
        </is>
      </c>
      <c r="F11" s="15" t="n"/>
    </row>
    <row r="12" ht="42" customHeight="1">
      <c r="A12" s="14" t="inlineStr">
        <is>
          <t>6</t>
        </is>
      </c>
      <c r="B12" s="14" t="inlineStr">
        <is>
          <t>サムネ</t>
        </is>
      </c>
      <c r="C12" s="7" t="inlineStr">
        <is>
          <t>サムネの下書きを10〜15案出す（絵は下手でOK）</t>
        </is>
      </c>
      <c r="D12" s="7" t="inlineStr">
        <is>
          <t>型・ストッパー・構図・コントラストを変えた、まったく別の案になっている？</t>
        </is>
      </c>
      <c r="E12" s="8" t="inlineStr">
        <is>
          <t>①</t>
        </is>
      </c>
      <c r="F12" s="15" t="n"/>
    </row>
    <row r="13" ht="42" customHeight="1">
      <c r="A13" s="14" t="inlineStr">
        <is>
          <t>7</t>
        </is>
      </c>
      <c r="B13" s="14" t="inlineStr">
        <is>
          <t>組み合わせ</t>
        </is>
      </c>
      <c r="C13" s="7" t="inlineStr">
        <is>
          <t>タイトル×サムネを3セットに絞る</t>
        </is>
      </c>
      <c r="D13" s="7" t="inlineStr">
        <is>
          <t>同じことを繰り返していない？ 2つで1つの好奇心になっている？</t>
        </is>
      </c>
      <c r="E13" s="8" t="inlineStr">
        <is>
          <t>①②</t>
        </is>
      </c>
      <c r="F13" s="15" t="n"/>
    </row>
    <row r="14" ht="42" customHeight="1">
      <c r="A14" s="14" t="inlineStr">
        <is>
          <t>8</t>
        </is>
      </c>
      <c r="B14" s="14" t="inlineStr">
        <is>
          <t>デザイン</t>
        </is>
      </c>
      <c r="C14" s="7" t="inlineStr">
        <is>
          <t>3セットのサムネを仕上げる（3つのC）</t>
        </is>
      </c>
      <c r="D14" s="7" t="inlineStr">
        <is>
          <t>主役は1つで一番目立つ？ 文字は情報を足している？ 10字以内※？</t>
        </is>
      </c>
      <c r="E14" s="8" t="inlineStr">
        <is>
          <t>①</t>
        </is>
      </c>
      <c r="F14" s="15" t="n"/>
    </row>
    <row r="15" ht="42" customHeight="1">
      <c r="A15" s="14" t="inlineStr">
        <is>
          <t>9</t>
        </is>
      </c>
      <c r="B15" s="14" t="inlineStr">
        <is>
          <t>テスト</t>
        </is>
      </c>
      <c r="C15" s="7" t="inlineStr">
        <is>
          <t>3つのテストをする（04）</t>
        </is>
      </c>
      <c r="D15" s="7" t="inlineStr">
        <is>
          <t>小さい表示で読める？ 競合と並べて目立つ？ 他人に2秒見せて伝わる？</t>
        </is>
      </c>
      <c r="E15" s="8" t="inlineStr">
        <is>
          <t>①</t>
        </is>
      </c>
      <c r="F15" s="15" t="n"/>
    </row>
    <row r="16" ht="42" customHeight="1">
      <c r="A16" s="14" t="inlineStr">
        <is>
          <t>10</t>
        </is>
      </c>
      <c r="B16" s="14" t="inlineStr">
        <is>
          <t>公開</t>
        </is>
      </c>
      <c r="C16" s="7" t="inlineStr">
        <is>
          <t>セットAで公開し、B・Cを待機させる</t>
        </is>
      </c>
      <c r="D16" s="7" t="inlineStr">
        <is>
          <t>差し替え用の2案は色違いではなく別コンセプトになっている？</t>
        </is>
      </c>
      <c r="E16" s="8" t="inlineStr">
        <is>
          <t>①</t>
        </is>
      </c>
      <c r="F16" s="15" t="n"/>
    </row>
    <row r="17" ht="42" customHeight="1">
      <c r="A17" s="14" t="inlineStr">
        <is>
          <t>11</t>
        </is>
      </c>
      <c r="B17" s="14" t="inlineStr">
        <is>
          <t>検証</t>
        </is>
      </c>
      <c r="C17" s="7" t="inlineStr">
        <is>
          <t>公開後数時間〜48時間で判定する（05）</t>
        </is>
      </c>
      <c r="D17" s="7" t="inlineStr">
        <is>
          <t>再生・表示・CTRはチャンネル平均と比べてどう？</t>
        </is>
      </c>
      <c r="E17" s="8" t="inlineStr">
        <is>
          <t>①②</t>
        </is>
      </c>
      <c r="F17" s="15" t="n"/>
    </row>
    <row r="18" ht="42" customHeight="1">
      <c r="A18" s="14" t="inlineStr">
        <is>
          <t>12</t>
        </is>
      </c>
      <c r="B18" s="14" t="inlineStr">
        <is>
          <t>学び</t>
        </is>
      </c>
      <c r="C18" s="7" t="inlineStr">
        <is>
          <t>結果を 05 と 01 に残し、次の動画に使う</t>
        </is>
      </c>
      <c r="D18" s="7" t="inlineStr">
        <is>
          <t>何が効いた？ 次に借りる型は？</t>
        </is>
      </c>
      <c r="E18" s="8" t="inlineStr">
        <is>
          <t>③</t>
        </is>
      </c>
      <c r="F18" s="15" t="n"/>
    </row>
    <row r="20">
      <c r="A20" s="16">
        <f>COUNTIF(F6:F18,"✔")&amp;" / 13 STEP 完了"</f>
        <v/>
      </c>
    </row>
  </sheetData>
  <dataValidations count="1">
    <dataValidation sqref="F6:F18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7" customWidth="1" min="3" max="3"/>
    <col width="30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6" customWidth="1" min="10" max="10"/>
  </cols>
  <sheetData>
    <row r="1">
      <c r="A1" s="1" t="inlineStr">
        <is>
          <t>タイトル・サムネ案出しシート（1動画ぶん）</t>
        </is>
      </c>
    </row>
    <row r="2">
      <c r="A2" s="2" t="inlineStr">
        <is>
          <t>このシートをコピーして動画ごとに使う。採点は1〜5。合計と順位は自動</t>
        </is>
      </c>
    </row>
    <row r="3">
      <c r="A3" s="2" t="inlineStr">
        <is>
          <t>凡例：黄色＝記入欄 ／ 灰色の斜体＝記入例（上書き・削除OK） ／ 白＝自動計算</t>
        </is>
      </c>
    </row>
    <row r="4">
      <c r="A4" s="6" t="inlineStr">
        <is>
          <t>動画のテーマ</t>
        </is>
      </c>
      <c r="B4" s="17" t="n"/>
      <c r="C4" s="9" t="inlineStr">
        <is>
          <t>IELTSライティングを独学で6.5→7.0</t>
        </is>
      </c>
      <c r="D4" s="18" t="n"/>
      <c r="E4" s="18" t="n"/>
      <c r="F4" s="18" t="n"/>
      <c r="G4" s="18" t="n"/>
      <c r="H4" s="17" t="n"/>
    </row>
    <row r="5">
      <c r="A5" s="6" t="inlineStr">
        <is>
          <t>好奇心の型</t>
        </is>
      </c>
      <c r="B5" s="17" t="n"/>
      <c r="C5" s="9" t="inlineStr">
        <is>
          <t>結果型</t>
        </is>
      </c>
      <c r="D5" s="18" t="n"/>
      <c r="E5" s="18" t="n"/>
      <c r="F5" s="18" t="n"/>
      <c r="G5" s="18" t="n"/>
      <c r="H5" s="17" t="n"/>
    </row>
    <row r="6">
      <c r="A6" s="6" t="inlineStr">
        <is>
          <t>伏せる情報（答え）</t>
        </is>
      </c>
      <c r="B6" s="17" t="n"/>
      <c r="C6" s="9" t="inlineStr">
        <is>
          <t>添削なしで上げた具体的な方法</t>
        </is>
      </c>
      <c r="D6" s="18" t="n"/>
      <c r="E6" s="18" t="n"/>
      <c r="F6" s="18" t="n"/>
      <c r="G6" s="18" t="n"/>
      <c r="H6" s="17" t="n"/>
    </row>
    <row r="7">
      <c r="A7" s="6" t="inlineStr">
        <is>
          <t>借りる要素（01のNo）</t>
        </is>
      </c>
      <c r="B7" s="17" t="n"/>
      <c r="C7" s="9" t="inlineStr">
        <is>
          <t>No1：スコア表を主役にするサムネ構図</t>
        </is>
      </c>
      <c r="D7" s="18" t="n"/>
      <c r="E7" s="18" t="n"/>
      <c r="F7" s="18" t="n"/>
      <c r="G7" s="18" t="n"/>
      <c r="H7" s="17" t="n"/>
    </row>
    <row r="8">
      <c r="A8" s="6" t="inlineStr">
        <is>
          <t>ストッパー（1〜2個）</t>
        </is>
      </c>
      <c r="B8" s="17" t="n"/>
      <c r="C8" s="9" t="inlineStr">
        <is>
          <t>大きな数字（7.0）</t>
        </is>
      </c>
      <c r="D8" s="18" t="n"/>
      <c r="E8" s="18" t="n"/>
      <c r="F8" s="18" t="n"/>
      <c r="G8" s="18" t="n"/>
      <c r="H8" s="17" t="n"/>
    </row>
    <row r="10">
      <c r="A10" s="4" t="inlineStr">
        <is>
          <t>タイトル案（20案以上。全部書き出してから採点）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2" customHeight="1">
      <c r="A11" s="3" t="inlineStr">
        <is>
          <t>No</t>
        </is>
      </c>
      <c r="B11" s="3" t="inlineStr">
        <is>
          <t>タイトル案</t>
        </is>
      </c>
      <c r="C11" s="3" t="inlineStr">
        <is>
          <t>字数</t>
        </is>
      </c>
      <c r="D11" s="3" t="inlineStr">
        <is>
          <t>スマホで見える部分（前半30字※）</t>
        </is>
      </c>
      <c r="E11" s="3" t="inlineStr">
        <is>
          <t>好奇心</t>
        </is>
      </c>
      <c r="F11" s="3" t="inlineStr">
        <is>
          <t>強い言葉</t>
        </is>
      </c>
      <c r="G11" s="3" t="inlineStr">
        <is>
          <t>分かりやすさ</t>
        </is>
      </c>
      <c r="H11" s="3" t="inlineStr">
        <is>
          <t>サムネと重複しない</t>
        </is>
      </c>
      <c r="I11" s="3" t="inlineStr">
        <is>
          <t>合計/20</t>
        </is>
      </c>
      <c r="J11" s="3" t="inlineStr">
        <is>
          <t>順位</t>
        </is>
      </c>
    </row>
    <row r="12">
      <c r="A12" s="8" t="n">
        <v>1</v>
      </c>
      <c r="B12" s="9" t="inlineStr">
        <is>
          <t>IELTSライティング 独学で6.5→7.0にした添削ルーティン</t>
        </is>
      </c>
      <c r="C12" s="8">
        <f>IF(B12="","",LEN(B12))</f>
        <v/>
      </c>
      <c r="D12" s="7">
        <f>IF(B12="","",LEFT(B12,30))</f>
        <v/>
      </c>
      <c r="E12" s="9" t="n">
        <v>4</v>
      </c>
      <c r="F12" s="9" t="n">
        <v>3</v>
      </c>
      <c r="G12" s="9" t="n">
        <v>5</v>
      </c>
      <c r="H12" s="9" t="n">
        <v>4</v>
      </c>
      <c r="I12" s="14">
        <f>IF(COUNT(E12:H12)=4,SUM(E12:H12),"")</f>
        <v/>
      </c>
      <c r="J12" s="8">
        <f>IF(I12="","",RANK(I12,$I$12:$I$31))</f>
        <v/>
      </c>
    </row>
    <row r="13">
      <c r="A13" s="8" t="n">
        <v>2</v>
      </c>
      <c r="B13" s="9" t="inlineStr">
        <is>
          <t>添削なしでIELTSライティング7.0を取った、たった1つの習慣</t>
        </is>
      </c>
      <c r="C13" s="8">
        <f>IF(B13="","",LEN(B13))</f>
        <v/>
      </c>
      <c r="D13" s="7">
        <f>IF(B13="","",LEFT(B13,30))</f>
        <v/>
      </c>
      <c r="E13" s="9" t="n">
        <v>5</v>
      </c>
      <c r="F13" s="9" t="n">
        <v>4</v>
      </c>
      <c r="G13" s="9" t="n">
        <v>4</v>
      </c>
      <c r="H13" s="9" t="n">
        <v>5</v>
      </c>
      <c r="I13" s="14">
        <f>IF(COUNT(E13:H13)=4,SUM(E13:H13),"")</f>
        <v/>
      </c>
      <c r="J13" s="8">
        <f>IF(I13="","",RANK(I13,$I$12:$I$31))</f>
        <v/>
      </c>
    </row>
    <row r="14">
      <c r="A14" s="8" t="n">
        <v>3</v>
      </c>
      <c r="B14" s="9" t="inlineStr">
        <is>
          <t>IELTSライティングが6.5で止まる人がやっている3つのミス</t>
        </is>
      </c>
      <c r="C14" s="8">
        <f>IF(B14="","",LEN(B14))</f>
        <v/>
      </c>
      <c r="D14" s="7">
        <f>IF(B14="","",LEFT(B14,30))</f>
        <v/>
      </c>
      <c r="E14" s="9" t="n">
        <v>4</v>
      </c>
      <c r="F14" s="9" t="n">
        <v>4</v>
      </c>
      <c r="G14" s="9" t="n">
        <v>5</v>
      </c>
      <c r="H14" s="9" t="n">
        <v>4</v>
      </c>
      <c r="I14" s="14">
        <f>IF(COUNT(E14:H14)=4,SUM(E14:H14),"")</f>
        <v/>
      </c>
      <c r="J14" s="8">
        <f>IF(I14="","",RANK(I14,$I$12:$I$31))</f>
        <v/>
      </c>
    </row>
    <row r="15">
      <c r="A15" s="8" t="n">
        <v>4</v>
      </c>
      <c r="B15" s="12" t="n"/>
      <c r="C15" s="8">
        <f>IF(B15="","",LEN(B15))</f>
        <v/>
      </c>
      <c r="D15" s="7">
        <f>IF(B15="","",LEFT(B15,30))</f>
        <v/>
      </c>
      <c r="E15" s="12" t="n"/>
      <c r="F15" s="12" t="n"/>
      <c r="G15" s="12" t="n"/>
      <c r="H15" s="12" t="n"/>
      <c r="I15" s="14">
        <f>IF(COUNT(E15:H15)=4,SUM(E15:H15),"")</f>
        <v/>
      </c>
      <c r="J15" s="8">
        <f>IF(I15="","",RANK(I15,$I$12:$I$31))</f>
        <v/>
      </c>
    </row>
    <row r="16">
      <c r="A16" s="8" t="n">
        <v>5</v>
      </c>
      <c r="B16" s="12" t="n"/>
      <c r="C16" s="8">
        <f>IF(B16="","",LEN(B16))</f>
        <v/>
      </c>
      <c r="D16" s="7">
        <f>IF(B16="","",LEFT(B16,30))</f>
        <v/>
      </c>
      <c r="E16" s="12" t="n"/>
      <c r="F16" s="12" t="n"/>
      <c r="G16" s="12" t="n"/>
      <c r="H16" s="12" t="n"/>
      <c r="I16" s="14">
        <f>IF(COUNT(E16:H16)=4,SUM(E16:H16),"")</f>
        <v/>
      </c>
      <c r="J16" s="8">
        <f>IF(I16="","",RANK(I16,$I$12:$I$31))</f>
        <v/>
      </c>
    </row>
    <row r="17">
      <c r="A17" s="8" t="n">
        <v>6</v>
      </c>
      <c r="B17" s="12" t="n"/>
      <c r="C17" s="8">
        <f>IF(B17="","",LEN(B17))</f>
        <v/>
      </c>
      <c r="D17" s="7">
        <f>IF(B17="","",LEFT(B17,30))</f>
        <v/>
      </c>
      <c r="E17" s="12" t="n"/>
      <c r="F17" s="12" t="n"/>
      <c r="G17" s="12" t="n"/>
      <c r="H17" s="12" t="n"/>
      <c r="I17" s="14">
        <f>IF(COUNT(E17:H17)=4,SUM(E17:H17),"")</f>
        <v/>
      </c>
      <c r="J17" s="8">
        <f>IF(I17="","",RANK(I17,$I$12:$I$31))</f>
        <v/>
      </c>
    </row>
    <row r="18">
      <c r="A18" s="8" t="n">
        <v>7</v>
      </c>
      <c r="B18" s="12" t="n"/>
      <c r="C18" s="8">
        <f>IF(B18="","",LEN(B18))</f>
        <v/>
      </c>
      <c r="D18" s="7">
        <f>IF(B18="","",LEFT(B18,30))</f>
        <v/>
      </c>
      <c r="E18" s="12" t="n"/>
      <c r="F18" s="12" t="n"/>
      <c r="G18" s="12" t="n"/>
      <c r="H18" s="12" t="n"/>
      <c r="I18" s="14">
        <f>IF(COUNT(E18:H18)=4,SUM(E18:H18),"")</f>
        <v/>
      </c>
      <c r="J18" s="8">
        <f>IF(I18="","",RANK(I18,$I$12:$I$31))</f>
        <v/>
      </c>
    </row>
    <row r="19">
      <c r="A19" s="8" t="n">
        <v>8</v>
      </c>
      <c r="B19" s="12" t="n"/>
      <c r="C19" s="8">
        <f>IF(B19="","",LEN(B19))</f>
        <v/>
      </c>
      <c r="D19" s="7">
        <f>IF(B19="","",LEFT(B19,30))</f>
        <v/>
      </c>
      <c r="E19" s="12" t="n"/>
      <c r="F19" s="12" t="n"/>
      <c r="G19" s="12" t="n"/>
      <c r="H19" s="12" t="n"/>
      <c r="I19" s="14">
        <f>IF(COUNT(E19:H19)=4,SUM(E19:H19),"")</f>
        <v/>
      </c>
      <c r="J19" s="8">
        <f>IF(I19="","",RANK(I19,$I$12:$I$31))</f>
        <v/>
      </c>
    </row>
    <row r="20">
      <c r="A20" s="8" t="n">
        <v>9</v>
      </c>
      <c r="B20" s="12" t="n"/>
      <c r="C20" s="8">
        <f>IF(B20="","",LEN(B20))</f>
        <v/>
      </c>
      <c r="D20" s="7">
        <f>IF(B20="","",LEFT(B20,30))</f>
        <v/>
      </c>
      <c r="E20" s="12" t="n"/>
      <c r="F20" s="12" t="n"/>
      <c r="G20" s="12" t="n"/>
      <c r="H20" s="12" t="n"/>
      <c r="I20" s="14">
        <f>IF(COUNT(E20:H20)=4,SUM(E20:H20),"")</f>
        <v/>
      </c>
      <c r="J20" s="8">
        <f>IF(I20="","",RANK(I20,$I$12:$I$31))</f>
        <v/>
      </c>
    </row>
    <row r="21">
      <c r="A21" s="8" t="n">
        <v>10</v>
      </c>
      <c r="B21" s="12" t="n"/>
      <c r="C21" s="8">
        <f>IF(B21="","",LEN(B21))</f>
        <v/>
      </c>
      <c r="D21" s="7">
        <f>IF(B21="","",LEFT(B21,30))</f>
        <v/>
      </c>
      <c r="E21" s="12" t="n"/>
      <c r="F21" s="12" t="n"/>
      <c r="G21" s="12" t="n"/>
      <c r="H21" s="12" t="n"/>
      <c r="I21" s="14">
        <f>IF(COUNT(E21:H21)=4,SUM(E21:H21),"")</f>
        <v/>
      </c>
      <c r="J21" s="8">
        <f>IF(I21="","",RANK(I21,$I$12:$I$31))</f>
        <v/>
      </c>
    </row>
    <row r="22">
      <c r="A22" s="8" t="n">
        <v>11</v>
      </c>
      <c r="B22" s="12" t="n"/>
      <c r="C22" s="8">
        <f>IF(B22="","",LEN(B22))</f>
        <v/>
      </c>
      <c r="D22" s="7">
        <f>IF(B22="","",LEFT(B22,30))</f>
        <v/>
      </c>
      <c r="E22" s="12" t="n"/>
      <c r="F22" s="12" t="n"/>
      <c r="G22" s="12" t="n"/>
      <c r="H22" s="12" t="n"/>
      <c r="I22" s="14">
        <f>IF(COUNT(E22:H22)=4,SUM(E22:H22),"")</f>
        <v/>
      </c>
      <c r="J22" s="8">
        <f>IF(I22="","",RANK(I22,$I$12:$I$31))</f>
        <v/>
      </c>
    </row>
    <row r="23">
      <c r="A23" s="8" t="n">
        <v>12</v>
      </c>
      <c r="B23" s="12" t="n"/>
      <c r="C23" s="8">
        <f>IF(B23="","",LEN(B23))</f>
        <v/>
      </c>
      <c r="D23" s="7">
        <f>IF(B23="","",LEFT(B23,30))</f>
        <v/>
      </c>
      <c r="E23" s="12" t="n"/>
      <c r="F23" s="12" t="n"/>
      <c r="G23" s="12" t="n"/>
      <c r="H23" s="12" t="n"/>
      <c r="I23" s="14">
        <f>IF(COUNT(E23:H23)=4,SUM(E23:H23),"")</f>
        <v/>
      </c>
      <c r="J23" s="8">
        <f>IF(I23="","",RANK(I23,$I$12:$I$31))</f>
        <v/>
      </c>
    </row>
    <row r="24">
      <c r="A24" s="8" t="n">
        <v>13</v>
      </c>
      <c r="B24" s="12" t="n"/>
      <c r="C24" s="8">
        <f>IF(B24="","",LEN(B24))</f>
        <v/>
      </c>
      <c r="D24" s="7">
        <f>IF(B24="","",LEFT(B24,30))</f>
        <v/>
      </c>
      <c r="E24" s="12" t="n"/>
      <c r="F24" s="12" t="n"/>
      <c r="G24" s="12" t="n"/>
      <c r="H24" s="12" t="n"/>
      <c r="I24" s="14">
        <f>IF(COUNT(E24:H24)=4,SUM(E24:H24),"")</f>
        <v/>
      </c>
      <c r="J24" s="8">
        <f>IF(I24="","",RANK(I24,$I$12:$I$31))</f>
        <v/>
      </c>
    </row>
    <row r="25">
      <c r="A25" s="8" t="n">
        <v>14</v>
      </c>
      <c r="B25" s="12" t="n"/>
      <c r="C25" s="8">
        <f>IF(B25="","",LEN(B25))</f>
        <v/>
      </c>
      <c r="D25" s="7">
        <f>IF(B25="","",LEFT(B25,30))</f>
        <v/>
      </c>
      <c r="E25" s="12" t="n"/>
      <c r="F25" s="12" t="n"/>
      <c r="G25" s="12" t="n"/>
      <c r="H25" s="12" t="n"/>
      <c r="I25" s="14">
        <f>IF(COUNT(E25:H25)=4,SUM(E25:H25),"")</f>
        <v/>
      </c>
      <c r="J25" s="8">
        <f>IF(I25="","",RANK(I25,$I$12:$I$31))</f>
        <v/>
      </c>
    </row>
    <row r="26">
      <c r="A26" s="8" t="n">
        <v>15</v>
      </c>
      <c r="B26" s="12" t="n"/>
      <c r="C26" s="8">
        <f>IF(B26="","",LEN(B26))</f>
        <v/>
      </c>
      <c r="D26" s="7">
        <f>IF(B26="","",LEFT(B26,30))</f>
        <v/>
      </c>
      <c r="E26" s="12" t="n"/>
      <c r="F26" s="12" t="n"/>
      <c r="G26" s="12" t="n"/>
      <c r="H26" s="12" t="n"/>
      <c r="I26" s="14">
        <f>IF(COUNT(E26:H26)=4,SUM(E26:H26),"")</f>
        <v/>
      </c>
      <c r="J26" s="8">
        <f>IF(I26="","",RANK(I26,$I$12:$I$31))</f>
        <v/>
      </c>
    </row>
    <row r="27">
      <c r="A27" s="8" t="n">
        <v>16</v>
      </c>
      <c r="B27" s="12" t="n"/>
      <c r="C27" s="8">
        <f>IF(B27="","",LEN(B27))</f>
        <v/>
      </c>
      <c r="D27" s="7">
        <f>IF(B27="","",LEFT(B27,30))</f>
        <v/>
      </c>
      <c r="E27" s="12" t="n"/>
      <c r="F27" s="12" t="n"/>
      <c r="G27" s="12" t="n"/>
      <c r="H27" s="12" t="n"/>
      <c r="I27" s="14">
        <f>IF(COUNT(E27:H27)=4,SUM(E27:H27),"")</f>
        <v/>
      </c>
      <c r="J27" s="8">
        <f>IF(I27="","",RANK(I27,$I$12:$I$31))</f>
        <v/>
      </c>
    </row>
    <row r="28">
      <c r="A28" s="8" t="n">
        <v>17</v>
      </c>
      <c r="B28" s="12" t="n"/>
      <c r="C28" s="8">
        <f>IF(B28="","",LEN(B28))</f>
        <v/>
      </c>
      <c r="D28" s="7">
        <f>IF(B28="","",LEFT(B28,30))</f>
        <v/>
      </c>
      <c r="E28" s="12" t="n"/>
      <c r="F28" s="12" t="n"/>
      <c r="G28" s="12" t="n"/>
      <c r="H28" s="12" t="n"/>
      <c r="I28" s="14">
        <f>IF(COUNT(E28:H28)=4,SUM(E28:H28),"")</f>
        <v/>
      </c>
      <c r="J28" s="8">
        <f>IF(I28="","",RANK(I28,$I$12:$I$31))</f>
        <v/>
      </c>
    </row>
    <row r="29">
      <c r="A29" s="8" t="n">
        <v>18</v>
      </c>
      <c r="B29" s="12" t="n"/>
      <c r="C29" s="8">
        <f>IF(B29="","",LEN(B29))</f>
        <v/>
      </c>
      <c r="D29" s="7">
        <f>IF(B29="","",LEFT(B29,30))</f>
        <v/>
      </c>
      <c r="E29" s="12" t="n"/>
      <c r="F29" s="12" t="n"/>
      <c r="G29" s="12" t="n"/>
      <c r="H29" s="12" t="n"/>
      <c r="I29" s="14">
        <f>IF(COUNT(E29:H29)=4,SUM(E29:H29),"")</f>
        <v/>
      </c>
      <c r="J29" s="8">
        <f>IF(I29="","",RANK(I29,$I$12:$I$31))</f>
        <v/>
      </c>
    </row>
    <row r="30">
      <c r="A30" s="8" t="n">
        <v>19</v>
      </c>
      <c r="B30" s="12" t="n"/>
      <c r="C30" s="8">
        <f>IF(B30="","",LEN(B30))</f>
        <v/>
      </c>
      <c r="D30" s="7">
        <f>IF(B30="","",LEFT(B30,30))</f>
        <v/>
      </c>
      <c r="E30" s="12" t="n"/>
      <c r="F30" s="12" t="n"/>
      <c r="G30" s="12" t="n"/>
      <c r="H30" s="12" t="n"/>
      <c r="I30" s="14">
        <f>IF(COUNT(E30:H30)=4,SUM(E30:H30),"")</f>
        <v/>
      </c>
      <c r="J30" s="8">
        <f>IF(I30="","",RANK(I30,$I$12:$I$31))</f>
        <v/>
      </c>
    </row>
    <row r="31">
      <c r="A31" s="8" t="n">
        <v>20</v>
      </c>
      <c r="B31" s="12" t="n"/>
      <c r="C31" s="8">
        <f>IF(B31="","",LEN(B31))</f>
        <v/>
      </c>
      <c r="D31" s="7">
        <f>IF(B31="","",LEFT(B31,30))</f>
        <v/>
      </c>
      <c r="E31" s="12" t="n"/>
      <c r="F31" s="12" t="n"/>
      <c r="G31" s="12" t="n"/>
      <c r="H31" s="12" t="n"/>
      <c r="I31" s="14">
        <f>IF(COUNT(E31:H31)=4,SUM(E31:H31),"")</f>
        <v/>
      </c>
      <c r="J31" s="8">
        <f>IF(I31="","",RANK(I31,$I$12:$I$31))</f>
        <v/>
      </c>
    </row>
    <row r="33">
      <c r="A33" s="4" t="inlineStr">
        <is>
          <t>サムネ下書き（10〜15案。色違いではなく別コンセプトで）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32" customHeight="1">
      <c r="A34" s="3" t="inlineStr">
        <is>
          <t>No</t>
        </is>
      </c>
      <c r="B34" s="3" t="inlineStr">
        <is>
          <t>コンセプト（何が映っている？）</t>
        </is>
      </c>
      <c r="C34" s="3" t="inlineStr">
        <is>
          <t>型</t>
        </is>
      </c>
      <c r="D34" s="3" t="inlineStr">
        <is>
          <t>主役／ストッパー</t>
        </is>
      </c>
      <c r="E34" s="3" t="inlineStr">
        <is>
          <t>文字</t>
        </is>
      </c>
      <c r="F34" s="3" t="inlineStr">
        <is>
          <t>字数</t>
        </is>
      </c>
      <c r="G34" s="3" t="inlineStr">
        <is>
          <t>好奇心</t>
        </is>
      </c>
      <c r="H34" s="3" t="inlineStr">
        <is>
          <t>2秒で伝わる</t>
        </is>
      </c>
      <c r="I34" s="3" t="inlineStr">
        <is>
          <t>目立つ</t>
        </is>
      </c>
      <c r="J34" s="3" t="inlineStr">
        <is>
          <t>合計/15</t>
        </is>
      </c>
    </row>
    <row r="35">
      <c r="A35" s="8" t="n">
        <v>1</v>
      </c>
      <c r="B35" s="9" t="inlineStr">
        <is>
          <t>左に赤ペンだらけの6.5答案、右に7.0のスコア表</t>
        </is>
      </c>
      <c r="C35" s="9" t="inlineStr">
        <is>
          <t>変身型</t>
        </is>
      </c>
      <c r="D35" s="9" t="inlineStr">
        <is>
          <t>スコア表／大きな数字</t>
        </is>
      </c>
      <c r="E35" s="9" t="inlineStr">
        <is>
          <t>独学</t>
        </is>
      </c>
      <c r="F35" s="8">
        <f>IF(E35="","",LEN(E35))</f>
        <v/>
      </c>
      <c r="G35" s="9" t="n">
        <v>5</v>
      </c>
      <c r="H35" s="9" t="n">
        <v>4</v>
      </c>
      <c r="I35" s="9" t="n">
        <v>4</v>
      </c>
      <c r="J35" s="14">
        <f>IF(COUNT(G35:I35)=3,SUM(G35:I35),"")</f>
        <v/>
      </c>
    </row>
    <row r="36">
      <c r="A36" s="8" t="n">
        <v>2</v>
      </c>
      <c r="B36" s="9" t="inlineStr">
        <is>
          <t>7.0のスコア表を持って驚く顔、背景は暗く</t>
        </is>
      </c>
      <c r="C36" s="9" t="inlineStr">
        <is>
          <t>結果型</t>
        </is>
      </c>
      <c r="D36" s="9" t="inlineStr">
        <is>
          <t>スコア表／感情</t>
        </is>
      </c>
      <c r="E36" s="9" t="inlineStr">
        <is>
          <t>添削ゼロ</t>
        </is>
      </c>
      <c r="F36" s="8">
        <f>IF(E36="","",LEN(E36))</f>
        <v/>
      </c>
      <c r="G36" s="9" t="n">
        <v>4</v>
      </c>
      <c r="H36" s="9" t="n">
        <v>5</v>
      </c>
      <c r="I36" s="9" t="n">
        <v>3</v>
      </c>
      <c r="J36" s="14">
        <f>IF(COUNT(G36:I36)=3,SUM(G36:I36),"")</f>
        <v/>
      </c>
    </row>
    <row r="37">
      <c r="A37" s="8" t="n">
        <v>3</v>
      </c>
      <c r="B37" s="12" t="n"/>
      <c r="C37" s="12" t="n"/>
      <c r="D37" s="12" t="n"/>
      <c r="E37" s="12" t="n"/>
      <c r="F37" s="8">
        <f>IF(E37="","",LEN(E37))</f>
        <v/>
      </c>
      <c r="G37" s="12" t="n"/>
      <c r="H37" s="12" t="n"/>
      <c r="I37" s="12" t="n"/>
      <c r="J37" s="14">
        <f>IF(COUNT(G37:I37)=3,SUM(G37:I37),"")</f>
        <v/>
      </c>
    </row>
    <row r="38">
      <c r="A38" s="8" t="n">
        <v>4</v>
      </c>
      <c r="B38" s="12" t="n"/>
      <c r="C38" s="12" t="n"/>
      <c r="D38" s="12" t="n"/>
      <c r="E38" s="12" t="n"/>
      <c r="F38" s="8">
        <f>IF(E38="","",LEN(E38))</f>
        <v/>
      </c>
      <c r="G38" s="12" t="n"/>
      <c r="H38" s="12" t="n"/>
      <c r="I38" s="12" t="n"/>
      <c r="J38" s="14">
        <f>IF(COUNT(G38:I38)=3,SUM(G38:I38),"")</f>
        <v/>
      </c>
    </row>
    <row r="39">
      <c r="A39" s="8" t="n">
        <v>5</v>
      </c>
      <c r="B39" s="12" t="n"/>
      <c r="C39" s="12" t="n"/>
      <c r="D39" s="12" t="n"/>
      <c r="E39" s="12" t="n"/>
      <c r="F39" s="8">
        <f>IF(E39="","",LEN(E39))</f>
        <v/>
      </c>
      <c r="G39" s="12" t="n"/>
      <c r="H39" s="12" t="n"/>
      <c r="I39" s="12" t="n"/>
      <c r="J39" s="14">
        <f>IF(COUNT(G39:I39)=3,SUM(G39:I39),"")</f>
        <v/>
      </c>
    </row>
    <row r="40">
      <c r="A40" s="8" t="n">
        <v>6</v>
      </c>
      <c r="B40" s="12" t="n"/>
      <c r="C40" s="12" t="n"/>
      <c r="D40" s="12" t="n"/>
      <c r="E40" s="12" t="n"/>
      <c r="F40" s="8">
        <f>IF(E40="","",LEN(E40))</f>
        <v/>
      </c>
      <c r="G40" s="12" t="n"/>
      <c r="H40" s="12" t="n"/>
      <c r="I40" s="12" t="n"/>
      <c r="J40" s="14">
        <f>IF(COUNT(G40:I40)=3,SUM(G40:I40),"")</f>
        <v/>
      </c>
    </row>
    <row r="41">
      <c r="A41" s="8" t="n">
        <v>7</v>
      </c>
      <c r="B41" s="12" t="n"/>
      <c r="C41" s="12" t="n"/>
      <c r="D41" s="12" t="n"/>
      <c r="E41" s="12" t="n"/>
      <c r="F41" s="8">
        <f>IF(E41="","",LEN(E41))</f>
        <v/>
      </c>
      <c r="G41" s="12" t="n"/>
      <c r="H41" s="12" t="n"/>
      <c r="I41" s="12" t="n"/>
      <c r="J41" s="14">
        <f>IF(COUNT(G41:I41)=3,SUM(G41:I41),"")</f>
        <v/>
      </c>
    </row>
    <row r="42">
      <c r="A42" s="8" t="n">
        <v>8</v>
      </c>
      <c r="B42" s="12" t="n"/>
      <c r="C42" s="12" t="n"/>
      <c r="D42" s="12" t="n"/>
      <c r="E42" s="12" t="n"/>
      <c r="F42" s="8">
        <f>IF(E42="","",LEN(E42))</f>
        <v/>
      </c>
      <c r="G42" s="12" t="n"/>
      <c r="H42" s="12" t="n"/>
      <c r="I42" s="12" t="n"/>
      <c r="J42" s="14">
        <f>IF(COUNT(G42:I42)=3,SUM(G42:I42),"")</f>
        <v/>
      </c>
    </row>
    <row r="43">
      <c r="A43" s="8" t="n">
        <v>9</v>
      </c>
      <c r="B43" s="12" t="n"/>
      <c r="C43" s="12" t="n"/>
      <c r="D43" s="12" t="n"/>
      <c r="E43" s="12" t="n"/>
      <c r="F43" s="8">
        <f>IF(E43="","",LEN(E43))</f>
        <v/>
      </c>
      <c r="G43" s="12" t="n"/>
      <c r="H43" s="12" t="n"/>
      <c r="I43" s="12" t="n"/>
      <c r="J43" s="14">
        <f>IF(COUNT(G43:I43)=3,SUM(G43:I43),"")</f>
        <v/>
      </c>
    </row>
    <row r="44">
      <c r="A44" s="8" t="n">
        <v>10</v>
      </c>
      <c r="B44" s="12" t="n"/>
      <c r="C44" s="12" t="n"/>
      <c r="D44" s="12" t="n"/>
      <c r="E44" s="12" t="n"/>
      <c r="F44" s="8">
        <f>IF(E44="","",LEN(E44))</f>
        <v/>
      </c>
      <c r="G44" s="12" t="n"/>
      <c r="H44" s="12" t="n"/>
      <c r="I44" s="12" t="n"/>
      <c r="J44" s="14">
        <f>IF(COUNT(G44:I44)=3,SUM(G44:I44),"")</f>
        <v/>
      </c>
    </row>
    <row r="45">
      <c r="A45" s="8" t="n">
        <v>11</v>
      </c>
      <c r="B45" s="12" t="n"/>
      <c r="C45" s="12" t="n"/>
      <c r="D45" s="12" t="n"/>
      <c r="E45" s="12" t="n"/>
      <c r="F45" s="8">
        <f>IF(E45="","",LEN(E45))</f>
        <v/>
      </c>
      <c r="G45" s="12" t="n"/>
      <c r="H45" s="12" t="n"/>
      <c r="I45" s="12" t="n"/>
      <c r="J45" s="14">
        <f>IF(COUNT(G45:I45)=3,SUM(G45:I45),"")</f>
        <v/>
      </c>
    </row>
    <row r="46">
      <c r="A46" s="8" t="n">
        <v>12</v>
      </c>
      <c r="B46" s="12" t="n"/>
      <c r="C46" s="12" t="n"/>
      <c r="D46" s="12" t="n"/>
      <c r="E46" s="12" t="n"/>
      <c r="F46" s="8">
        <f>IF(E46="","",LEN(E46))</f>
        <v/>
      </c>
      <c r="G46" s="12" t="n"/>
      <c r="H46" s="12" t="n"/>
      <c r="I46" s="12" t="n"/>
      <c r="J46" s="14">
        <f>IF(COUNT(G46:I46)=3,SUM(G46:I46),"")</f>
        <v/>
      </c>
    </row>
    <row r="47">
      <c r="A47" s="8" t="n">
        <v>13</v>
      </c>
      <c r="B47" s="12" t="n"/>
      <c r="C47" s="12" t="n"/>
      <c r="D47" s="12" t="n"/>
      <c r="E47" s="12" t="n"/>
      <c r="F47" s="8">
        <f>IF(E47="","",LEN(E47))</f>
        <v/>
      </c>
      <c r="G47" s="12" t="n"/>
      <c r="H47" s="12" t="n"/>
      <c r="I47" s="12" t="n"/>
      <c r="J47" s="14">
        <f>IF(COUNT(G47:I47)=3,SUM(G47:I47),"")</f>
        <v/>
      </c>
    </row>
    <row r="48">
      <c r="A48" s="8" t="n">
        <v>14</v>
      </c>
      <c r="B48" s="12" t="n"/>
      <c r="C48" s="12" t="n"/>
      <c r="D48" s="12" t="n"/>
      <c r="E48" s="12" t="n"/>
      <c r="F48" s="8">
        <f>IF(E48="","",LEN(E48))</f>
        <v/>
      </c>
      <c r="G48" s="12" t="n"/>
      <c r="H48" s="12" t="n"/>
      <c r="I48" s="12" t="n"/>
      <c r="J48" s="14">
        <f>IF(COUNT(G48:I48)=3,SUM(G48:I48),"")</f>
        <v/>
      </c>
    </row>
    <row r="49">
      <c r="A49" s="8" t="n">
        <v>15</v>
      </c>
      <c r="B49" s="12" t="n"/>
      <c r="C49" s="12" t="n"/>
      <c r="D49" s="12" t="n"/>
      <c r="E49" s="12" t="n"/>
      <c r="F49" s="8">
        <f>IF(E49="","",LEN(E49))</f>
        <v/>
      </c>
      <c r="G49" s="12" t="n"/>
      <c r="H49" s="12" t="n"/>
      <c r="I49" s="12" t="n"/>
      <c r="J49" s="14">
        <f>IF(COUNT(G49:I49)=3,SUM(G49:I49),"")</f>
        <v/>
      </c>
    </row>
    <row r="51">
      <c r="A51" s="4" t="inlineStr">
        <is>
          <t>3セットに絞る（A＝公開用、B・C＝差し替え用）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32" customHeight="1">
      <c r="A52" s="3" t="inlineStr">
        <is>
          <t>組</t>
        </is>
      </c>
      <c r="B52" s="3" t="inlineStr">
        <is>
          <t>タイトル</t>
        </is>
      </c>
      <c r="C52" s="3" t="inlineStr"/>
      <c r="D52" s="3" t="inlineStr">
        <is>
          <t>サムネ</t>
        </is>
      </c>
      <c r="E52" s="3" t="inlineStr"/>
      <c r="F52" s="3" t="inlineStr"/>
      <c r="G52" s="3" t="inlineStr">
        <is>
          <t>役割分担（タイトルが言うこと／サムネが見せること）</t>
        </is>
      </c>
      <c r="H52" s="3" t="inlineStr"/>
      <c r="I52" s="3" t="inlineStr"/>
      <c r="J52" s="3" t="inlineStr"/>
    </row>
    <row r="53">
      <c r="A53" s="14" t="inlineStr">
        <is>
          <t>A</t>
        </is>
      </c>
      <c r="B53" s="9" t="inlineStr">
        <is>
          <t>添削なしでIELTSライティング7.0を取った、たった1つの習慣</t>
        </is>
      </c>
      <c r="C53" s="17" t="n"/>
      <c r="D53" s="9" t="inlineStr">
        <is>
          <t>No1：6.5答案→7.0スコア表</t>
        </is>
      </c>
      <c r="E53" s="18" t="n"/>
      <c r="F53" s="17" t="n"/>
      <c r="G53" s="9" t="inlineStr">
        <is>
          <t>タイトル＝方法を伏せる／サムネ＝変化の大きさを見せる</t>
        </is>
      </c>
      <c r="H53" s="18" t="n"/>
      <c r="I53" s="18" t="n"/>
      <c r="J53" s="17" t="n"/>
    </row>
    <row r="54">
      <c r="A54" s="14" t="inlineStr">
        <is>
          <t>B</t>
        </is>
      </c>
      <c r="B54" s="12" t="n"/>
      <c r="C54" s="17" t="n"/>
      <c r="D54" s="12" t="n"/>
      <c r="E54" s="18" t="n"/>
      <c r="F54" s="17" t="n"/>
      <c r="G54" s="12" t="n"/>
      <c r="H54" s="18" t="n"/>
      <c r="I54" s="18" t="n"/>
      <c r="J54" s="17" t="n"/>
    </row>
    <row r="55">
      <c r="A55" s="14" t="inlineStr">
        <is>
          <t>C</t>
        </is>
      </c>
      <c r="B55" s="12" t="n"/>
      <c r="C55" s="17" t="n"/>
      <c r="D55" s="12" t="n"/>
      <c r="E55" s="18" t="n"/>
      <c r="F55" s="17" t="n"/>
      <c r="G55" s="12" t="n"/>
      <c r="H55" s="18" t="n"/>
      <c r="I55" s="18" t="n"/>
      <c r="J55" s="17" t="n"/>
    </row>
  </sheetData>
  <mergeCells count="19">
    <mergeCell ref="B54:C54"/>
    <mergeCell ref="G55:J55"/>
    <mergeCell ref="G54:J54"/>
    <mergeCell ref="D53:F53"/>
    <mergeCell ref="A6:B6"/>
    <mergeCell ref="A7:B7"/>
    <mergeCell ref="C8:H8"/>
    <mergeCell ref="C7:H7"/>
    <mergeCell ref="B53:C53"/>
    <mergeCell ref="D55:F55"/>
    <mergeCell ref="A5:B5"/>
    <mergeCell ref="D54:F54"/>
    <mergeCell ref="A8:B8"/>
    <mergeCell ref="A4:B4"/>
    <mergeCell ref="B55:C55"/>
    <mergeCell ref="C6:H6"/>
    <mergeCell ref="G53:J53"/>
    <mergeCell ref="C5:H5"/>
    <mergeCell ref="C4:H4"/>
  </mergeCells>
  <conditionalFormatting sqref="C12:C31">
    <cfRule type="cellIs" priority="1" operator="greaterThan" dxfId="1">
      <formula>50</formula>
    </cfRule>
  </conditionalFormatting>
  <conditionalFormatting sqref="F35:F49">
    <cfRule type="cellIs" priority="2" operator="greaterThan" dxfId="1">
      <formula>10</formula>
    </cfRule>
  </conditionalFormatting>
  <dataValidations count="4">
    <dataValidation sqref="C5" showDropDown="0" showInputMessage="0" showErrorMessage="0" allowBlank="1" type="list">
      <formula1>"瞬間型,ストーリー型,結果型,変身型,新奇性型"</formula1>
    </dataValidation>
    <dataValidation sqref="E12:H31" showDropDown="0" showInputMessage="0" showErrorMessage="0" allowBlank="1" type="list">
      <formula1>"1,2,3,4,5"</formula1>
    </dataValidation>
    <dataValidation sqref="C35:C49" showDropDown="0" showInputMessage="0" showErrorMessage="0" allowBlank="1" type="list">
      <formula1>"瞬間型,ストーリー型,結果型,変身型,新奇性型"</formula1>
    </dataValidation>
    <dataValidation sqref="G35:I4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8" customWidth="1" min="4" max="4"/>
  </cols>
  <sheetData>
    <row r="1">
      <c r="A1" s="1" t="inlineStr">
        <is>
          <t>公開前チェックリスト</t>
        </is>
      </c>
    </row>
    <row r="2">
      <c r="A2" s="2" t="inlineStr">
        <is>
          <t>全部「はい」を目指す。例外はOK（ガイドラインは破ってよいが、理由を持つ）</t>
        </is>
      </c>
    </row>
    <row r="3">
      <c r="A3" s="2" t="inlineStr">
        <is>
          <t>凡例：黄色＝記入欄 ／ 灰色の斜体＝記入例（上書き・削除OK） ／ 白＝自動計算</t>
        </is>
      </c>
    </row>
    <row r="4">
      <c r="B4" s="16">
        <f>"達成率："&amp;TEXT(COUNTIF(C6:C31,"はい")/26,"0%")&amp;"（はい "&amp;COUNTIF(C6:C31,"はい")&amp;" / 26）"</f>
        <v/>
      </c>
    </row>
    <row r="5" ht="32" customHeight="1">
      <c r="A5" s="3" t="inlineStr">
        <is>
          <t>分類</t>
        </is>
      </c>
      <c r="B5" s="3" t="inlineStr">
        <is>
          <t>チェック項目</t>
        </is>
      </c>
      <c r="C5" s="3" t="inlineStr">
        <is>
          <t>はい/いいえ</t>
        </is>
      </c>
      <c r="D5" s="3" t="inlineStr">
        <is>
          <t>出典</t>
        </is>
      </c>
    </row>
    <row r="6">
      <c r="A6" s="14" t="inlineStr">
        <is>
          <t>土台</t>
        </is>
      </c>
      <c r="B6" s="7" t="inlineStr">
        <is>
          <t>前の動画の視聴者の8割が興味を持つ内容か</t>
        </is>
      </c>
      <c r="C6" s="19" t="inlineStr">
        <is>
          <t>はい</t>
        </is>
      </c>
      <c r="D6" s="8" t="inlineStr">
        <is>
          <t>③</t>
        </is>
      </c>
    </row>
    <row r="7">
      <c r="A7" s="14" t="inlineStr">
        <is>
          <t>土台</t>
        </is>
      </c>
      <c r="B7" s="7" t="inlineStr">
        <is>
          <t>いつものフォーマット・動画レシピに乗っているか</t>
        </is>
      </c>
      <c r="C7" s="19" t="inlineStr">
        <is>
          <t>はい</t>
        </is>
      </c>
      <c r="D7" s="8" t="inlineStr">
        <is>
          <t>③</t>
        </is>
      </c>
    </row>
    <row r="8">
      <c r="A8" s="14" t="inlineStr">
        <is>
          <t>企画</t>
        </is>
      </c>
      <c r="B8" s="7" t="inlineStr">
        <is>
          <t>動画の制作前にサムネとタイトルを考えたか</t>
        </is>
      </c>
      <c r="C8" s="19" t="inlineStr">
        <is>
          <t>はい</t>
        </is>
      </c>
      <c r="D8" s="8" t="inlineStr">
        <is>
          <t>①</t>
        </is>
      </c>
    </row>
    <row r="9">
      <c r="A9" s="14" t="inlineStr">
        <is>
          <t>企画</t>
        </is>
      </c>
      <c r="B9" s="7" t="inlineStr">
        <is>
          <t>アウトライヤーから借りた要素は1つだけか（丸ごと真似していない）</t>
        </is>
      </c>
      <c r="C9" s="19" t="inlineStr">
        <is>
          <t>はい</t>
        </is>
      </c>
      <c r="D9" s="8" t="inlineStr">
        <is>
          <t>③</t>
        </is>
      </c>
    </row>
    <row r="10">
      <c r="A10" s="14" t="inlineStr">
        <is>
          <t>心理</t>
        </is>
      </c>
      <c r="B10" s="7" t="inlineStr">
        <is>
          <t>視聴者が答えを知りたくなる問いが1つある</t>
        </is>
      </c>
      <c r="C10" s="19" t="inlineStr">
        <is>
          <t>はい</t>
        </is>
      </c>
      <c r="D10" s="8" t="inlineStr">
        <is>
          <t>①②</t>
        </is>
      </c>
    </row>
    <row r="11">
      <c r="A11" s="14" t="inlineStr">
        <is>
          <t>心理</t>
        </is>
      </c>
      <c r="B11" s="7" t="inlineStr">
        <is>
          <t>好奇心の型（5つのどれか）が決まっている</t>
        </is>
      </c>
      <c r="C11" s="15" t="n"/>
      <c r="D11" s="8" t="inlineStr">
        <is>
          <t>①</t>
        </is>
      </c>
    </row>
    <row r="12">
      <c r="A12" s="14" t="inlineStr">
        <is>
          <t>心理</t>
        </is>
      </c>
      <c r="B12" s="7" t="inlineStr">
        <is>
          <t>ストッパーは1〜2個で、詰め込みすぎていない</t>
        </is>
      </c>
      <c r="C12" s="15" t="n"/>
      <c r="D12" s="8" t="inlineStr">
        <is>
          <t>①</t>
        </is>
      </c>
    </row>
    <row r="13">
      <c r="A13" s="14" t="inlineStr">
        <is>
          <t>心理</t>
        </is>
      </c>
      <c r="B13" s="7" t="inlineStr">
        <is>
          <t>自分のブランドらしさを損なっていない（釣りっぽくない）</t>
        </is>
      </c>
      <c r="C13" s="15" t="n"/>
      <c r="D13" s="8" t="inlineStr">
        <is>
          <t>①</t>
        </is>
      </c>
    </row>
    <row r="14">
      <c r="A14" s="14" t="inlineStr">
        <is>
          <t>タイトル</t>
        </is>
      </c>
      <c r="B14" s="7" t="inlineStr">
        <is>
          <t>20案以上出して選んだ</t>
        </is>
      </c>
      <c r="C14" s="15" t="n"/>
      <c r="D14" s="8" t="inlineStr">
        <is>
          <t>②</t>
        </is>
      </c>
    </row>
    <row r="15">
      <c r="A15" s="14" t="inlineStr">
        <is>
          <t>タイトル</t>
        </is>
      </c>
      <c r="B15" s="7" t="inlineStr">
        <is>
          <t>結末を伏せている、または対立がある</t>
        </is>
      </c>
      <c r="C15" s="15" t="n"/>
      <c r="D15" s="8" t="inlineStr">
        <is>
          <t>②</t>
        </is>
      </c>
    </row>
    <row r="16">
      <c r="A16" s="14" t="inlineStr">
        <is>
          <t>タイトル</t>
        </is>
      </c>
      <c r="B16" s="7" t="inlineStr">
        <is>
          <t>実績のある型の構造を使っている</t>
        </is>
      </c>
      <c r="C16" s="15" t="n"/>
      <c r="D16" s="8" t="inlineStr">
        <is>
          <t>②</t>
        </is>
      </c>
    </row>
    <row r="17">
      <c r="A17" s="14" t="inlineStr">
        <is>
          <t>タイトル</t>
        </is>
      </c>
      <c r="B17" s="7" t="inlineStr">
        <is>
          <t>弱い言葉ではなく、感情が動く言葉がある</t>
        </is>
      </c>
      <c r="C17" s="15" t="n"/>
      <c r="D17" s="8" t="inlineStr">
        <is>
          <t>②</t>
        </is>
      </c>
    </row>
    <row r="18">
      <c r="A18" s="14" t="inlineStr">
        <is>
          <t>タイトル</t>
        </is>
      </c>
      <c r="B18" s="7" t="inlineStr">
        <is>
          <t>前半約30字で要点が伝わる※</t>
        </is>
      </c>
      <c r="C18" s="15" t="n"/>
      <c r="D18" s="8" t="inlineStr">
        <is>
          <t>②※</t>
        </is>
      </c>
    </row>
    <row r="19">
      <c r="A19" s="14" t="inlineStr">
        <is>
          <t>サムネ</t>
        </is>
      </c>
      <c r="B19" s="7" t="inlineStr">
        <is>
          <t>下書きを10案以上出して選んだ</t>
        </is>
      </c>
      <c r="C19" s="15" t="n"/>
      <c r="D19" s="8" t="inlineStr">
        <is>
          <t>①</t>
        </is>
      </c>
    </row>
    <row r="20">
      <c r="A20" s="14" t="inlineStr">
        <is>
          <t>サムネ</t>
        </is>
      </c>
      <c r="B20" s="7" t="inlineStr">
        <is>
          <t>主役は1つで、一番目立っている</t>
        </is>
      </c>
      <c r="C20" s="15" t="n"/>
      <c r="D20" s="8" t="inlineStr">
        <is>
          <t>①</t>
        </is>
      </c>
    </row>
    <row r="21">
      <c r="A21" s="14" t="inlineStr">
        <is>
          <t>サムネ</t>
        </is>
      </c>
      <c r="B21" s="7" t="inlineStr">
        <is>
          <t>好奇心に不要な要素を入れていない</t>
        </is>
      </c>
      <c r="C21" s="15" t="n"/>
      <c r="D21" s="8" t="inlineStr">
        <is>
          <t>①</t>
        </is>
      </c>
    </row>
    <row r="22">
      <c r="A22" s="14" t="inlineStr">
        <is>
          <t>サムネ</t>
        </is>
      </c>
      <c r="B22" s="7" t="inlineStr">
        <is>
          <t>構図（左右対称か三分割）が決まっていて、視線が主役に向かう</t>
        </is>
      </c>
      <c r="C22" s="15" t="n"/>
      <c r="D22" s="8" t="inlineStr">
        <is>
          <t>①</t>
        </is>
      </c>
    </row>
    <row r="23">
      <c r="A23" s="14" t="inlineStr">
        <is>
          <t>サムネ</t>
        </is>
      </c>
      <c r="B23" s="7" t="inlineStr">
        <is>
          <t>明度・彩度・色相のどれかで主役が浮いている</t>
        </is>
      </c>
      <c r="C23" s="15" t="n"/>
      <c r="D23" s="8" t="inlineStr">
        <is>
          <t>①</t>
        </is>
      </c>
    </row>
    <row r="24">
      <c r="A24" s="14" t="inlineStr">
        <is>
          <t>サムネ</t>
        </is>
      </c>
      <c r="B24" s="7" t="inlineStr">
        <is>
          <t>文字はタイトルの繰り返しではなく、情報を足している</t>
        </is>
      </c>
      <c r="C24" s="15" t="n"/>
      <c r="D24" s="8" t="inlineStr">
        <is>
          <t>①</t>
        </is>
      </c>
    </row>
    <row r="25">
      <c r="A25" s="14" t="inlineStr">
        <is>
          <t>サムネ</t>
        </is>
      </c>
      <c r="B25" s="7" t="inlineStr">
        <is>
          <t>文字は10字以内※で、主役より目立っていない</t>
        </is>
      </c>
      <c r="C25" s="15" t="n"/>
      <c r="D25" s="8" t="inlineStr">
        <is>
          <t>①※</t>
        </is>
      </c>
    </row>
    <row r="26">
      <c r="A26" s="14" t="inlineStr">
        <is>
          <t>組み合わせ</t>
        </is>
      </c>
      <c r="B26" s="7" t="inlineStr">
        <is>
          <t>タイトルとサムネで同じことを言っていない</t>
        </is>
      </c>
      <c r="C26" s="15" t="n"/>
      <c r="D26" s="8" t="inlineStr">
        <is>
          <t>①②</t>
        </is>
      </c>
    </row>
    <row r="27">
      <c r="A27" s="14" t="inlineStr">
        <is>
          <t>テスト</t>
        </is>
      </c>
      <c r="B27" s="7" t="inlineStr">
        <is>
          <t>明瞭さ：関連動画欄の小さい表示でも全部読める</t>
        </is>
      </c>
      <c r="C27" s="15" t="n"/>
      <c r="D27" s="8" t="inlineStr">
        <is>
          <t>①</t>
        </is>
      </c>
    </row>
    <row r="28">
      <c r="A28" s="14" t="inlineStr">
        <is>
          <t>テスト</t>
        </is>
      </c>
      <c r="B28" s="7" t="inlineStr">
        <is>
          <t>コントラスト：競合の動画と並べても目立つ</t>
        </is>
      </c>
      <c r="C28" s="15" t="n"/>
      <c r="D28" s="8" t="inlineStr">
        <is>
          <t>①</t>
        </is>
      </c>
    </row>
    <row r="29">
      <c r="A29" s="14" t="inlineStr">
        <is>
          <t>テスト</t>
        </is>
      </c>
      <c r="B29" s="7" t="inlineStr">
        <is>
          <t>チラ見：他人に2秒見せて、何の動画か伝わった</t>
        </is>
      </c>
      <c r="C29" s="15" t="n"/>
      <c r="D29" s="8" t="inlineStr">
        <is>
          <t>①</t>
        </is>
      </c>
    </row>
    <row r="30">
      <c r="A30" s="14" t="inlineStr">
        <is>
          <t>準備</t>
        </is>
      </c>
      <c r="B30" s="7" t="inlineStr">
        <is>
          <t>差し替え用に別コンセプトの2セットを用意した</t>
        </is>
      </c>
      <c r="C30" s="15" t="n"/>
      <c r="D30" s="8" t="inlineStr">
        <is>
          <t>①②</t>
        </is>
      </c>
    </row>
    <row r="31">
      <c r="A31" s="14" t="inlineStr">
        <is>
          <t>準備</t>
        </is>
      </c>
      <c r="B31" s="7" t="inlineStr">
        <is>
          <t>公開後に確認する時間（数時間後・24〜48時間後）を決めた</t>
        </is>
      </c>
      <c r="C31" s="15" t="n"/>
      <c r="D31" s="8" t="inlineStr">
        <is>
          <t>①②</t>
        </is>
      </c>
    </row>
  </sheetData>
  <conditionalFormatting sqref="C6:C31">
    <cfRule type="cellIs" priority="1" operator="equal" dxfId="1">
      <formula>"いいえ"</formula>
    </cfRule>
    <cfRule type="cellIs" priority="2" operator="equal" dxfId="0">
      <formula>"はい"</formula>
    </cfRule>
  </conditionalFormatting>
  <dataValidations count="1">
    <dataValidation sqref="C6:C31" showDropDown="0" showInputMessage="0" showErrorMessage="0" allowBlank="1" type="list">
      <formula1>"はい,いいえ"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6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20" customWidth="1" min="10" max="10"/>
    <col width="24" customWidth="1" min="11" max="11"/>
  </cols>
  <sheetData>
    <row r="1">
      <c r="A1" s="1" t="inlineStr">
        <is>
          <t>公開後の検証と差し替え判定</t>
        </is>
      </c>
    </row>
    <row r="2">
      <c r="A2" s="2" t="inlineStr">
        <is>
          <t>同じタイミング（例：公開24時間後）の数字をチャンネル平均と比べる。判定は自動。CTRは小数で（5.2%→0.052）</t>
        </is>
      </c>
    </row>
    <row r="3">
      <c r="A3" s="2" t="inlineStr">
        <is>
          <t>凡例：黄色＝記入欄 ／ 灰色の斜体＝記入例（上書き・削除OK） ／ 白＝自動計算</t>
        </is>
      </c>
    </row>
    <row r="5" ht="32" customHeight="1">
      <c r="A5" s="3" t="inlineStr">
        <is>
          <t>No</t>
        </is>
      </c>
      <c r="B5" s="3" t="inlineStr">
        <is>
          <t>動画タイトル</t>
        </is>
      </c>
      <c r="C5" s="3" t="inlineStr">
        <is>
          <t>セット</t>
        </is>
      </c>
      <c r="D5" s="3" t="inlineStr">
        <is>
          <t>再生数</t>
        </is>
      </c>
      <c r="E5" s="3" t="inlineStr">
        <is>
          <t>表示回数</t>
        </is>
      </c>
      <c r="F5" s="3" t="inlineStr">
        <is>
          <t>CTR</t>
        </is>
      </c>
      <c r="G5" s="3" t="inlineStr">
        <is>
          <t>平均 再生</t>
        </is>
      </c>
      <c r="H5" s="3" t="inlineStr">
        <is>
          <t>平均 表示</t>
        </is>
      </c>
      <c r="I5" s="3" t="inlineStr">
        <is>
          <t>平均CTR</t>
        </is>
      </c>
      <c r="J5" s="3" t="inlineStr">
        <is>
          <t>判定</t>
        </is>
      </c>
      <c r="K5" s="3" t="inlineStr">
        <is>
          <t>差し替え後の結果・学び</t>
        </is>
      </c>
    </row>
    <row r="6">
      <c r="A6" s="8" t="n">
        <v>1</v>
      </c>
      <c r="B6" s="9" t="inlineStr">
        <is>
          <t>添削なしでIELTSライティング7.0…</t>
        </is>
      </c>
      <c r="C6" s="9" t="inlineStr">
        <is>
          <t>A</t>
        </is>
      </c>
      <c r="D6" s="10" t="n">
        <v>900</v>
      </c>
      <c r="E6" s="10" t="n">
        <v>15000</v>
      </c>
      <c r="F6" s="20" t="n">
        <v>0.045</v>
      </c>
      <c r="G6" s="10" t="n">
        <v>1200</v>
      </c>
      <c r="H6" s="10" t="n">
        <v>20000</v>
      </c>
      <c r="I6" s="20" t="n">
        <v>0.05</v>
      </c>
      <c r="J6" s="14">
        <f>IF(COUNT(D6:I6)&lt;6,"",IF(AND(D6&gt;=G6,E6&gt;=H6,F6&gt;=I6),"成功：そのまま",IF(AND(D6&gt;=G6,E6&gt;=H6,F6&lt;I6),"外に拡散中：そのまま",IF(AND(D6&lt;G6,E6&lt;H6,F6&lt;I6),"差し替え検討","様子見"))))</f>
        <v/>
      </c>
      <c r="K6" s="9" t="inlineStr">
        <is>
          <t>Bに差し替え→CTR 6.1%</t>
        </is>
      </c>
    </row>
    <row r="7">
      <c r="A7" s="8" t="n">
        <v>2</v>
      </c>
      <c r="B7" s="9" t="inlineStr">
        <is>
          <t>平日30分しかない社会人のIELTS…</t>
        </is>
      </c>
      <c r="C7" s="9" t="inlineStr">
        <is>
          <t>A</t>
        </is>
      </c>
      <c r="D7" s="10" t="n">
        <v>3000</v>
      </c>
      <c r="E7" s="10" t="n">
        <v>90000</v>
      </c>
      <c r="F7" s="20" t="n">
        <v>0.035</v>
      </c>
      <c r="G7" s="10" t="n">
        <v>1200</v>
      </c>
      <c r="H7" s="10" t="n">
        <v>20000</v>
      </c>
      <c r="I7" s="20" t="n">
        <v>0.05</v>
      </c>
      <c r="J7" s="14">
        <f>IF(COUNT(D7:I7)&lt;6,"",IF(AND(D7&gt;=G7,E7&gt;=H7,F7&gt;=I7),"成功：そのまま",IF(AND(D7&gt;=G7,E7&gt;=H7,F7&lt;I7),"外に拡散中：そのまま",IF(AND(D7&lt;G7,E7&lt;H7,F7&lt;I7),"差し替え検討","様子見"))))</f>
        <v/>
      </c>
      <c r="K7" s="9" t="inlineStr">
        <is>
          <t>外に広がり中、そのまま</t>
        </is>
      </c>
    </row>
    <row r="8">
      <c r="A8" s="8" t="n">
        <v>3</v>
      </c>
      <c r="B8" s="12" t="n"/>
      <c r="C8" s="12" t="n"/>
      <c r="D8" s="13" t="n"/>
      <c r="E8" s="13" t="n"/>
      <c r="F8" s="21" t="n"/>
      <c r="G8" s="13" t="n"/>
      <c r="H8" s="13" t="n"/>
      <c r="I8" s="21" t="n"/>
      <c r="J8" s="14">
        <f>IF(COUNT(D8:I8)&lt;6,"",IF(AND(D8&gt;=G8,E8&gt;=H8,F8&gt;=I8),"成功：そのまま",IF(AND(D8&gt;=G8,E8&gt;=H8,F8&lt;I8),"外に拡散中：そのまま",IF(AND(D8&lt;G8,E8&lt;H8,F8&lt;I8),"差し替え検討","様子見"))))</f>
        <v/>
      </c>
      <c r="K8" s="12" t="n"/>
    </row>
    <row r="9">
      <c r="A9" s="8" t="n">
        <v>4</v>
      </c>
      <c r="B9" s="12" t="n"/>
      <c r="C9" s="12" t="n"/>
      <c r="D9" s="13" t="n"/>
      <c r="E9" s="13" t="n"/>
      <c r="F9" s="21" t="n"/>
      <c r="G9" s="13" t="n"/>
      <c r="H9" s="13" t="n"/>
      <c r="I9" s="21" t="n"/>
      <c r="J9" s="14">
        <f>IF(COUNT(D9:I9)&lt;6,"",IF(AND(D9&gt;=G9,E9&gt;=H9,F9&gt;=I9),"成功：そのまま",IF(AND(D9&gt;=G9,E9&gt;=H9,F9&lt;I9),"外に拡散中：そのまま",IF(AND(D9&lt;G9,E9&lt;H9,F9&lt;I9),"差し替え検討","様子見"))))</f>
        <v/>
      </c>
      <c r="K9" s="12" t="n"/>
    </row>
    <row r="10">
      <c r="A10" s="8" t="n">
        <v>5</v>
      </c>
      <c r="B10" s="12" t="n"/>
      <c r="C10" s="12" t="n"/>
      <c r="D10" s="13" t="n"/>
      <c r="E10" s="13" t="n"/>
      <c r="F10" s="21" t="n"/>
      <c r="G10" s="13" t="n"/>
      <c r="H10" s="13" t="n"/>
      <c r="I10" s="21" t="n"/>
      <c r="J10" s="14">
        <f>IF(COUNT(D10:I10)&lt;6,"",IF(AND(D10&gt;=G10,E10&gt;=H10,F10&gt;=I10),"成功：そのまま",IF(AND(D10&gt;=G10,E10&gt;=H10,F10&lt;I10),"外に拡散中：そのまま",IF(AND(D10&lt;G10,E10&lt;H10,F10&lt;I10),"差し替え検討","様子見"))))</f>
        <v/>
      </c>
      <c r="K10" s="12" t="n"/>
    </row>
    <row r="11">
      <c r="A11" s="8" t="n">
        <v>6</v>
      </c>
      <c r="B11" s="12" t="n"/>
      <c r="C11" s="12" t="n"/>
      <c r="D11" s="13" t="n"/>
      <c r="E11" s="13" t="n"/>
      <c r="F11" s="21" t="n"/>
      <c r="G11" s="13" t="n"/>
      <c r="H11" s="13" t="n"/>
      <c r="I11" s="21" t="n"/>
      <c r="J11" s="14">
        <f>IF(COUNT(D11:I11)&lt;6,"",IF(AND(D11&gt;=G11,E11&gt;=H11,F11&gt;=I11),"成功：そのまま",IF(AND(D11&gt;=G11,E11&gt;=H11,F11&lt;I11),"外に拡散中：そのまま",IF(AND(D11&lt;G11,E11&lt;H11,F11&lt;I11),"差し替え検討","様子見"))))</f>
        <v/>
      </c>
      <c r="K11" s="12" t="n"/>
    </row>
    <row r="12">
      <c r="A12" s="8" t="n">
        <v>7</v>
      </c>
      <c r="B12" s="12" t="n"/>
      <c r="C12" s="12" t="n"/>
      <c r="D12" s="13" t="n"/>
      <c r="E12" s="13" t="n"/>
      <c r="F12" s="21" t="n"/>
      <c r="G12" s="13" t="n"/>
      <c r="H12" s="13" t="n"/>
      <c r="I12" s="21" t="n"/>
      <c r="J12" s="14">
        <f>IF(COUNT(D12:I12)&lt;6,"",IF(AND(D12&gt;=G12,E12&gt;=H12,F12&gt;=I12),"成功：そのまま",IF(AND(D12&gt;=G12,E12&gt;=H12,F12&lt;I12),"外に拡散中：そのまま",IF(AND(D12&lt;G12,E12&lt;H12,F12&lt;I12),"差し替え検討","様子見"))))</f>
        <v/>
      </c>
      <c r="K12" s="12" t="n"/>
    </row>
    <row r="13">
      <c r="A13" s="8" t="n">
        <v>8</v>
      </c>
      <c r="B13" s="12" t="n"/>
      <c r="C13" s="12" t="n"/>
      <c r="D13" s="13" t="n"/>
      <c r="E13" s="13" t="n"/>
      <c r="F13" s="21" t="n"/>
      <c r="G13" s="13" t="n"/>
      <c r="H13" s="13" t="n"/>
      <c r="I13" s="21" t="n"/>
      <c r="J13" s="14">
        <f>IF(COUNT(D13:I13)&lt;6,"",IF(AND(D13&gt;=G13,E13&gt;=H13,F13&gt;=I13),"成功：そのまま",IF(AND(D13&gt;=G13,E13&gt;=H13,F13&lt;I13),"外に拡散中：そのまま",IF(AND(D13&lt;G13,E13&lt;H13,F13&lt;I13),"差し替え検討","様子見"))))</f>
        <v/>
      </c>
      <c r="K13" s="12" t="n"/>
    </row>
    <row r="14">
      <c r="A14" s="8" t="n">
        <v>9</v>
      </c>
      <c r="B14" s="12" t="n"/>
      <c r="C14" s="12" t="n"/>
      <c r="D14" s="13" t="n"/>
      <c r="E14" s="13" t="n"/>
      <c r="F14" s="21" t="n"/>
      <c r="G14" s="13" t="n"/>
      <c r="H14" s="13" t="n"/>
      <c r="I14" s="21" t="n"/>
      <c r="J14" s="14">
        <f>IF(COUNT(D14:I14)&lt;6,"",IF(AND(D14&gt;=G14,E14&gt;=H14,F14&gt;=I14),"成功：そのまま",IF(AND(D14&gt;=G14,E14&gt;=H14,F14&lt;I14),"外に拡散中：そのまま",IF(AND(D14&lt;G14,E14&lt;H14,F14&lt;I14),"差し替え検討","様子見"))))</f>
        <v/>
      </c>
      <c r="K14" s="12" t="n"/>
    </row>
    <row r="15">
      <c r="A15" s="8" t="n">
        <v>10</v>
      </c>
      <c r="B15" s="12" t="n"/>
      <c r="C15" s="12" t="n"/>
      <c r="D15" s="13" t="n"/>
      <c r="E15" s="13" t="n"/>
      <c r="F15" s="21" t="n"/>
      <c r="G15" s="13" t="n"/>
      <c r="H15" s="13" t="n"/>
      <c r="I15" s="21" t="n"/>
      <c r="J15" s="14">
        <f>IF(COUNT(D15:I15)&lt;6,"",IF(AND(D15&gt;=G15,E15&gt;=H15,F15&gt;=I15),"成功：そのまま",IF(AND(D15&gt;=G15,E15&gt;=H15,F15&lt;I15),"外に拡散中：そのまま",IF(AND(D15&lt;G15,E15&lt;H15,F15&lt;I15),"差し替え検討","様子見"))))</f>
        <v/>
      </c>
      <c r="K15" s="12" t="n"/>
    </row>
    <row r="16">
      <c r="A16" s="8" t="n">
        <v>11</v>
      </c>
      <c r="B16" s="12" t="n"/>
      <c r="C16" s="12" t="n"/>
      <c r="D16" s="13" t="n"/>
      <c r="E16" s="13" t="n"/>
      <c r="F16" s="21" t="n"/>
      <c r="G16" s="13" t="n"/>
      <c r="H16" s="13" t="n"/>
      <c r="I16" s="21" t="n"/>
      <c r="J16" s="14">
        <f>IF(COUNT(D16:I16)&lt;6,"",IF(AND(D16&gt;=G16,E16&gt;=H16,F16&gt;=I16),"成功：そのまま",IF(AND(D16&gt;=G16,E16&gt;=H16,F16&lt;I16),"外に拡散中：そのまま",IF(AND(D16&lt;G16,E16&lt;H16,F16&lt;I16),"差し替え検討","様子見"))))</f>
        <v/>
      </c>
      <c r="K16" s="12" t="n"/>
    </row>
    <row r="17">
      <c r="A17" s="8" t="n">
        <v>12</v>
      </c>
      <c r="B17" s="12" t="n"/>
      <c r="C17" s="12" t="n"/>
      <c r="D17" s="13" t="n"/>
      <c r="E17" s="13" t="n"/>
      <c r="F17" s="21" t="n"/>
      <c r="G17" s="13" t="n"/>
      <c r="H17" s="13" t="n"/>
      <c r="I17" s="21" t="n"/>
      <c r="J17" s="14">
        <f>IF(COUNT(D17:I17)&lt;6,"",IF(AND(D17&gt;=G17,E17&gt;=H17,F17&gt;=I17),"成功：そのまま",IF(AND(D17&gt;=G17,E17&gt;=H17,F17&lt;I17),"外に拡散中：そのまま",IF(AND(D17&lt;G17,E17&lt;H17,F17&lt;I17),"差し替え検討","様子見"))))</f>
        <v/>
      </c>
      <c r="K17" s="12" t="n"/>
    </row>
    <row r="18">
      <c r="A18" s="8" t="n">
        <v>13</v>
      </c>
      <c r="B18" s="12" t="n"/>
      <c r="C18" s="12" t="n"/>
      <c r="D18" s="13" t="n"/>
      <c r="E18" s="13" t="n"/>
      <c r="F18" s="21" t="n"/>
      <c r="G18" s="13" t="n"/>
      <c r="H18" s="13" t="n"/>
      <c r="I18" s="21" t="n"/>
      <c r="J18" s="14">
        <f>IF(COUNT(D18:I18)&lt;6,"",IF(AND(D18&gt;=G18,E18&gt;=H18,F18&gt;=I18),"成功：そのまま",IF(AND(D18&gt;=G18,E18&gt;=H18,F18&lt;I18),"外に拡散中：そのまま",IF(AND(D18&lt;G18,E18&lt;H18,F18&lt;I18),"差し替え検討","様子見"))))</f>
        <v/>
      </c>
      <c r="K18" s="12" t="n"/>
    </row>
    <row r="19">
      <c r="A19" s="8" t="n">
        <v>14</v>
      </c>
      <c r="B19" s="12" t="n"/>
      <c r="C19" s="12" t="n"/>
      <c r="D19" s="13" t="n"/>
      <c r="E19" s="13" t="n"/>
      <c r="F19" s="21" t="n"/>
      <c r="G19" s="13" t="n"/>
      <c r="H19" s="13" t="n"/>
      <c r="I19" s="21" t="n"/>
      <c r="J19" s="14">
        <f>IF(COUNT(D19:I19)&lt;6,"",IF(AND(D19&gt;=G19,E19&gt;=H19,F19&gt;=I19),"成功：そのまま",IF(AND(D19&gt;=G19,E19&gt;=H19,F19&lt;I19),"外に拡散中：そのまま",IF(AND(D19&lt;G19,E19&lt;H19,F19&lt;I19),"差し替え検討","様子見"))))</f>
        <v/>
      </c>
      <c r="K19" s="12" t="n"/>
    </row>
    <row r="20">
      <c r="A20" s="8" t="n">
        <v>15</v>
      </c>
      <c r="B20" s="12" t="n"/>
      <c r="C20" s="12" t="n"/>
      <c r="D20" s="13" t="n"/>
      <c r="E20" s="13" t="n"/>
      <c r="F20" s="21" t="n"/>
      <c r="G20" s="13" t="n"/>
      <c r="H20" s="13" t="n"/>
      <c r="I20" s="21" t="n"/>
      <c r="J20" s="14">
        <f>IF(COUNT(D20:I20)&lt;6,"",IF(AND(D20&gt;=G20,E20&gt;=H20,F20&gt;=I20),"成功：そのまま",IF(AND(D20&gt;=G20,E20&gt;=H20,F20&lt;I20),"外に拡散中：そのまま",IF(AND(D20&lt;G20,E20&lt;H20,F20&lt;I20),"差し替え検討","様子見"))))</f>
        <v/>
      </c>
      <c r="K20" s="12" t="n"/>
    </row>
    <row r="23">
      <c r="A23" s="2" t="inlineStr">
        <is>
          <t>判定ルール（①②）：全部平均以上→そのまま／再生・表示は平均以上でCTRだけ低い→普段の視聴者の外に広がっているのでそのまま／全部平均以下→別セットに差し替え／それ以外→様子見</t>
        </is>
      </c>
    </row>
  </sheetData>
  <conditionalFormatting sqref="J6:J20">
    <cfRule type="cellIs" priority="1" operator="equal" dxfId="1">
      <formula>"差し替え検討"</formula>
    </cfRule>
  </conditionalFormatting>
  <dataValidations count="1">
    <dataValidation sqref="C6:C2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2026-09-25T02:01:44Z</dcterms:created>
  <dcterms:modified xsi:type="dcterms:W3CDTF">2026-09-25T02:01:44Z</dcterms:modified>
</cp:coreProperties>
</file>