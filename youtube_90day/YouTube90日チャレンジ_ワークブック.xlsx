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ロードマップ" sheetId="1" state="visible" r:id="rId1"/>
    <sheet name="01_決意表明" sheetId="2" state="visible" r:id="rId2"/>
    <sheet name="02_スワイプファイル" sheetId="3" state="visible" r:id="rId3"/>
    <sheet name="03_動画レシピ" sheetId="4" state="visible" r:id="rId4"/>
    <sheet name="04_アイデア8本" sheetId="5" state="visible" r:id="rId5"/>
    <sheet name="05_スプリント管理" sheetId="6" state="visible" r:id="rId6"/>
    <sheet name="06_制作シート" sheetId="7" state="visible" r:id="rId7"/>
    <sheet name="07_投稿後振り返り" sheetId="8" state="visible" r:id="rId8"/>
    <sheet name="08_渾身の1本" sheetId="9" state="visible" r:id="rId9"/>
    <sheet name="09_最終振り返り" sheetId="10" state="visible" r:id="rId10"/>
    <sheet name="10_考えることリスト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i val="1"/>
      <color rgb="00595959"/>
      <sz val="10"/>
    </font>
    <font>
      <name val="Meiryo"/>
      <b val="1"/>
      <color rgb="00FFFFFF"/>
      <sz val="10"/>
    </font>
    <font>
      <name val="Meiryo"/>
      <sz val="10"/>
    </font>
    <font>
      <name val="Meiryo"/>
      <b val="1"/>
      <color rgb="001F3864"/>
      <sz val="12"/>
    </font>
    <font>
      <name val="Meiryo"/>
      <b val="1"/>
      <sz val="10"/>
    </font>
    <font>
      <name val="Meiryo"/>
      <color rgb="000000FF"/>
      <sz val="10"/>
    </font>
    <font>
      <name val="Meiryo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8" borderId="0" pivotButton="0" quotePrefix="0" xfId="0"/>
    <xf numFmtId="0" fontId="0" fillId="8" borderId="0" pivotButton="0" quotePrefix="0" xfId="0"/>
    <xf numFmtId="0" fontId="0" fillId="0" borderId="4" pivotButton="0" quotePrefix="0" xfId="0"/>
    <xf numFmtId="0" fontId="4" fillId="0" borderId="0" pivotButton="0" quotePrefix="0" xfId="0"/>
    <xf numFmtId="0" fontId="0" fillId="0" borderId="5" pivotButton="0" quotePrefix="0" xfId="0"/>
    <xf numFmtId="9" fontId="6" fillId="0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Meiryo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8" customWidth="1" min="4" max="4"/>
    <col width="40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90日間YouTubeチャレンジ ロードマップ</t>
        </is>
      </c>
    </row>
    <row r="2">
      <c r="A2" s="2" t="inlineStr">
        <is>
          <t>12週間・3フェーズ。基準ペースは週1本（普段のペースに合わせて調整）。各週の「使うシート」を開いて進める。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5" ht="32" customHeight="1">
      <c r="A5" s="3" t="inlineStr">
        <is>
          <t>週</t>
        </is>
      </c>
      <c r="B5" s="3" t="inlineStr">
        <is>
          <t>フェーズ</t>
        </is>
      </c>
      <c r="C5" s="3" t="inlineStr">
        <is>
          <t>テーマ</t>
        </is>
      </c>
      <c r="D5" s="3" t="inlineStr">
        <is>
          <t>やること（ゴール）</t>
        </is>
      </c>
      <c r="E5" s="3" t="inlineStr">
        <is>
          <t>完了の目安</t>
        </is>
      </c>
      <c r="F5" s="3" t="inlineStr">
        <is>
          <t>使うシート</t>
        </is>
      </c>
      <c r="G5" s="3" t="inlineStr">
        <is>
          <t>予定開始日</t>
        </is>
      </c>
      <c r="H5" s="3" t="inlineStr">
        <is>
          <t>完了✔</t>
        </is>
      </c>
    </row>
    <row r="6" ht="45" customHeight="1">
      <c r="A6" s="4" t="inlineStr">
        <is>
          <t>W1</t>
        </is>
      </c>
      <c r="B6" s="5" t="inlineStr">
        <is>
          <t>1 土台作り</t>
        </is>
      </c>
      <c r="C6" s="5" t="inlineStr">
        <is>
          <t>決意表明</t>
        </is>
      </c>
      <c r="D6" s="5" t="inlineStr">
        <is>
          <t>目標を書き出し、公開宣言する（コミュニティ投稿・ショート・X・Instagram・Discord等。視聴者がいなければ紙＋友人/家族）</t>
        </is>
      </c>
      <c r="E6" s="5" t="inlineStr">
        <is>
          <t>宣言を投稿した</t>
        </is>
      </c>
      <c r="F6" s="5" t="inlineStr">
        <is>
          <t>01_決意表明</t>
        </is>
      </c>
      <c r="G6" s="6">
        <f>IF($C$20="","",$C$20+0)</f>
        <v/>
      </c>
      <c r="H6" s="7" t="n"/>
    </row>
    <row r="7" ht="45" customHeight="1">
      <c r="A7" s="4" t="inlineStr">
        <is>
          <t>W2</t>
        </is>
      </c>
      <c r="B7" s="5" t="inlineStr">
        <is>
          <t>1 土台作り</t>
        </is>
      </c>
      <c r="C7" s="5" t="inlineStr">
        <is>
          <t>審美眼を広げる</t>
        </is>
      </c>
      <c r="D7" s="5" t="inlineStr">
        <is>
          <t>クリエイター目線で30本以上研究。ニッチ外・多フォーマットも見る。スワイプファイル作成開始</t>
        </is>
      </c>
      <c r="E7" s="5" t="inlineStr">
        <is>
          <t>30本分析・スワイプファイルができた</t>
        </is>
      </c>
      <c r="F7" s="5" t="inlineStr">
        <is>
          <t>02_スワイプファイル</t>
        </is>
      </c>
      <c r="G7" s="6">
        <f>IF($C$20="","",$C$20+7)</f>
        <v/>
      </c>
      <c r="H7" s="7" t="n"/>
    </row>
    <row r="8" ht="45" customHeight="1">
      <c r="A8" s="4" t="inlineStr">
        <is>
          <t>W3</t>
        </is>
      </c>
      <c r="B8" s="5" t="inlineStr">
        <is>
          <t>1 土台作り</t>
        </is>
      </c>
      <c r="C8" s="5" t="inlineStr">
        <is>
          <t>動画レシピ開発</t>
        </is>
      </c>
      <c r="D8" s="5" t="inlineStr">
        <is>
          <t>5要素（ターゲット/価値/フォーマット/雰囲気/差別化）でテスト用レシピを1〜3個書く</t>
        </is>
      </c>
      <c r="E8" s="5" t="inlineStr">
        <is>
          <t>レシピ1〜3個</t>
        </is>
      </c>
      <c r="F8" s="5" t="inlineStr">
        <is>
          <t>03_動画レシピ</t>
        </is>
      </c>
      <c r="G8" s="6">
        <f>IF($C$20="","",$C$20+14)</f>
        <v/>
      </c>
      <c r="H8" s="7" t="n"/>
    </row>
    <row r="9" ht="45" customHeight="1">
      <c r="A9" s="4" t="inlineStr">
        <is>
          <t>W4</t>
        </is>
      </c>
      <c r="B9" s="5" t="inlineStr">
        <is>
          <t>1 土台作り</t>
        </is>
      </c>
      <c r="C9" s="5" t="inlineStr">
        <is>
          <t>アイデア創出</t>
        </is>
      </c>
      <c r="D9" s="5" t="inlineStr">
        <is>
          <t>3基準（検証可能性/再生ポテンシャル/実現可能性）を満たすアイデアを8本出す</t>
        </is>
      </c>
      <c r="E9" s="5" t="inlineStr">
        <is>
          <t>8本決定</t>
        </is>
      </c>
      <c r="F9" s="5" t="inlineStr">
        <is>
          <t>04_アイデア8本</t>
        </is>
      </c>
      <c r="G9" s="6">
        <f>IF($C$20="","",$C$20+21)</f>
        <v/>
      </c>
      <c r="H9" s="7" t="n"/>
    </row>
    <row r="10" ht="45" customHeight="1">
      <c r="A10" s="8" t="inlineStr">
        <is>
          <t>W5</t>
        </is>
      </c>
      <c r="B10" s="9" t="inlineStr">
        <is>
          <t>2 スプリント</t>
        </is>
      </c>
      <c r="C10" s="9" t="inlineStr">
        <is>
          <t>2回目の公開宣言＋制作開始</t>
        </is>
      </c>
      <c r="D10" s="9" t="inlineStr">
        <is>
          <t>スプリント宣言。投稿頻度を2倍に。各動画で4ステップ（学習目標→制作→振り返り→共有）</t>
        </is>
      </c>
      <c r="E10" s="9" t="inlineStr">
        <is>
          <t>動画1〜2本公開</t>
        </is>
      </c>
      <c r="F10" s="9" t="inlineStr">
        <is>
          <t>05_スプリント管理 / 06_制作シート</t>
        </is>
      </c>
      <c r="G10" s="6">
        <f>IF($C$20="","",$C$20+28)</f>
        <v/>
      </c>
      <c r="H10" s="7" t="n"/>
    </row>
    <row r="11" ht="45" customHeight="1">
      <c r="A11" s="8" t="inlineStr">
        <is>
          <t>W6</t>
        </is>
      </c>
      <c r="B11" s="9" t="inlineStr">
        <is>
          <t>2 スプリント</t>
        </is>
      </c>
      <c r="C11" s="9" t="inlineStr">
        <is>
          <t>スプリント継続</t>
        </is>
      </c>
      <c r="D11" s="9" t="inlineStr">
        <is>
          <t>とにかく完成させて公開。投稿ごとに20〜30分の振り返り</t>
        </is>
      </c>
      <c r="E11" s="9" t="inlineStr">
        <is>
          <t>累計4本</t>
        </is>
      </c>
      <c r="F11" s="9" t="inlineStr">
        <is>
          <t>05〜07</t>
        </is>
      </c>
      <c r="G11" s="6">
        <f>IF($C$20="","",$C$20+35)</f>
        <v/>
      </c>
      <c r="H11" s="7" t="n"/>
    </row>
    <row r="12" ht="45" customHeight="1">
      <c r="A12" s="8" t="inlineStr">
        <is>
          <t>W7</t>
        </is>
      </c>
      <c r="B12" s="9" t="inlineStr">
        <is>
          <t>2 スプリント</t>
        </is>
      </c>
      <c r="C12" s="9" t="inlineStr">
        <is>
          <t>スプリント継続</t>
        </is>
      </c>
      <c r="D12" s="9" t="inlineStr">
        <is>
          <t>3本目あたりで失速しやすい。想定内と割り切る</t>
        </is>
      </c>
      <c r="E12" s="9" t="inlineStr">
        <is>
          <t>累計6本</t>
        </is>
      </c>
      <c r="F12" s="9" t="inlineStr">
        <is>
          <t>05〜07</t>
        </is>
      </c>
      <c r="G12" s="6">
        <f>IF($C$20="","",$C$20+42)</f>
        <v/>
      </c>
      <c r="H12" s="7" t="n"/>
    </row>
    <row r="13" ht="45" customHeight="1">
      <c r="A13" s="8" t="inlineStr">
        <is>
          <t>W8</t>
        </is>
      </c>
      <c r="B13" s="9" t="inlineStr">
        <is>
          <t>2 スプリント</t>
        </is>
      </c>
      <c r="C13" s="9" t="inlineStr">
        <is>
          <t>スプリント継続</t>
        </is>
      </c>
      <c r="D13" s="9" t="inlineStr">
        <is>
          <t>振り返りのパターンを見る</t>
        </is>
      </c>
      <c r="E13" s="9" t="inlineStr">
        <is>
          <t>累計8本</t>
        </is>
      </c>
      <c r="F13" s="9" t="inlineStr">
        <is>
          <t>05〜07</t>
        </is>
      </c>
      <c r="G13" s="6">
        <f>IF($C$20="","",$C$20+49)</f>
        <v/>
      </c>
      <c r="H13" s="7" t="n"/>
    </row>
    <row r="14" ht="45" customHeight="1">
      <c r="A14" s="8" t="inlineStr">
        <is>
          <t>W9</t>
        </is>
      </c>
      <c r="B14" s="9" t="inlineStr">
        <is>
          <t>2 スプリント</t>
        </is>
      </c>
      <c r="C14" s="9" t="inlineStr">
        <is>
          <t>予備週</t>
        </is>
      </c>
      <c r="D14" s="9" t="inlineStr">
        <is>
          <t>遅れの取り戻し用バッファ。最後の振り返り・コミュニティ更新</t>
        </is>
      </c>
      <c r="E14" s="9" t="inlineStr">
        <is>
          <t>8本完了（本数より学び重視）</t>
        </is>
      </c>
      <c r="F14" s="9" t="inlineStr">
        <is>
          <t>05〜07</t>
        </is>
      </c>
      <c r="G14" s="6">
        <f>IF($C$20="","",$C$20+56)</f>
        <v/>
      </c>
      <c r="H14" s="7" t="n"/>
    </row>
    <row r="15" ht="45" customHeight="1">
      <c r="A15" s="10" t="inlineStr">
        <is>
          <t>W10</t>
        </is>
      </c>
      <c r="B15" s="11" t="inlineStr">
        <is>
          <t>3 渾身の1本</t>
        </is>
      </c>
      <c r="C15" s="11" t="inlineStr">
        <is>
          <t>特大ヒット作の制作</t>
        </is>
      </c>
      <c r="D15" s="11" t="inlineStr">
        <is>
          <t>スプリントの「もっと時間があったら」を全投入して渾身の1本を作る</t>
        </is>
      </c>
      <c r="E15" s="11" t="inlineStr">
        <is>
          <t>企画・台本・撮影</t>
        </is>
      </c>
      <c r="F15" s="11" t="inlineStr">
        <is>
          <t>08_渾身の1本</t>
        </is>
      </c>
      <c r="G15" s="6">
        <f>IF($C$20="","",$C$20+63)</f>
        <v/>
      </c>
      <c r="H15" s="7" t="n"/>
    </row>
    <row r="16" ht="45" customHeight="1">
      <c r="A16" s="10" t="inlineStr">
        <is>
          <t>W11</t>
        </is>
      </c>
      <c r="B16" s="11" t="inlineStr">
        <is>
          <t>3 渾身の1本</t>
        </is>
      </c>
      <c r="C16" s="11" t="inlineStr">
        <is>
          <t>特大ヒット作の公開</t>
        </is>
      </c>
      <c r="D16" s="11" t="inlineStr">
        <is>
          <t>品質を極限まで追求し公開（※W10-11配分は目安）</t>
        </is>
      </c>
      <c r="E16" s="11" t="inlineStr">
        <is>
          <t>公開</t>
        </is>
      </c>
      <c r="F16" s="11" t="inlineStr">
        <is>
          <t>08_渾身の1本</t>
        </is>
      </c>
      <c r="G16" s="6">
        <f>IF($C$20="","",$C$20+70)</f>
        <v/>
      </c>
      <c r="H16" s="7" t="n"/>
    </row>
    <row r="17" ht="45" customHeight="1">
      <c r="A17" s="10" t="inlineStr">
        <is>
          <t>W12</t>
        </is>
      </c>
      <c r="B17" s="11" t="inlineStr">
        <is>
          <t>3 渾身の1本</t>
        </is>
      </c>
      <c r="C17" s="11" t="inlineStr">
        <is>
          <t>最終振り返り</t>
        </is>
      </c>
      <c r="D17" s="11" t="inlineStr">
        <is>
          <t>全振り返りを見直し、量vs質の感覚を比較して今後の投稿スケジュールと黄金律を決める</t>
        </is>
      </c>
      <c r="E17" s="11" t="inlineStr">
        <is>
          <t>今後の方針決定</t>
        </is>
      </c>
      <c r="F17" s="11" t="inlineStr">
        <is>
          <t>09_最終振り返り</t>
        </is>
      </c>
      <c r="G17" s="6">
        <f>IF($C$20="","",$C$20+77)</f>
        <v/>
      </c>
      <c r="H17" s="7" t="n"/>
    </row>
    <row r="19">
      <c r="A19" s="12" t="inlineStr">
        <is>
          <t>設定</t>
        </is>
      </c>
    </row>
    <row r="20">
      <c r="A20" s="13" t="inlineStr">
        <is>
          <t>チャレンジ開始日</t>
        </is>
      </c>
      <c r="C20" s="14" t="n"/>
      <c r="D20" s="2" t="inlineStr">
        <is>
          <t>← 日付を入れると「予定開始日」が自動で入ります</t>
        </is>
      </c>
    </row>
    <row r="21">
      <c r="A21" s="13" t="inlineStr">
        <is>
          <t>普段の投稿ペース（本/週）</t>
        </is>
      </c>
      <c r="C21" s="15" t="n">
        <v>1</v>
      </c>
      <c r="D21" s="2" t="inlineStr">
        <is>
          <t>← 動画の基準は週1本。隔週なら 0.5</t>
        </is>
      </c>
    </row>
    <row r="22">
      <c r="A22" s="13" t="inlineStr">
        <is>
          <t>スプリント中の目標ペース（本/週）</t>
        </is>
      </c>
      <c r="C22" s="16">
        <f>C21*2</f>
        <v/>
      </c>
      <c r="D22" s="2" t="inlineStr">
        <is>
          <t>← 普段の2倍（自動）</t>
        </is>
      </c>
    </row>
    <row r="23">
      <c r="A23" s="13" t="inlineStr">
        <is>
          <t>8本完了までの目安（週）</t>
        </is>
      </c>
      <c r="C23" s="16">
        <f>IF(C22&gt;0,ROUNDUP(8/C22,0),"")</f>
        <v/>
      </c>
    </row>
    <row r="25">
      <c r="A25" s="12" t="inlineStr">
        <is>
          <t>進捗ダッシュボード（自動）</t>
        </is>
      </c>
    </row>
    <row r="26">
      <c r="A26" s="13" t="inlineStr">
        <is>
          <t>完了した週</t>
        </is>
      </c>
      <c r="C26" s="17">
        <f>COUNTIF(H6:H17,"✔")&amp;" / 12"</f>
        <v/>
      </c>
    </row>
    <row r="27">
      <c r="A27" s="13" t="inlineStr">
        <is>
          <t>スワイプファイル件数（目標30）</t>
        </is>
      </c>
      <c r="C27" s="17">
        <f>COUNTA('02_スワイプファイル'!B7:B106)</f>
        <v/>
      </c>
    </row>
    <row r="28">
      <c r="A28" s="13" t="inlineStr">
        <is>
          <t>動画レシピ数（目標1〜3）</t>
        </is>
      </c>
      <c r="C28" s="17">
        <f>COUNTA('03_動画レシピ'!C6:E6)</f>
        <v/>
      </c>
    </row>
    <row r="29">
      <c r="A29" s="13" t="inlineStr">
        <is>
          <t>アイデア数（目標8）</t>
        </is>
      </c>
      <c r="C29" s="17">
        <f>COUNTA('04_アイデア8本'!B7:B16)</f>
        <v/>
      </c>
    </row>
    <row r="30">
      <c r="A30" s="13" t="inlineStr">
        <is>
          <t>スプリント公開本数（目標8）</t>
        </is>
      </c>
      <c r="C30" s="17">
        <f>'05_スプリント管理'!C4</f>
        <v/>
      </c>
    </row>
    <row r="31">
      <c r="A31" s="13" t="inlineStr">
        <is>
          <t>振り返り記入済み本数</t>
        </is>
      </c>
      <c r="C31" s="17">
        <f>COUNTA('07_投稿後振り返り'!B7:B16)</f>
        <v/>
      </c>
    </row>
  </sheetData>
  <mergeCells count="6">
    <mergeCell ref="A26:B26"/>
    <mergeCell ref="A30:B30"/>
    <mergeCell ref="A29:B29"/>
    <mergeCell ref="A28:B28"/>
    <mergeCell ref="A27:B27"/>
    <mergeCell ref="A31:B31"/>
  </mergeCells>
  <dataValidations count="1">
    <dataValidation sqref="H6:H17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W1 決意表明</t>
        </is>
      </c>
    </row>
    <row r="2">
      <c r="A2" s="2" t="inlineStr">
        <is>
          <t>目標を書くと達成率が上がり、人に共有するとさらに上がる（ゲイル・マシューズ博士の研究）。挫折の原因は下手さではなく「諦めること」。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36" customHeight="1">
      <c r="A6" s="18" t="inlineStr">
        <is>
          <t>90日後の具体的な目標（数値で）</t>
        </is>
      </c>
      <c r="B6" s="19" t="inlineStr">
        <is>
          <t>例：登録者1,000人・総再生4,000時間で収益化</t>
        </is>
      </c>
    </row>
    <row r="7" ht="36" customHeight="1">
      <c r="A7" s="18" t="inlineStr">
        <is>
          <t>なぜ今それをやるのか（本気度）</t>
        </is>
      </c>
      <c r="B7" s="19" t="inlineStr">
        <is>
          <t>例：今年中に仕事と両立できる柱にしたい</t>
        </is>
      </c>
    </row>
    <row r="8" ht="36" customHeight="1">
      <c r="A8" s="18" t="inlineStr">
        <is>
          <t>止まりそうな時に読み返す一言</t>
        </is>
      </c>
      <c r="B8" s="19" t="inlineStr">
        <is>
          <t>例：完璧より公開。出さない動画からは何も学べない</t>
        </is>
      </c>
    </row>
    <row r="9" ht="36" customHeight="1">
      <c r="A9" s="18" t="inlineStr">
        <is>
          <t>予想される挫折ポイントと対策</t>
        </is>
      </c>
      <c r="B9" s="19" t="inlineStr">
        <is>
          <t>例：残業週→撮影は土曜午前に固定</t>
        </is>
      </c>
    </row>
    <row r="10" ht="36" customHeight="1">
      <c r="A10" s="18" t="inlineStr">
        <is>
          <t>宣言する場所（1回目）</t>
        </is>
      </c>
      <c r="B10" s="19" t="inlineStr">
        <is>
          <t>例：コミュニティ投稿＋X</t>
        </is>
      </c>
    </row>
    <row r="11" ht="36" customHeight="1">
      <c r="A11" s="18" t="inlineStr">
        <is>
          <t>宣言文（下書き）</t>
        </is>
      </c>
      <c r="B11" s="19" t="inlineStr">
        <is>
          <t>例：今日から90日間チャレンジを始めます。12週間で…</t>
        </is>
      </c>
    </row>
    <row r="12" ht="36" customHeight="1">
      <c r="A12" s="18" t="inlineStr">
        <is>
          <t>宣言した日</t>
        </is>
      </c>
      <c r="B12" s="20" t="n"/>
    </row>
    <row r="13" ht="36" customHeight="1">
      <c r="A13" s="18" t="inlineStr">
        <is>
          <t>宣言を見せた相手／反応</t>
        </is>
      </c>
      <c r="B13" s="21" t="n"/>
    </row>
    <row r="14" ht="36" customHeight="1">
      <c r="A14" s="18" t="inlineStr">
        <is>
          <t>【W5用】2回目の宣言場所</t>
        </is>
      </c>
      <c r="B14" s="19" t="inlineStr">
        <is>
          <t>例：ショート動画で「4週間スプリントで投稿2倍にします」</t>
        </is>
      </c>
    </row>
    <row r="15" ht="36" customHeight="1">
      <c r="A15" s="18" t="inlineStr">
        <is>
          <t>【W5用】2回目の宣言文</t>
        </is>
      </c>
      <c r="B15" s="21" t="n"/>
    </row>
    <row r="16" ht="36" customHeight="1">
      <c r="A16" s="18" t="inlineStr">
        <is>
          <t>【W5用】2回目を宣言した日</t>
        </is>
      </c>
      <c r="B16" s="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14" customWidth="1" min="5" max="5"/>
    <col width="30" customWidth="1" min="6" max="6"/>
    <col width="30" customWidth="1" min="7" max="7"/>
    <col width="30" customWidth="1" min="8" max="8"/>
    <col width="30" customWidth="1" min="9" max="9"/>
    <col width="26" customWidth="1" min="10" max="10"/>
    <col width="26" customWidth="1" min="11" max="11"/>
    <col width="30" customWidth="1" min="12" max="12"/>
    <col width="10" customWidth="1" min="13" max="13"/>
  </cols>
  <sheetData>
    <row r="1">
      <c r="A1" s="1" t="inlineStr">
        <is>
          <t>W2 審美眼を広げる：動画研究＆スワイプファイル</t>
        </is>
      </c>
    </row>
    <row r="2">
      <c r="A2" s="2" t="inlineStr">
        <is>
          <t>消費者ではなくクリエイターとして見る。「面白かったか」ではなく「なぜ」を書く。目標30本以上、ニッチ外・多フォーマットも。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4">
      <c r="F4" s="13" t="inlineStr">
        <is>
          <t>研究本数：</t>
        </is>
      </c>
      <c r="G4" s="13">
        <f>COUNTA(B7:B106)&amp;" / 30本"</f>
        <v/>
      </c>
    </row>
    <row r="6" ht="32" customHeight="1">
      <c r="A6" s="3" t="inlineStr">
        <is>
          <t>No</t>
        </is>
      </c>
      <c r="B6" s="3" t="inlineStr">
        <is>
          <t>動画タイトル / URL</t>
        </is>
      </c>
      <c r="C6" s="3" t="inlineStr">
        <is>
          <t>チャンネル</t>
        </is>
      </c>
      <c r="D6" s="3" t="inlineStr">
        <is>
          <t>フォーマット</t>
        </is>
      </c>
      <c r="E6" s="3" t="inlineStr">
        <is>
          <t>ニッチ内/外</t>
        </is>
      </c>
      <c r="F6" s="3" t="inlineStr">
        <is>
          <t>なぜクリックした？（タイトル・サムネ）</t>
        </is>
      </c>
      <c r="G6" s="3" t="inlineStr">
        <is>
          <t>30秒後も見続けた理由（フック）</t>
        </is>
      </c>
      <c r="H6" s="3" t="inlineStr">
        <is>
          <t>音楽・照明・編集で湧いた感情</t>
        </is>
      </c>
      <c r="I6" s="3" t="inlineStr">
        <is>
          <t>退屈・離脱したタイミングときっかけ</t>
        </is>
      </c>
      <c r="J6" s="3" t="inlineStr">
        <is>
          <t>盗みたい要素（スワイプ）</t>
        </is>
      </c>
      <c r="K6" s="3" t="inlineStr">
        <is>
          <t>自分の動画への応用案</t>
        </is>
      </c>
      <c r="L6" s="3" t="inlineStr">
        <is>
          <t>雰囲気（一言）</t>
        </is>
      </c>
      <c r="M6" s="3" t="inlineStr">
        <is>
          <t>重要度
(1-5)</t>
        </is>
      </c>
    </row>
    <row r="7">
      <c r="A7" s="16" t="n">
        <v>1</v>
      </c>
      <c r="B7" s="22" t="inlineStr">
        <is>
          <t>https://youtube.com/... 「3ヶ月で英語が話せた方法」</t>
        </is>
      </c>
      <c r="C7" s="22" t="inlineStr">
        <is>
          <t>〇〇English</t>
        </is>
      </c>
      <c r="D7" s="22" t="inlineStr">
        <is>
          <t>解説</t>
        </is>
      </c>
      <c r="E7" s="22" t="inlineStr">
        <is>
          <t>ニッチ内</t>
        </is>
      </c>
      <c r="F7" s="22" t="inlineStr">
        <is>
          <t>数字＋ビフォーアフター。サムネの表情が強い</t>
        </is>
      </c>
      <c r="G7" s="22" t="inlineStr">
        <is>
          <t>冒頭で結果を見せてから過程を約束</t>
        </is>
      </c>
      <c r="H7" s="22" t="inlineStr">
        <is>
          <t>静かなLo-fiで落ち着く、自然光で親近感</t>
        </is>
      </c>
      <c r="I7" s="22" t="inlineStr">
        <is>
          <t>中盤の機材説明（3:40）で離脱しそうに</t>
        </is>
      </c>
      <c r="J7" s="22" t="inlineStr">
        <is>
          <t>結果→過程の順で見せる冒頭構成</t>
        </is>
      </c>
      <c r="K7" s="22" t="inlineStr">
        <is>
          <t>IELTSスコア公開から始める</t>
        </is>
      </c>
      <c r="L7" s="22" t="inlineStr">
        <is>
          <t>親しみ・前向き</t>
        </is>
      </c>
      <c r="M7" s="22" t="n">
        <v>5</v>
      </c>
    </row>
    <row r="8">
      <c r="A8" s="16" t="n">
        <v>2</v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>
      <c r="A9" s="16" t="n">
        <v>3</v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>
      <c r="A10" s="16" t="n">
        <v>4</v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>
      <c r="A11" s="16" t="n">
        <v>5</v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>
      <c r="A12" s="16" t="n">
        <v>6</v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>
      <c r="A13" s="16" t="n">
        <v>7</v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>
      <c r="A14" s="16" t="n">
        <v>8</v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>
      <c r="A15" s="16" t="n">
        <v>9</v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>
      <c r="A16" s="16" t="n">
        <v>10</v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16" t="n">
        <v>11</v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>
      <c r="A18" s="16" t="n">
        <v>12</v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>
      <c r="A19" s="16" t="n">
        <v>13</v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>
      <c r="A20" s="16" t="n">
        <v>14</v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>
      <c r="A21" s="16" t="n">
        <v>15</v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>
      <c r="A22" s="16" t="n">
        <v>16</v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>
      <c r="A23" s="16" t="n">
        <v>17</v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16" t="n">
        <v>18</v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>
      <c r="A25" s="16" t="n">
        <v>19</v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>
      <c r="A26" s="16" t="n">
        <v>20</v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>
      <c r="A27" s="16" t="n">
        <v>21</v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>
      <c r="A28" s="16" t="n">
        <v>22</v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>
      <c r="A29" s="16" t="n">
        <v>23</v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>
      <c r="A30" s="16" t="n">
        <v>24</v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>
      <c r="A31" s="16" t="n">
        <v>25</v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>
      <c r="A32" s="16" t="n">
        <v>26</v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A33" s="16" t="n">
        <v>27</v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>
      <c r="A34" s="16" t="n">
        <v>28</v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>
      <c r="A35" s="16" t="n">
        <v>29</v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>
      <c r="A36" s="16" t="n">
        <v>30</v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>
      <c r="A37" s="16" t="n">
        <v>31</v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>
      <c r="A38" s="16" t="n">
        <v>32</v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A39" s="16" t="n">
        <v>33</v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>
      <c r="A40" s="16" t="n">
        <v>34</v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>
      <c r="A41" s="16" t="n">
        <v>35</v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>
      <c r="A42" s="16" t="n">
        <v>36</v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>
      <c r="A43" s="16" t="n">
        <v>37</v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>
      <c r="A44" s="16" t="n">
        <v>38</v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>
      <c r="A45" s="16" t="n">
        <v>39</v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>
      <c r="A46" s="16" t="n">
        <v>40</v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>
      <c r="A47" s="16" t="n">
        <v>41</v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>
      <c r="A48" s="16" t="n">
        <v>42</v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A49" s="16" t="n">
        <v>43</v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A50" s="16" t="n">
        <v>44</v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A51" s="16" t="n">
        <v>45</v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A52" s="16" t="n">
        <v>46</v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A53" s="16" t="n">
        <v>47</v>
      </c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A54" s="16" t="n">
        <v>48</v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A55" s="16" t="n">
        <v>49</v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A56" s="16" t="n">
        <v>50</v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A57" s="16" t="n">
        <v>51</v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A58" s="16" t="n">
        <v>52</v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A59" s="16" t="n">
        <v>53</v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A60" s="16" t="n">
        <v>54</v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A61" s="16" t="n">
        <v>55</v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16" t="n">
        <v>56</v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A63" s="16" t="n">
        <v>57</v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A64" s="16" t="n">
        <v>58</v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A65" s="16" t="n">
        <v>59</v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A66" s="16" t="n">
        <v>60</v>
      </c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A67" s="16" t="n">
        <v>61</v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A68" s="16" t="n">
        <v>62</v>
      </c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A69" s="16" t="n">
        <v>63</v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A70" s="16" t="n">
        <v>64</v>
      </c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A71" s="16" t="n">
        <v>65</v>
      </c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A72" s="16" t="n">
        <v>66</v>
      </c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A73" s="16" t="n">
        <v>67</v>
      </c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A74" s="16" t="n">
        <v>68</v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A75" s="16" t="n">
        <v>69</v>
      </c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A76" s="16" t="n">
        <v>70</v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16" t="n">
        <v>71</v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A78" s="16" t="n">
        <v>72</v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A79" s="16" t="n">
        <v>73</v>
      </c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A80" s="16" t="n">
        <v>74</v>
      </c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  <row r="81">
      <c r="A81" s="16" t="n">
        <v>75</v>
      </c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</row>
    <row r="82">
      <c r="A82" s="16" t="n">
        <v>76</v>
      </c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</row>
    <row r="83">
      <c r="A83" s="16" t="n">
        <v>77</v>
      </c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</row>
    <row r="84">
      <c r="A84" s="16" t="n">
        <v>78</v>
      </c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</row>
    <row r="85">
      <c r="A85" s="16" t="n">
        <v>79</v>
      </c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</row>
    <row r="86">
      <c r="A86" s="16" t="n">
        <v>80</v>
      </c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</row>
    <row r="87">
      <c r="A87" s="16" t="n">
        <v>81</v>
      </c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</row>
    <row r="88">
      <c r="A88" s="16" t="n">
        <v>82</v>
      </c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</row>
    <row r="89">
      <c r="A89" s="16" t="n">
        <v>83</v>
      </c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</row>
    <row r="90">
      <c r="A90" s="16" t="n">
        <v>84</v>
      </c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</row>
    <row r="91">
      <c r="A91" s="16" t="n">
        <v>85</v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</row>
    <row r="92">
      <c r="A92" s="16" t="n">
        <v>86</v>
      </c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</row>
    <row r="93">
      <c r="A93" s="16" t="n">
        <v>87</v>
      </c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</row>
    <row r="94">
      <c r="A94" s="16" t="n">
        <v>88</v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</row>
    <row r="95">
      <c r="A95" s="16" t="n">
        <v>89</v>
      </c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</row>
    <row r="96">
      <c r="A96" s="16" t="n">
        <v>90</v>
      </c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</row>
    <row r="97">
      <c r="A97" s="16" t="n">
        <v>91</v>
      </c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</row>
    <row r="98">
      <c r="A98" s="16" t="n">
        <v>92</v>
      </c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</row>
    <row r="99">
      <c r="A99" s="16" t="n">
        <v>93</v>
      </c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</row>
    <row r="100">
      <c r="A100" s="16" t="n">
        <v>94</v>
      </c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</row>
    <row r="101">
      <c r="A101" s="16" t="n">
        <v>95</v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</row>
    <row r="102">
      <c r="A102" s="16" t="n">
        <v>96</v>
      </c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</row>
    <row r="103">
      <c r="A103" s="16" t="n">
        <v>97</v>
      </c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</row>
    <row r="104">
      <c r="A104" s="16" t="n">
        <v>98</v>
      </c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</row>
    <row r="105">
      <c r="A105" s="16" t="n">
        <v>99</v>
      </c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</row>
    <row r="106">
      <c r="A106" s="16" t="n">
        <v>100</v>
      </c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</row>
  </sheetData>
  <dataValidations count="3">
    <dataValidation sqref="D7:D106" showDropDown="0" showInputMessage="0" showErrorMessage="0" allowBlank="1" type="list">
      <formula1>"Vlog,チャレンジ,チュートリアル,解説,分析,リスト/ランキング,ドキュメンタリー,インタビュー,リアクション,ショート,その他"</formula1>
    </dataValidation>
    <dataValidation sqref="E7:E106" showDropDown="0" showInputMessage="0" showErrorMessage="0" allowBlank="1" type="list">
      <formula1>"ニッチ内,ニッチ外"</formula1>
    </dataValidation>
    <dataValidation sqref="M7:M10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W3 独自の動画レシピ（テスト用に1〜3個）</t>
        </is>
      </c>
    </row>
    <row r="2">
      <c r="A2" s="2" t="inlineStr">
        <is>
          <t>最終決定ではなく「実験するための仮説」。強み（得意なこと）とスワイプファイルで繰り返し出てくる要素から組み立てる。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5" ht="32" customHeight="1">
      <c r="A5" s="3" t="inlineStr">
        <is>
          <t>要素</t>
        </is>
      </c>
      <c r="B5" s="3" t="inlineStr">
        <is>
          <t>自分への問い</t>
        </is>
      </c>
      <c r="C5" s="3" t="inlineStr">
        <is>
          <t>レシピA</t>
        </is>
      </c>
      <c r="D5" s="3" t="inlineStr">
        <is>
          <t>レシピB</t>
        </is>
      </c>
      <c r="E5" s="3" t="inlineStr">
        <is>
          <t>レシピC</t>
        </is>
      </c>
    </row>
    <row r="6" ht="24" customHeight="1">
      <c r="A6" s="18" t="inlineStr">
        <is>
          <t>レシピ名</t>
        </is>
      </c>
      <c r="B6" s="23" t="inlineStr">
        <is>
          <t>短い呼び名（アイデア・振り返りシートで使う）</t>
        </is>
      </c>
      <c r="C6" s="22" t="inlineStr">
        <is>
          <t>IELTS独学ラボ</t>
        </is>
      </c>
      <c r="D6" s="21" t="n"/>
      <c r="E6" s="21" t="n"/>
    </row>
    <row r="7" ht="60" customHeight="1">
      <c r="A7" s="18" t="inlineStr">
        <is>
          <t>① ターゲット層</t>
        </is>
      </c>
      <c r="B7" s="23" t="inlineStr">
        <is>
          <t>誰のため？何に興味があり、何に悩んでいる？普段どんな動画を見ている？</t>
        </is>
      </c>
      <c r="C7" s="22" t="inlineStr">
        <is>
          <t>IELTS 6.5を目指す社会人（独学・時間がない）</t>
        </is>
      </c>
      <c r="D7" s="21" t="n"/>
      <c r="E7" s="21" t="n"/>
    </row>
    <row r="8" ht="60" customHeight="1">
      <c r="A8" s="18" t="inlineStr">
        <is>
          <t>② 価値</t>
        </is>
      </c>
      <c r="B8" s="23" t="inlineStr">
        <is>
          <t>見た人は何を得る？行動の後押し／理解が深まる／孤独が和らぐ／娯楽／インスピレーション</t>
        </is>
      </c>
      <c r="C8" s="22" t="inlineStr">
        <is>
          <t>スコアを上げる具体的な手順がわかる</t>
        </is>
      </c>
      <c r="D8" s="21" t="n"/>
      <c r="E8" s="21" t="n"/>
    </row>
    <row r="9" ht="60" customHeight="1">
      <c r="A9" s="18" t="inlineStr">
        <is>
          <t>③ フォーマット</t>
        </is>
      </c>
      <c r="B9" s="23" t="inlineStr">
        <is>
          <t>その価値をどう届ける？（Vlog・解説・チュートリアル・チャレンジ等から強みに合う1〜2個）</t>
        </is>
      </c>
      <c r="C9" s="22" t="inlineStr">
        <is>
          <t>解説＋画面録画チュートリアル</t>
        </is>
      </c>
      <c r="D9" s="21" t="n"/>
      <c r="E9" s="21" t="n"/>
    </row>
    <row r="10" ht="60" customHeight="1">
      <c r="A10" s="18" t="inlineStr">
        <is>
          <t>④ 雰囲気（バイブス）</t>
        </is>
      </c>
      <c r="B10" s="23" t="inlineStr">
        <is>
          <t>見終わった後どんな気分にさせたい？（居心地がいい・スリル・刺激的・効率的…）</t>
        </is>
      </c>
      <c r="C10" s="22" t="inlineStr">
        <is>
          <t>効率的・安心感</t>
        </is>
      </c>
      <c r="D10" s="21" t="n"/>
      <c r="E10" s="21" t="n"/>
    </row>
    <row r="11" ht="60" customHeight="1">
      <c r="A11" s="18" t="inlineStr">
        <is>
          <t>⑤ 差別化要因</t>
        </is>
      </c>
      <c r="B11" s="23" t="inlineStr">
        <is>
          <t>なぜ他の人ではなく自分の動画を見るべき？（独自スキル／アクセス権／深い洞察／個性）</t>
        </is>
      </c>
      <c r="C11" s="22" t="inlineStr">
        <is>
          <t>自分が実際に独学で上げた記録と失敗例を全公開</t>
        </is>
      </c>
      <c r="D11" s="21" t="n"/>
      <c r="E11" s="21" t="n"/>
    </row>
    <row r="13" ht="22" customHeight="1">
      <c r="A13" s="24" t="inlineStr">
        <is>
          <t>レシピを作る前に考えること</t>
        </is>
      </c>
      <c r="B13" s="25" t="n"/>
      <c r="C13" s="25" t="n"/>
      <c r="D13" s="25" t="n"/>
      <c r="E13" s="25" t="n"/>
    </row>
    <row r="14" ht="30" customHeight="1">
      <c r="A14" s="18" t="inlineStr">
        <is>
          <t>自分が生まれつき得意なことは？</t>
        </is>
      </c>
      <c r="B14" s="26" t="n"/>
      <c r="C14" s="21" t="n"/>
    </row>
    <row r="15" ht="30" customHeight="1">
      <c r="A15" s="18" t="inlineStr">
        <is>
          <t>スワイプファイルで何度も出てくるフォーマットは？</t>
        </is>
      </c>
      <c r="B15" s="26" t="n"/>
      <c r="C15" s="21" t="n"/>
    </row>
    <row r="16" ht="30" customHeight="1">
      <c r="A16" s="18" t="inlineStr">
        <is>
          <t>スワイプファイルで何度も出てくる雰囲気は？</t>
        </is>
      </c>
      <c r="B16" s="26" t="n"/>
      <c r="C16" s="21" t="n"/>
    </row>
    <row r="17" ht="30" customHeight="1">
      <c r="A17" s="18" t="inlineStr">
        <is>
          <t>他の人にない経験・アクセス・スキルは？</t>
        </is>
      </c>
      <c r="B17" s="26" t="n"/>
      <c r="C17" s="21" t="n"/>
    </row>
  </sheetData>
  <mergeCells count="8">
    <mergeCell ref="C16:E16"/>
    <mergeCell ref="A16:B16"/>
    <mergeCell ref="C14:E14"/>
    <mergeCell ref="A15:B15"/>
    <mergeCell ref="A14:B14"/>
    <mergeCell ref="C17:E17"/>
    <mergeCell ref="A17:B17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34" customWidth="1" min="4" max="4"/>
    <col width="30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30" customWidth="1" min="11" max="11"/>
    <col width="14" customWidth="1" min="12" max="12"/>
  </cols>
  <sheetData>
    <row r="1">
      <c r="A1" s="1" t="inlineStr">
        <is>
          <t>W4 アイデア創出：3基準でスコアリングして8本選ぶ</t>
        </is>
      </c>
    </row>
    <row r="2">
      <c r="A2" s="2" t="inlineStr">
        <is>
          <t>各基準を1〜5で評価。合計と順位は自動。複数レシピがある場合は各レシピ最低1本。大規模・複雑なネタは「渾身の1本」候補へ回す。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6" ht="32" customHeight="1">
      <c r="A6" s="3" t="inlineStr">
        <is>
          <t>No</t>
        </is>
      </c>
      <c r="B6" s="3" t="inlineStr">
        <is>
          <t>動画アイデア（仮タイトル）</t>
        </is>
      </c>
      <c r="C6" s="3" t="inlineStr">
        <is>
          <t>使うレシピ</t>
        </is>
      </c>
      <c r="D6" s="3" t="inlineStr">
        <is>
          <t>検証したいこと（実験の問い）</t>
        </is>
      </c>
      <c r="E6" s="3" t="inlineStr">
        <is>
          <t>参考にした実績コンテンツ（URL・再生数）</t>
        </is>
      </c>
      <c r="F6" s="3" t="inlineStr">
        <is>
          <t>検証可能性
(1-5)</t>
        </is>
      </c>
      <c r="G6" s="3" t="inlineStr">
        <is>
          <t>再生
ポテンシャル
(1-5)</t>
        </is>
      </c>
      <c r="H6" s="3" t="inlineStr">
        <is>
          <t>実現可能性
(2倍速で作れる？)(1-5)</t>
        </is>
      </c>
      <c r="I6" s="3" t="inlineStr">
        <is>
          <t>合計
(/15)</t>
        </is>
      </c>
      <c r="J6" s="3" t="inlineStr">
        <is>
          <t>順位</t>
        </is>
      </c>
      <c r="K6" s="3" t="inlineStr">
        <is>
          <t>簡略化するなら？</t>
        </is>
      </c>
      <c r="L6" s="3" t="inlineStr">
        <is>
          <t>判定</t>
        </is>
      </c>
    </row>
    <row r="7" ht="36" customHeight="1">
      <c r="A7" s="16" t="n">
        <v>1</v>
      </c>
      <c r="B7" s="22" t="inlineStr">
        <is>
          <t>IELTSライティング 独学で6.5→7.0にした添削ルーティン</t>
        </is>
      </c>
      <c r="C7" s="22" t="inlineStr">
        <is>
          <t>IELTS独学ラボ</t>
        </is>
      </c>
      <c r="D7" s="22" t="inlineStr">
        <is>
          <t>画面録画中心のフォーマットで維持率は保てるか？</t>
        </is>
      </c>
      <c r="E7" s="22" t="inlineStr">
        <is>
          <t>類似動画 45万回（登録者3万ch）</t>
        </is>
      </c>
      <c r="F7" s="22" t="n">
        <v>4</v>
      </c>
      <c r="G7" s="22" t="n">
        <v>5</v>
      </c>
      <c r="H7" s="22" t="n">
        <v>4</v>
      </c>
      <c r="I7" s="17">
        <f>IF(COUNT(F7:H7)=3,SUM(F7:H7),"")</f>
        <v/>
      </c>
      <c r="J7" s="16">
        <f>IF(I7="","",RANK(I7,$I$7:$I$16))</f>
        <v/>
      </c>
      <c r="K7" s="21" t="n"/>
      <c r="L7" s="16">
        <f>IF(I7="","",IF(H7&lt;=2,"簡略化 or 渾身候補へ",IF(I7&gt;=11,"採用候補","要ブラッシュアップ")))</f>
        <v/>
      </c>
    </row>
    <row r="8" ht="36" customHeight="1">
      <c r="A8" s="16" t="n">
        <v>2</v>
      </c>
      <c r="B8" s="21" t="n"/>
      <c r="C8" s="21" t="n"/>
      <c r="D8" s="21" t="n"/>
      <c r="E8" s="21" t="n"/>
      <c r="F8" s="21" t="n"/>
      <c r="G8" s="21" t="n"/>
      <c r="H8" s="21" t="n"/>
      <c r="I8" s="17">
        <f>IF(COUNT(F8:H8)=3,SUM(F8:H8),"")</f>
        <v/>
      </c>
      <c r="J8" s="16">
        <f>IF(I8="","",RANK(I8,$I$7:$I$16))</f>
        <v/>
      </c>
      <c r="K8" s="21" t="n"/>
      <c r="L8" s="16">
        <f>IF(I8="","",IF(H8&lt;=2,"簡略化 or 渾身候補へ",IF(I8&gt;=11,"採用候補","要ブラッシュアップ")))</f>
        <v/>
      </c>
    </row>
    <row r="9" ht="36" customHeight="1">
      <c r="A9" s="16" t="n">
        <v>3</v>
      </c>
      <c r="B9" s="21" t="n"/>
      <c r="C9" s="21" t="n"/>
      <c r="D9" s="21" t="n"/>
      <c r="E9" s="21" t="n"/>
      <c r="F9" s="21" t="n"/>
      <c r="G9" s="21" t="n"/>
      <c r="H9" s="21" t="n"/>
      <c r="I9" s="17">
        <f>IF(COUNT(F9:H9)=3,SUM(F9:H9),"")</f>
        <v/>
      </c>
      <c r="J9" s="16">
        <f>IF(I9="","",RANK(I9,$I$7:$I$16))</f>
        <v/>
      </c>
      <c r="K9" s="21" t="n"/>
      <c r="L9" s="16">
        <f>IF(I9="","",IF(H9&lt;=2,"簡略化 or 渾身候補へ",IF(I9&gt;=11,"採用候補","要ブラッシュアップ")))</f>
        <v/>
      </c>
    </row>
    <row r="10" ht="36" customHeight="1">
      <c r="A10" s="16" t="n">
        <v>4</v>
      </c>
      <c r="B10" s="21" t="n"/>
      <c r="C10" s="21" t="n"/>
      <c r="D10" s="21" t="n"/>
      <c r="E10" s="21" t="n"/>
      <c r="F10" s="21" t="n"/>
      <c r="G10" s="21" t="n"/>
      <c r="H10" s="21" t="n"/>
      <c r="I10" s="17">
        <f>IF(COUNT(F10:H10)=3,SUM(F10:H10),"")</f>
        <v/>
      </c>
      <c r="J10" s="16">
        <f>IF(I10="","",RANK(I10,$I$7:$I$16))</f>
        <v/>
      </c>
      <c r="K10" s="21" t="n"/>
      <c r="L10" s="16">
        <f>IF(I10="","",IF(H10&lt;=2,"簡略化 or 渾身候補へ",IF(I10&gt;=11,"採用候補","要ブラッシュアップ")))</f>
        <v/>
      </c>
    </row>
    <row r="11" ht="36" customHeight="1">
      <c r="A11" s="16" t="n">
        <v>5</v>
      </c>
      <c r="B11" s="21" t="n"/>
      <c r="C11" s="21" t="n"/>
      <c r="D11" s="21" t="n"/>
      <c r="E11" s="21" t="n"/>
      <c r="F11" s="21" t="n"/>
      <c r="G11" s="21" t="n"/>
      <c r="H11" s="21" t="n"/>
      <c r="I11" s="17">
        <f>IF(COUNT(F11:H11)=3,SUM(F11:H11),"")</f>
        <v/>
      </c>
      <c r="J11" s="16">
        <f>IF(I11="","",RANK(I11,$I$7:$I$16))</f>
        <v/>
      </c>
      <c r="K11" s="21" t="n"/>
      <c r="L11" s="16">
        <f>IF(I11="","",IF(H11&lt;=2,"簡略化 or 渾身候補へ",IF(I11&gt;=11,"採用候補","要ブラッシュアップ")))</f>
        <v/>
      </c>
    </row>
    <row r="12" ht="36" customHeight="1">
      <c r="A12" s="16" t="n">
        <v>6</v>
      </c>
      <c r="B12" s="21" t="n"/>
      <c r="C12" s="21" t="n"/>
      <c r="D12" s="21" t="n"/>
      <c r="E12" s="21" t="n"/>
      <c r="F12" s="21" t="n"/>
      <c r="G12" s="21" t="n"/>
      <c r="H12" s="21" t="n"/>
      <c r="I12" s="17">
        <f>IF(COUNT(F12:H12)=3,SUM(F12:H12),"")</f>
        <v/>
      </c>
      <c r="J12" s="16">
        <f>IF(I12="","",RANK(I12,$I$7:$I$16))</f>
        <v/>
      </c>
      <c r="K12" s="21" t="n"/>
      <c r="L12" s="16">
        <f>IF(I12="","",IF(H12&lt;=2,"簡略化 or 渾身候補へ",IF(I12&gt;=11,"採用候補","要ブラッシュアップ")))</f>
        <v/>
      </c>
    </row>
    <row r="13" ht="36" customHeight="1">
      <c r="A13" s="16" t="n">
        <v>7</v>
      </c>
      <c r="B13" s="21" t="n"/>
      <c r="C13" s="21" t="n"/>
      <c r="D13" s="21" t="n"/>
      <c r="E13" s="21" t="n"/>
      <c r="F13" s="21" t="n"/>
      <c r="G13" s="21" t="n"/>
      <c r="H13" s="21" t="n"/>
      <c r="I13" s="17">
        <f>IF(COUNT(F13:H13)=3,SUM(F13:H13),"")</f>
        <v/>
      </c>
      <c r="J13" s="16">
        <f>IF(I13="","",RANK(I13,$I$7:$I$16))</f>
        <v/>
      </c>
      <c r="K13" s="21" t="n"/>
      <c r="L13" s="16">
        <f>IF(I13="","",IF(H13&lt;=2,"簡略化 or 渾身候補へ",IF(I13&gt;=11,"採用候補","要ブラッシュアップ")))</f>
        <v/>
      </c>
    </row>
    <row r="14" ht="36" customHeight="1">
      <c r="A14" s="16" t="n">
        <v>8</v>
      </c>
      <c r="B14" s="21" t="n"/>
      <c r="C14" s="21" t="n"/>
      <c r="D14" s="21" t="n"/>
      <c r="E14" s="21" t="n"/>
      <c r="F14" s="21" t="n"/>
      <c r="G14" s="21" t="n"/>
      <c r="H14" s="21" t="n"/>
      <c r="I14" s="17">
        <f>IF(COUNT(F14:H14)=3,SUM(F14:H14),"")</f>
        <v/>
      </c>
      <c r="J14" s="16">
        <f>IF(I14="","",RANK(I14,$I$7:$I$16))</f>
        <v/>
      </c>
      <c r="K14" s="21" t="n"/>
      <c r="L14" s="16">
        <f>IF(I14="","",IF(H14&lt;=2,"簡略化 or 渾身候補へ",IF(I14&gt;=11,"採用候補","要ブラッシュアップ")))</f>
        <v/>
      </c>
    </row>
    <row r="15" ht="36" customHeight="1">
      <c r="A15" s="16" t="n">
        <v>9</v>
      </c>
      <c r="B15" s="21" t="n"/>
      <c r="C15" s="21" t="n"/>
      <c r="D15" s="21" t="n"/>
      <c r="E15" s="21" t="n"/>
      <c r="F15" s="21" t="n"/>
      <c r="G15" s="21" t="n"/>
      <c r="H15" s="21" t="n"/>
      <c r="I15" s="17">
        <f>IF(COUNT(F15:H15)=3,SUM(F15:H15),"")</f>
        <v/>
      </c>
      <c r="J15" s="16">
        <f>IF(I15="","",RANK(I15,$I$7:$I$16))</f>
        <v/>
      </c>
      <c r="K15" s="21" t="n"/>
      <c r="L15" s="16">
        <f>IF(I15="","",IF(H15&lt;=2,"簡略化 or 渾身候補へ",IF(I15&gt;=11,"採用候補","要ブラッシュアップ")))</f>
        <v/>
      </c>
    </row>
    <row r="16" ht="36" customHeight="1">
      <c r="A16" s="16" t="n">
        <v>10</v>
      </c>
      <c r="B16" s="21" t="n"/>
      <c r="C16" s="21" t="n"/>
      <c r="D16" s="21" t="n"/>
      <c r="E16" s="21" t="n"/>
      <c r="F16" s="21" t="n"/>
      <c r="G16" s="21" t="n"/>
      <c r="H16" s="21" t="n"/>
      <c r="I16" s="17">
        <f>IF(COUNT(F16:H16)=3,SUM(F16:H16),"")</f>
        <v/>
      </c>
      <c r="J16" s="16">
        <f>IF(I16="","",RANK(I16,$I$7:$I$16))</f>
        <v/>
      </c>
      <c r="K16" s="21" t="n"/>
      <c r="L16" s="16">
        <f>IF(I16="","",IF(H16&lt;=2,"簡略化 or 渾身候補へ",IF(I16&gt;=11,"採用候補","要ブラッシュアップ")))</f>
        <v/>
      </c>
    </row>
    <row r="18">
      <c r="A18" s="12" t="inlineStr">
        <is>
          <t>基準の問い</t>
        </is>
      </c>
    </row>
    <row r="19">
      <c r="A19" s="27" t="inlineStr">
        <is>
          <t>検証可能性：このアイデアでレシピの何がわかる？（このフォーマットを試したら？この雰囲気を強調したら？このターゲットにこの価値を出したら？）</t>
        </is>
      </c>
    </row>
    <row r="20">
      <c r="A20" s="27" t="inlineStr">
        <is>
          <t>再生ポテンシャル：目標再生数を既に出しているタイトル/サムネ/コンセプト（自他・ニッチ内外）を自分のレシピに通したか？</t>
        </is>
      </c>
    </row>
    <row r="21">
      <c r="A21" s="27" t="inlineStr">
        <is>
          <t>実現可能性：普段の2倍のペースで台本→撮影→編集→公開できる？無理なら簡略化できる？</t>
        </is>
      </c>
    </row>
    <row r="22">
      <c r="A22" s="27" t="inlineStr">
        <is>
          <t>※8本を超えて出してOK（10行用意）。上位8本を 05_スプリント管理 に転記。</t>
        </is>
      </c>
    </row>
  </sheetData>
  <conditionalFormatting sqref="I7:I16">
    <cfRule type="cellIs" priority="1" operator="greaterThanOrEqual" dxfId="0">
      <formula>11</formula>
    </cfRule>
  </conditionalFormatting>
  <conditionalFormatting sqref="H7:H16">
    <cfRule type="cellIs" priority="2" operator="lessThanOrEqual" dxfId="1">
      <formula>2</formula>
    </cfRule>
  </conditionalFormatting>
  <dataValidations count="2">
    <dataValidation sqref="F7:H16" showDropDown="0" showInputMessage="0" showErrorMessage="0" allowBlank="1" type="list">
      <formula1>"1,2,3,4,5"</formula1>
    </dataValidation>
    <dataValidation sqref="C7:C16" showDropDown="0" showInputMessage="0" showErrorMessage="0" allowBlank="1" type="list">
      <formula1>='03_動画レシピ'!$C$6:$E$6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36" customWidth="1" min="4" max="4"/>
    <col width="13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W5〜W9 スプリントモード：8本の進捗管理</t>
        </is>
      </c>
    </row>
    <row r="2">
      <c r="A2" s="2" t="inlineStr">
        <is>
          <t>投稿頻度2倍・8本・5週間（1週は予備）。本数より「1本ごとの学び」。遅れても前進を続ける。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4">
      <c r="A4" s="13" t="inlineStr">
        <is>
          <t>公開本数</t>
        </is>
      </c>
      <c r="C4" s="13">
        <f>COUNTIF(G7:G14,"公開済")</f>
        <v/>
      </c>
      <c r="D4" s="13">
        <f>C4&amp;" / 8本（"&amp;TEXT(C4/8,"0%")&amp;"）"</f>
        <v/>
      </c>
      <c r="E4" s="13" t="inlineStr">
        <is>
          <t>振り返り済</t>
        </is>
      </c>
      <c r="F4" s="13">
        <f>COUNTIF(J7:J14,"✔")&amp;" / "&amp;C4</f>
        <v/>
      </c>
    </row>
    <row r="6" ht="32" customHeight="1">
      <c r="A6" s="3" t="inlineStr">
        <is>
          <t>#</t>
        </is>
      </c>
      <c r="B6" s="3" t="inlineStr">
        <is>
          <t>動画タイトル</t>
        </is>
      </c>
      <c r="C6" s="3" t="inlineStr">
        <is>
          <t>レシピ</t>
        </is>
      </c>
      <c r="D6" s="3" t="inlineStr">
        <is>
          <t>学習目標（この動画で学ぶ1つのこと）</t>
        </is>
      </c>
      <c r="E6" s="3" t="inlineStr">
        <is>
          <t>公開予定日</t>
        </is>
      </c>
      <c r="F6" s="3" t="inlineStr">
        <is>
          <t>実際の公開日</t>
        </is>
      </c>
      <c r="G6" s="3" t="inlineStr">
        <is>
          <t>ステータス</t>
        </is>
      </c>
      <c r="H6" s="3" t="inlineStr">
        <is>
          <t>予定との差(日)</t>
        </is>
      </c>
      <c r="I6" s="3" t="inlineStr">
        <is>
          <t>学習目標設定</t>
        </is>
      </c>
      <c r="J6" s="3" t="inlineStr">
        <is>
          <t>振り返り記入</t>
        </is>
      </c>
      <c r="K6" s="3" t="inlineStr">
        <is>
          <t>コミュニティ共有</t>
        </is>
      </c>
      <c r="L6" s="3" t="inlineStr">
        <is>
          <t>メモ・詰まったこと</t>
        </is>
      </c>
    </row>
    <row r="7" ht="36" customHeight="1">
      <c r="A7" s="16" t="n">
        <v>1</v>
      </c>
      <c r="B7" s="22" t="inlineStr">
        <is>
          <t>IELTSライティング 独学で6.5→7.0にした添削ルーティン</t>
        </is>
      </c>
      <c r="C7" s="22" t="inlineStr">
        <is>
          <t>IELTS独学ラボ</t>
        </is>
      </c>
      <c r="D7" s="22" t="inlineStr">
        <is>
          <t>スワイプの「結果→過程」冒頭で30秒維持率が上がるか</t>
        </is>
      </c>
      <c r="E7" s="20" t="n"/>
      <c r="F7" s="20" t="n"/>
      <c r="G7" s="22" t="inlineStr">
        <is>
          <t>制作中</t>
        </is>
      </c>
      <c r="H7" s="16">
        <f>IF(OR(E7="",F7=""),"",F7-E7)</f>
        <v/>
      </c>
      <c r="I7" s="22" t="inlineStr">
        <is>
          <t>✔</t>
        </is>
      </c>
      <c r="J7" s="21" t="n"/>
      <c r="K7" s="21" t="n"/>
      <c r="L7" s="22" t="inlineStr">
        <is>
          <t>台本2時間で書けた</t>
        </is>
      </c>
    </row>
    <row r="8" ht="36" customHeight="1">
      <c r="A8" s="16" t="n">
        <v>2</v>
      </c>
      <c r="B8" s="21" t="n"/>
      <c r="C8" s="21" t="n"/>
      <c r="D8" s="21" t="n"/>
      <c r="E8" s="20" t="n"/>
      <c r="F8" s="20" t="n"/>
      <c r="G8" s="21" t="n"/>
      <c r="H8" s="16">
        <f>IF(OR(E8="",F8=""),"",F8-E8)</f>
        <v/>
      </c>
      <c r="I8" s="21" t="n"/>
      <c r="J8" s="21" t="n"/>
      <c r="K8" s="21" t="n"/>
      <c r="L8" s="21" t="n"/>
    </row>
    <row r="9" ht="36" customHeight="1">
      <c r="A9" s="16" t="n">
        <v>3</v>
      </c>
      <c r="B9" s="21" t="n"/>
      <c r="C9" s="21" t="n"/>
      <c r="D9" s="21" t="n"/>
      <c r="E9" s="20" t="n"/>
      <c r="F9" s="20" t="n"/>
      <c r="G9" s="21" t="n"/>
      <c r="H9" s="16">
        <f>IF(OR(E9="",F9=""),"",F9-E9)</f>
        <v/>
      </c>
      <c r="I9" s="21" t="n"/>
      <c r="J9" s="21" t="n"/>
      <c r="K9" s="21" t="n"/>
      <c r="L9" s="21" t="n"/>
    </row>
    <row r="10" ht="36" customHeight="1">
      <c r="A10" s="16" t="n">
        <v>4</v>
      </c>
      <c r="B10" s="21" t="n"/>
      <c r="C10" s="21" t="n"/>
      <c r="D10" s="21" t="n"/>
      <c r="E10" s="20" t="n"/>
      <c r="F10" s="20" t="n"/>
      <c r="G10" s="21" t="n"/>
      <c r="H10" s="16">
        <f>IF(OR(E10="",F10=""),"",F10-E10)</f>
        <v/>
      </c>
      <c r="I10" s="21" t="n"/>
      <c r="J10" s="21" t="n"/>
      <c r="K10" s="21" t="n"/>
      <c r="L10" s="21" t="n"/>
    </row>
    <row r="11" ht="36" customHeight="1">
      <c r="A11" s="16" t="n">
        <v>5</v>
      </c>
      <c r="B11" s="21" t="n"/>
      <c r="C11" s="21" t="n"/>
      <c r="D11" s="21" t="n"/>
      <c r="E11" s="20" t="n"/>
      <c r="F11" s="20" t="n"/>
      <c r="G11" s="21" t="n"/>
      <c r="H11" s="16">
        <f>IF(OR(E11="",F11=""),"",F11-E11)</f>
        <v/>
      </c>
      <c r="I11" s="21" t="n"/>
      <c r="J11" s="21" t="n"/>
      <c r="K11" s="21" t="n"/>
      <c r="L11" s="21" t="n"/>
    </row>
    <row r="12" ht="36" customHeight="1">
      <c r="A12" s="16" t="n">
        <v>6</v>
      </c>
      <c r="B12" s="21" t="n"/>
      <c r="C12" s="21" t="n"/>
      <c r="D12" s="21" t="n"/>
      <c r="E12" s="20" t="n"/>
      <c r="F12" s="20" t="n"/>
      <c r="G12" s="21" t="n"/>
      <c r="H12" s="16">
        <f>IF(OR(E12="",F12=""),"",F12-E12)</f>
        <v/>
      </c>
      <c r="I12" s="21" t="n"/>
      <c r="J12" s="21" t="n"/>
      <c r="K12" s="21" t="n"/>
      <c r="L12" s="21" t="n"/>
    </row>
    <row r="13" ht="36" customHeight="1">
      <c r="A13" s="16" t="n">
        <v>7</v>
      </c>
      <c r="B13" s="21" t="n"/>
      <c r="C13" s="21" t="n"/>
      <c r="D13" s="21" t="n"/>
      <c r="E13" s="20" t="n"/>
      <c r="F13" s="20" t="n"/>
      <c r="G13" s="21" t="n"/>
      <c r="H13" s="16">
        <f>IF(OR(E13="",F13=""),"",F13-E13)</f>
        <v/>
      </c>
      <c r="I13" s="21" t="n"/>
      <c r="J13" s="21" t="n"/>
      <c r="K13" s="21" t="n"/>
      <c r="L13" s="21" t="n"/>
    </row>
    <row r="14" ht="36" customHeight="1">
      <c r="A14" s="16" t="n">
        <v>8</v>
      </c>
      <c r="B14" s="21" t="n"/>
      <c r="C14" s="21" t="n"/>
      <c r="D14" s="21" t="n"/>
      <c r="E14" s="20" t="n"/>
      <c r="F14" s="20" t="n"/>
      <c r="G14" s="21" t="n"/>
      <c r="H14" s="16">
        <f>IF(OR(E14="",F14=""),"",F14-E14)</f>
        <v/>
      </c>
      <c r="I14" s="21" t="n"/>
      <c r="J14" s="21" t="n"/>
      <c r="K14" s="21" t="n"/>
      <c r="L14" s="21" t="n"/>
    </row>
    <row r="16" ht="22" customHeight="1">
      <c r="A16" s="24" t="inlineStr">
        <is>
          <t>各動画の4ステップ（毎回これを回す）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</row>
    <row r="17" ht="30" customHeight="1">
      <c r="A17" s="18" t="inlineStr">
        <is>
          <t>1 学習目標を設定</t>
        </is>
      </c>
      <c r="B17" s="26" t="n"/>
      <c r="C17" s="23" t="inlineStr">
        <is>
          <t>台本・撮影の前に「この動画で学ぶ1つのこと」を決める（新フォーマット／タイトル構成／サムネ／編集の簡略化など）。→ D列</t>
        </is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6" t="n"/>
    </row>
    <row r="18" ht="30" customHeight="1">
      <c r="A18" s="18" t="inlineStr">
        <is>
          <t>2 動画を制作</t>
        </is>
      </c>
      <c r="B18" s="26" t="n"/>
      <c r="C18" s="23" t="inlineStr">
        <is>
          <t>とにかく完成させる。考えすぎない・完璧を求めない。未完成に感じても約束したペースで公開。→ 06_制作シート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6" t="n"/>
    </row>
    <row r="19" ht="30" customHeight="1">
      <c r="A19" s="18" t="inlineStr">
        <is>
          <t>3 振り返る</t>
        </is>
      </c>
      <c r="B19" s="26" t="n"/>
      <c r="C19" s="23" t="inlineStr">
        <is>
          <t>公開後20〜30分で振り返りシートを記入。絶対に飛ばさない（最重要）。→ 07_投稿後振り返り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6" t="n"/>
    </row>
    <row r="20" ht="30" customHeight="1">
      <c r="A20" s="18" t="inlineStr">
        <is>
          <t>4 コミュニティ共有（任意・推奨）</t>
        </is>
      </c>
      <c r="B20" s="26" t="n"/>
      <c r="C20" s="23" t="inlineStr">
        <is>
          <t>「8本中3本目完了！」や振り返りの気づきを共有。投稿ごと or 週1。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6" t="n"/>
    </row>
    <row r="22">
      <c r="A22" s="2" t="inlineStr">
        <is>
          <t>心構え：3本目あたりで新鮮さが消え、再生が伸びない・遅れる・疑問が湧くのは普通。1回目9本、2回目は4本でも効果があった。</t>
        </is>
      </c>
    </row>
  </sheetData>
  <mergeCells count="8">
    <mergeCell ref="C19:L19"/>
    <mergeCell ref="A20:B20"/>
    <mergeCell ref="C18:L18"/>
    <mergeCell ref="A19:B19"/>
    <mergeCell ref="C17:L17"/>
    <mergeCell ref="C20:L20"/>
    <mergeCell ref="A17:B17"/>
    <mergeCell ref="A18:B18"/>
  </mergeCells>
  <conditionalFormatting sqref="G7:G14">
    <cfRule type="cellIs" priority="1" operator="equal" dxfId="0">
      <formula>"公開済"</formula>
    </cfRule>
  </conditionalFormatting>
  <conditionalFormatting sqref="H7:H14">
    <cfRule type="cellIs" priority="2" operator="greaterThan" dxfId="2">
      <formula>0</formula>
    </cfRule>
  </conditionalFormatting>
  <dataValidations count="3">
    <dataValidation sqref="G7:G14" showDropDown="0" showInputMessage="0" showErrorMessage="0" allowBlank="1" type="list">
      <formula1>"未着手,企画,台本,撮影,編集,公開済"</formula1>
    </dataValidation>
    <dataValidation sqref="I7:K14" showDropDown="0" showInputMessage="0" showErrorMessage="0" allowBlank="1" type="list">
      <formula1>"✔"</formula1>
    </dataValidation>
    <dataValidation sqref="C7:C14" showDropDown="0" showInputMessage="0" showErrorMessage="0" allowBlank="1" type="list">
      <formula1>='03_動画レシピ'!$C$6:$E$6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制作シート：1本ごとの企画〜公開チェック</t>
        </is>
      </c>
    </row>
    <row r="2">
      <c r="A2" s="2" t="inlineStr">
        <is>
          <t>スプリント8本＋渾身の1本（#9）。各動画の列に記入。短い制作期間でも抜けがないようにする。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5" ht="32" customHeight="1">
      <c r="A5" s="3" t="inlineStr">
        <is>
          <t>項目</t>
        </is>
      </c>
      <c r="B5" s="3" t="inlineStr">
        <is>
          <t>動画 #1</t>
        </is>
      </c>
      <c r="C5" s="3" t="inlineStr">
        <is>
          <t>動画 #2</t>
        </is>
      </c>
      <c r="D5" s="3" t="inlineStr">
        <is>
          <t>動画 #3</t>
        </is>
      </c>
      <c r="E5" s="3" t="inlineStr">
        <is>
          <t>動画 #4</t>
        </is>
      </c>
      <c r="F5" s="3" t="inlineStr">
        <is>
          <t>動画 #5</t>
        </is>
      </c>
      <c r="G5" s="3" t="inlineStr">
        <is>
          <t>動画 #6</t>
        </is>
      </c>
      <c r="H5" s="3" t="inlineStr">
        <is>
          <t>動画 #7</t>
        </is>
      </c>
      <c r="I5" s="3" t="inlineStr">
        <is>
          <t>動画 #8</t>
        </is>
      </c>
      <c r="J5" s="3" t="inlineStr">
        <is>
          <t>渾身の1本</t>
        </is>
      </c>
    </row>
    <row r="6" ht="22" customHeight="1">
      <c r="A6" s="24" t="inlineStr">
        <is>
          <t>【企画】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 ht="30" customHeight="1">
      <c r="A7" s="18" t="inlineStr">
        <is>
          <t>動画タイトル（←05から自動）</t>
        </is>
      </c>
      <c r="B7" s="23">
        <f>IF('05_スプリント管理'!B7="","",'05_スプリント管理'!B7)</f>
        <v/>
      </c>
      <c r="C7" s="23">
        <f>IF('05_スプリント管理'!B8="","",'05_スプリント管理'!B8)</f>
        <v/>
      </c>
      <c r="D7" s="23">
        <f>IF('05_スプリント管理'!B9="","",'05_スプリント管理'!B9)</f>
        <v/>
      </c>
      <c r="E7" s="23">
        <f>IF('05_スプリント管理'!B10="","",'05_スプリント管理'!B10)</f>
        <v/>
      </c>
      <c r="F7" s="23">
        <f>IF('05_スプリント管理'!B11="","",'05_スプリント管理'!B11)</f>
        <v/>
      </c>
      <c r="G7" s="23">
        <f>IF('05_スプリント管理'!B12="","",'05_スプリント管理'!B12)</f>
        <v/>
      </c>
      <c r="H7" s="23">
        <f>IF('05_スプリント管理'!B13="","",'05_スプリント管理'!B13)</f>
        <v/>
      </c>
      <c r="I7" s="23">
        <f>IF('05_スプリント管理'!B14="","",'05_スプリント管理'!B14)</f>
        <v/>
      </c>
      <c r="J7" s="21" t="n"/>
    </row>
    <row r="8" ht="30" customHeight="1">
      <c r="A8" s="18" t="inlineStr">
        <is>
          <t>学習目標（←05から自動）</t>
        </is>
      </c>
      <c r="B8" s="23">
        <f>IF('05_スプリント管理'!D7="","",'05_スプリント管理'!D7)</f>
        <v/>
      </c>
      <c r="C8" s="23">
        <f>IF('05_スプリント管理'!D8="","",'05_スプリント管理'!D8)</f>
        <v/>
      </c>
      <c r="D8" s="23">
        <f>IF('05_スプリント管理'!D9="","",'05_スプリント管理'!D9)</f>
        <v/>
      </c>
      <c r="E8" s="23">
        <f>IF('05_スプリント管理'!D10="","",'05_スプリント管理'!D10)</f>
        <v/>
      </c>
      <c r="F8" s="23">
        <f>IF('05_スプリント管理'!D11="","",'05_スプリント管理'!D11)</f>
        <v/>
      </c>
      <c r="G8" s="23">
        <f>IF('05_スプリント管理'!D12="","",'05_スプリント管理'!D12)</f>
        <v/>
      </c>
      <c r="H8" s="23">
        <f>IF('05_スプリント管理'!D13="","",'05_スプリント管理'!D13)</f>
        <v/>
      </c>
      <c r="I8" s="23">
        <f>IF('05_スプリント管理'!D14="","",'05_スプリント管理'!D14)</f>
        <v/>
      </c>
      <c r="J8" s="21" t="n"/>
    </row>
    <row r="9" ht="30" customHeight="1">
      <c r="A9" s="18" t="inlineStr">
        <is>
          <t>ターゲットが抱える悩み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</row>
    <row r="10" ht="30" customHeight="1">
      <c r="A10" s="18" t="inlineStr">
        <is>
          <t>視聴者が得る価値（1文）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 ht="30" customHeight="1">
      <c r="A11" s="18" t="inlineStr">
        <is>
          <t>タイトル案A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</row>
    <row r="12" ht="30" customHeight="1">
      <c r="A12" s="18" t="inlineStr">
        <is>
          <t>タイトル案B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 ht="30" customHeight="1">
      <c r="A13" s="18" t="inlineStr">
        <is>
          <t>タイトル案C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</row>
    <row r="14" ht="30" customHeight="1">
      <c r="A14" s="18" t="inlineStr">
        <is>
          <t>採用タイトル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</row>
    <row r="15" ht="30" customHeight="1">
      <c r="A15" s="18" t="inlineStr">
        <is>
          <t>サムネイル案（構図・文字・表情）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</row>
    <row r="16" ht="30" customHeight="1">
      <c r="A16" s="18" t="inlineStr">
        <is>
          <t>冒頭30秒のフック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</row>
    <row r="17" ht="30" customHeight="1">
      <c r="A17" s="18" t="inlineStr">
        <is>
          <t>構成（起承転結／見出し）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</row>
    <row r="18" ht="30" customHeight="1">
      <c r="A18" s="18" t="inlineStr">
        <is>
          <t>参考スワイプNo.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22" customHeight="1">
      <c r="A19" s="24" t="inlineStr">
        <is>
          <t>【制作】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 ht="18" customHeight="1">
      <c r="A20" s="18" t="inlineStr">
        <is>
          <t>台本 完了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18" customHeight="1">
      <c r="A21" s="18" t="inlineStr">
        <is>
          <t>撮影 完了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18" customHeight="1">
      <c r="A22" s="18" t="inlineStr">
        <is>
          <t>編集 完了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18" customHeight="1">
      <c r="A23" s="18" t="inlineStr">
        <is>
          <t>サムネ 完了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18" customHeight="1">
      <c r="A24" s="18" t="inlineStr">
        <is>
          <t>概要欄・タグ・チャプター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18" customHeight="1">
      <c r="A25" s="18" t="inlineStr">
        <is>
          <t>#ハッシュタグ・宣言/タグ付け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18" customHeight="1">
      <c r="A26" s="18" t="inlineStr">
        <is>
          <t>公開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18" customHeight="1">
      <c r="A27" s="18" t="inlineStr">
        <is>
          <t>制作にかかった時間(h)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18" customHeight="1">
      <c r="A28" s="18" t="inlineStr">
        <is>
          <t>チェック完了率</t>
        </is>
      </c>
      <c r="B28" s="29">
        <f>COUNTIF(B20:B26,"✔")/7</f>
        <v/>
      </c>
      <c r="C28" s="29">
        <f>COUNTIF(C20:C26,"✔")/7</f>
        <v/>
      </c>
      <c r="D28" s="29">
        <f>COUNTIF(D20:D26,"✔")/7</f>
        <v/>
      </c>
      <c r="E28" s="29">
        <f>COUNTIF(E20:E26,"✔")/7</f>
        <v/>
      </c>
      <c r="F28" s="29">
        <f>COUNTIF(F20:F26,"✔")/7</f>
        <v/>
      </c>
      <c r="G28" s="29">
        <f>COUNTIF(G20:G26,"✔")/7</f>
        <v/>
      </c>
      <c r="H28" s="29">
        <f>COUNTIF(H20:H26,"✔")/7</f>
        <v/>
      </c>
      <c r="I28" s="29">
        <f>COUNTIF(I20:I26,"✔")/7</f>
        <v/>
      </c>
      <c r="J28" s="29">
        <f>COUNTIF(J20:J26,"✔")/7</f>
        <v/>
      </c>
    </row>
  </sheetData>
  <dataValidations count="1">
    <dataValidation sqref="B20:J26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0" customWidth="1" min="4" max="4"/>
    <col width="30" customWidth="1" min="5" max="5"/>
    <col width="30" customWidth="1" min="6" max="6"/>
    <col width="26" customWidth="1" min="7" max="7"/>
    <col width="30" customWidth="1" min="8" max="8"/>
    <col width="3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30" customWidth="1" min="15" max="15"/>
  </cols>
  <sheetData>
    <row r="1">
      <c r="A1" s="1" t="inlineStr">
        <is>
          <t>投稿後の振り返り（1本20〜30分・絶対に飛ばさない）</t>
        </is>
      </c>
    </row>
    <row r="2">
      <c r="A2" s="2" t="inlineStr">
        <is>
          <t>詳しく書くほどパターンが見える。「もっと時間があったら」欄は渾身の1本のヒントになる。数値は公開7日後など同じタイミングで記録。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5">
      <c r="J5" s="2" t="inlineStr">
        <is>
          <t>CTR・視聴率は小数で（5.2%→0.052）</t>
        </is>
      </c>
    </row>
    <row r="6" ht="32" customHeight="1">
      <c r="A6" s="3" t="inlineStr">
        <is>
          <t>#</t>
        </is>
      </c>
      <c r="B6" s="3" t="inlineStr">
        <is>
          <t>動画タイトル</t>
        </is>
      </c>
      <c r="C6" s="3" t="inlineStr">
        <is>
          <t>使ったレシピ</t>
        </is>
      </c>
      <c r="D6" s="3" t="inlineStr">
        <is>
          <t>学習目標は達成できた？何がわかった？</t>
        </is>
      </c>
      <c r="E6" s="3" t="inlineStr">
        <is>
          <t>うまくいったこと</t>
        </is>
      </c>
      <c r="F6" s="3" t="inlineStr">
        <is>
          <t>次の動画で重点的に改善すること</t>
        </is>
      </c>
      <c r="G6" s="3" t="inlineStr">
        <is>
          <t>新しく習得したスキル</t>
        </is>
      </c>
      <c r="H6" s="3" t="inlineStr">
        <is>
          <t>視聴者の反応（コメント等）</t>
        </is>
      </c>
      <c r="I6" s="3" t="inlineStr">
        <is>
          <t>もっと時間があったら何をしていた？</t>
        </is>
      </c>
      <c r="J6" s="3" t="inlineStr">
        <is>
          <t>再生数
(7日)</t>
        </is>
      </c>
      <c r="K6" s="3" t="inlineStr">
        <is>
          <t>CTR(%)</t>
        </is>
      </c>
      <c r="L6" s="3" t="inlineStr">
        <is>
          <t>平均視聴率(%)</t>
        </is>
      </c>
      <c r="M6" s="3" t="inlineStr">
        <is>
          <t>登録者増</t>
        </is>
      </c>
      <c r="N6" s="3" t="inlineStr">
        <is>
          <t>感覚評価
(1-5)</t>
        </is>
      </c>
      <c r="O6" s="3" t="inlineStr">
        <is>
          <t>気づき・パターン</t>
        </is>
      </c>
    </row>
    <row r="7" ht="48" customHeight="1">
      <c r="A7" s="16" t="n">
        <v>1</v>
      </c>
      <c r="B7" s="22" t="inlineStr">
        <is>
          <t>IELTSライティング 独学で6.5→7.0…</t>
        </is>
      </c>
      <c r="C7" s="22" t="inlineStr">
        <is>
          <t>IELTS独学ラボ</t>
        </is>
      </c>
      <c r="D7" s="22" t="inlineStr">
        <is>
          <t>冒頭で結果を見せると30秒維持率+8%</t>
        </is>
      </c>
      <c r="E7" s="22" t="inlineStr">
        <is>
          <t>画面録画は撮影が早い</t>
        </is>
      </c>
      <c r="F7" s="22" t="inlineStr">
        <is>
          <t>中盤のテンポ（カットを増やす）</t>
        </is>
      </c>
      <c r="G7" s="22" t="inlineStr">
        <is>
          <t>字幕テンプレ作成</t>
        </is>
      </c>
      <c r="H7" s="22" t="inlineStr">
        <is>
          <t>「添削例をもっと見たい」多数</t>
        </is>
      </c>
      <c r="I7" s="22" t="inlineStr">
        <is>
          <t>実際の添削ビフォーアフターを5本分見せたかった</t>
        </is>
      </c>
      <c r="J7" s="30" t="n">
        <v>1200</v>
      </c>
      <c r="K7" s="31" t="n">
        <v>0.052</v>
      </c>
      <c r="L7" s="31" t="n">
        <v>0.41</v>
      </c>
      <c r="M7" s="22" t="n">
        <v>35</v>
      </c>
      <c r="N7" s="22" t="n">
        <v>4</v>
      </c>
      <c r="O7" s="22" t="inlineStr">
        <is>
          <t>解説系は冒頭の結果提示が効く</t>
        </is>
      </c>
    </row>
    <row r="8" ht="48" customHeight="1">
      <c r="A8" s="16" t="n">
        <v>2</v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32" t="n"/>
      <c r="K8" s="33" t="n"/>
      <c r="L8" s="33" t="n"/>
      <c r="M8" s="21" t="n"/>
      <c r="N8" s="21" t="n"/>
      <c r="O8" s="21" t="n"/>
    </row>
    <row r="9" ht="48" customHeight="1">
      <c r="A9" s="16" t="n">
        <v>3</v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32" t="n"/>
      <c r="K9" s="33" t="n"/>
      <c r="L9" s="33" t="n"/>
      <c r="M9" s="21" t="n"/>
      <c r="N9" s="21" t="n"/>
      <c r="O9" s="21" t="n"/>
    </row>
    <row r="10" ht="48" customHeight="1">
      <c r="A10" s="16" t="n">
        <v>4</v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32" t="n"/>
      <c r="K10" s="33" t="n"/>
      <c r="L10" s="33" t="n"/>
      <c r="M10" s="21" t="n"/>
      <c r="N10" s="21" t="n"/>
      <c r="O10" s="21" t="n"/>
    </row>
    <row r="11" ht="48" customHeight="1">
      <c r="A11" s="16" t="n">
        <v>5</v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32" t="n"/>
      <c r="K11" s="33" t="n"/>
      <c r="L11" s="33" t="n"/>
      <c r="M11" s="21" t="n"/>
      <c r="N11" s="21" t="n"/>
      <c r="O11" s="21" t="n"/>
    </row>
    <row r="12" ht="48" customHeight="1">
      <c r="A12" s="16" t="n">
        <v>6</v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32" t="n"/>
      <c r="K12" s="33" t="n"/>
      <c r="L12" s="33" t="n"/>
      <c r="M12" s="21" t="n"/>
      <c r="N12" s="21" t="n"/>
      <c r="O12" s="21" t="n"/>
    </row>
    <row r="13" ht="48" customHeight="1">
      <c r="A13" s="16" t="n">
        <v>7</v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32" t="n"/>
      <c r="K13" s="33" t="n"/>
      <c r="L13" s="33" t="n"/>
      <c r="M13" s="21" t="n"/>
      <c r="N13" s="21" t="n"/>
      <c r="O13" s="21" t="n"/>
    </row>
    <row r="14" ht="48" customHeight="1">
      <c r="A14" s="16" t="n">
        <v>8</v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32" t="n"/>
      <c r="K14" s="33" t="n"/>
      <c r="L14" s="33" t="n"/>
      <c r="M14" s="21" t="n"/>
      <c r="N14" s="21" t="n"/>
      <c r="O14" s="21" t="n"/>
    </row>
    <row r="15" ht="48" customHeight="1">
      <c r="A15" s="16" t="n">
        <v>9</v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32" t="n"/>
      <c r="K15" s="33" t="n"/>
      <c r="L15" s="33" t="n"/>
      <c r="M15" s="21" t="n"/>
      <c r="N15" s="21" t="n"/>
      <c r="O15" s="21" t="n"/>
    </row>
    <row r="16" ht="48" customHeight="1">
      <c r="A16" s="16" t="inlineStr">
        <is>
          <t>渾身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32" t="n"/>
      <c r="K16" s="33" t="n"/>
      <c r="L16" s="33" t="n"/>
      <c r="M16" s="21" t="n"/>
      <c r="N16" s="21" t="n"/>
      <c r="O16" s="21" t="n"/>
    </row>
    <row r="18" ht="22" customHeight="1">
      <c r="A18" s="24" t="inlineStr">
        <is>
          <t>レシピ別の平均（自動）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</row>
    <row r="19" ht="32" customHeight="1">
      <c r="A19" s="3" t="inlineStr"/>
      <c r="B19" s="3" t="inlineStr">
        <is>
          <t>レシピ</t>
        </is>
      </c>
      <c r="C19" s="3" t="inlineStr">
        <is>
          <t>本数</t>
        </is>
      </c>
      <c r="D19" s="3" t="inlineStr">
        <is>
          <t>平均再生数</t>
        </is>
      </c>
      <c r="E19" s="3" t="inlineStr">
        <is>
          <t>平均CTR</t>
        </is>
      </c>
      <c r="F19" s="3" t="inlineStr">
        <is>
          <t>平均視聴率</t>
        </is>
      </c>
      <c r="G19" s="3" t="inlineStr">
        <is>
          <t>平均登録者増</t>
        </is>
      </c>
      <c r="H19" s="3" t="inlineStr">
        <is>
          <t>平均感覚評価</t>
        </is>
      </c>
    </row>
    <row r="20">
      <c r="B20" s="18">
        <f>IF('03_動画レシピ'!C6="","",'03_動画レシピ'!C6)</f>
        <v/>
      </c>
      <c r="C20" s="16">
        <f>IF(B20="","",COUNTIF($C$7:$C$16,B20))</f>
        <v/>
      </c>
      <c r="D20" s="34">
        <f>IF(B20="","",IFERROR(AVERAGEIF($C$7:$C$16,B20,$J$7:$J$16),"-"))</f>
        <v/>
      </c>
      <c r="E20" s="35">
        <f>IF(B20="","",IFERROR(AVERAGEIF($C$7:$C$16,B20,$K$7:$K$16),"-"))</f>
        <v/>
      </c>
      <c r="F20" s="35">
        <f>IF(B20="","",IFERROR(AVERAGEIF($C$7:$C$16,B20,$L$7:$L$16),"-"))</f>
        <v/>
      </c>
      <c r="G20" s="36">
        <f>IF(B20="","",IFERROR(AVERAGEIF($C$7:$C$16,B20,$M$7:$M$16),"-"))</f>
        <v/>
      </c>
      <c r="H20" s="36">
        <f>IF(B20="","",IFERROR(AVERAGEIF($C$7:$C$16,B20,$N$7:$N$16),"-"))</f>
        <v/>
      </c>
    </row>
    <row r="21">
      <c r="B21" s="18">
        <f>IF('03_動画レシピ'!D6="","",'03_動画レシピ'!D6)</f>
        <v/>
      </c>
      <c r="C21" s="16">
        <f>IF(B21="","",COUNTIF($C$7:$C$16,B21))</f>
        <v/>
      </c>
      <c r="D21" s="34">
        <f>IF(B21="","",IFERROR(AVERAGEIF($C$7:$C$16,B21,$J$7:$J$16),"-"))</f>
        <v/>
      </c>
      <c r="E21" s="35">
        <f>IF(B21="","",IFERROR(AVERAGEIF($C$7:$C$16,B21,$K$7:$K$16),"-"))</f>
        <v/>
      </c>
      <c r="F21" s="35">
        <f>IF(B21="","",IFERROR(AVERAGEIF($C$7:$C$16,B21,$L$7:$L$16),"-"))</f>
        <v/>
      </c>
      <c r="G21" s="36">
        <f>IF(B21="","",IFERROR(AVERAGEIF($C$7:$C$16,B21,$M$7:$M$16),"-"))</f>
        <v/>
      </c>
      <c r="H21" s="36">
        <f>IF(B21="","",IFERROR(AVERAGEIF($C$7:$C$16,B21,$N$7:$N$16),"-"))</f>
        <v/>
      </c>
    </row>
    <row r="22">
      <c r="B22" s="18">
        <f>IF('03_動画レシピ'!E6="","",'03_動画レシピ'!E6)</f>
        <v/>
      </c>
      <c r="C22" s="16">
        <f>IF(B22="","",COUNTIF($C$7:$C$16,B22))</f>
        <v/>
      </c>
      <c r="D22" s="34">
        <f>IF(B22="","",IFERROR(AVERAGEIF($C$7:$C$16,B22,$J$7:$J$16),"-"))</f>
        <v/>
      </c>
      <c r="E22" s="35">
        <f>IF(B22="","",IFERROR(AVERAGEIF($C$7:$C$16,B22,$K$7:$K$16),"-"))</f>
        <v/>
      </c>
      <c r="F22" s="35">
        <f>IF(B22="","",IFERROR(AVERAGEIF($C$7:$C$16,B22,$L$7:$L$16),"-"))</f>
        <v/>
      </c>
      <c r="G22" s="36">
        <f>IF(B22="","",IFERROR(AVERAGEIF($C$7:$C$16,B22,$M$7:$M$16),"-"))</f>
        <v/>
      </c>
      <c r="H22" s="36">
        <f>IF(B22="","",IFERROR(AVERAGEIF($C$7:$C$16,B22,$N$7:$N$16),"-"))</f>
        <v/>
      </c>
    </row>
  </sheetData>
  <dataValidations count="2">
    <dataValidation sqref="C7:C16" showDropDown="0" showInputMessage="0" showErrorMessage="0" allowBlank="1" type="list">
      <formula1>='03_動画レシピ'!$C$6:$E$6</formula1>
    </dataValidation>
    <dataValidation sqref="N7:N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W10〜W11 フェーズ3：渾身の特大ヒット作</t>
        </is>
      </c>
    </row>
    <row r="2">
      <c r="A2" s="2" t="inlineStr">
        <is>
          <t>これまでの全行動はこの1本のため。スプリントの学びと「もっと時間があったら」を全投入し、質を極限まで追求する。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22" customHeight="1">
      <c r="A6" s="24" t="inlineStr">
        <is>
          <t>【振り返りから集める】</t>
        </is>
      </c>
      <c r="B6" s="25" t="n"/>
    </row>
    <row r="7" ht="36" customHeight="1">
      <c r="A7" s="18" t="inlineStr">
        <is>
          <t>スプリントで最も反応が良かったレシピ（自動参照→07下の表）</t>
        </is>
      </c>
      <c r="B7" s="21">
        <f>IFERROR(INDEX('07_投稿後振り返り'!B20:B22,MATCH(MAX('07_投稿後振り返り'!D20:D22),'07_投稿後振り返り'!D20:D22,0))&amp;"（平均再生数ベース）","振り返りを記入すると表示")</f>
        <v/>
      </c>
    </row>
    <row r="8" ht="36" customHeight="1">
      <c r="A8" s="18" t="inlineStr">
        <is>
          <t>振り返りの「もっと時間があったら」で繰り返し出た要素</t>
        </is>
      </c>
      <c r="B8" s="21" t="n"/>
    </row>
    <row r="9" ht="36" customHeight="1">
      <c r="A9" s="18" t="inlineStr">
        <is>
          <t>振り返りの「次に改善すること」で繰り返し出た要素</t>
        </is>
      </c>
      <c r="B9" s="21" t="n"/>
    </row>
    <row r="10" ht="36" customHeight="1">
      <c r="A10" s="18" t="inlineStr">
        <is>
          <t>視聴者の反応で多かった要望</t>
        </is>
      </c>
      <c r="B10" s="21" t="n"/>
    </row>
    <row r="11" ht="36" customHeight="1">
      <c r="A11" s="18" t="inlineStr">
        <is>
          <t>W4で「渾身候補」に回した大きなアイデア</t>
        </is>
      </c>
      <c r="B11" s="21" t="n"/>
    </row>
    <row r="12" ht="22" customHeight="1">
      <c r="A12" s="24" t="inlineStr">
        <is>
          <t>【企画】</t>
        </is>
      </c>
      <c r="B12" s="25" t="n"/>
    </row>
    <row r="13" ht="36" customHeight="1">
      <c r="A13" s="18" t="inlineStr">
        <is>
          <t>渾身の1本のテーマ</t>
        </is>
      </c>
      <c r="B13" s="21" t="n"/>
    </row>
    <row r="14" ht="36" customHeight="1">
      <c r="A14" s="18" t="inlineStr">
        <is>
          <t>なぜこれがチャンネルを爆発させ得るか（根拠：実績コンテンツ・データ）</t>
        </is>
      </c>
      <c r="B14" s="21" t="n"/>
    </row>
    <row r="15" ht="36" customHeight="1">
      <c r="A15" s="18" t="inlineStr">
        <is>
          <t>ターゲット／価値／雰囲気／差別化（最終レシピ）</t>
        </is>
      </c>
      <c r="B15" s="21" t="n"/>
    </row>
    <row r="16" ht="36" customHeight="1">
      <c r="A16" s="18" t="inlineStr">
        <is>
          <t>タイトル案（10案以上出して選ぶ）</t>
        </is>
      </c>
      <c r="B16" s="21" t="n"/>
    </row>
    <row r="17" ht="36" customHeight="1">
      <c r="A17" s="18" t="inlineStr">
        <is>
          <t>サムネイル案（複数の構図・スタイル）</t>
        </is>
      </c>
      <c r="B17" s="21" t="n"/>
    </row>
    <row r="18" ht="36" customHeight="1">
      <c r="A18" s="18" t="inlineStr">
        <is>
          <t>冒頭30秒のフック</t>
        </is>
      </c>
      <c r="B18" s="21" t="n"/>
    </row>
    <row r="19" ht="36" customHeight="1">
      <c r="A19" s="18" t="inlineStr">
        <is>
          <t>ストーリー構成（好奇心を引っ張る要素）</t>
        </is>
      </c>
      <c r="B19" s="21" t="n"/>
    </row>
    <row r="20" ht="36" customHeight="1">
      <c r="A20" s="18" t="inlineStr">
        <is>
          <t>スプリント時より時間・予算をかけるポイント</t>
        </is>
      </c>
      <c r="B20" s="21" t="n"/>
    </row>
    <row r="21" ht="22" customHeight="1">
      <c r="A21" s="24" t="inlineStr">
        <is>
          <t>【スケジュール】</t>
        </is>
      </c>
      <c r="B21" s="25" t="n"/>
    </row>
    <row r="22" ht="36" customHeight="1">
      <c r="A22" s="18" t="inlineStr">
        <is>
          <t>企画・台本 締切</t>
        </is>
      </c>
      <c r="B22" s="20" t="n"/>
    </row>
    <row r="23" ht="36" customHeight="1">
      <c r="A23" s="18" t="inlineStr">
        <is>
          <t>撮影 締切</t>
        </is>
      </c>
      <c r="B23" s="20" t="n"/>
    </row>
    <row r="24" ht="36" customHeight="1">
      <c r="A24" s="18" t="inlineStr">
        <is>
          <t>編集 締切</t>
        </is>
      </c>
      <c r="B24" s="20" t="n"/>
    </row>
    <row r="25" ht="36" customHeight="1">
      <c r="A25" s="18" t="inlineStr">
        <is>
          <t>公開日</t>
        </is>
      </c>
      <c r="B25" s="20" t="n"/>
    </row>
    <row r="26" ht="36" customHeight="1">
      <c r="A26" s="18" t="inlineStr">
        <is>
          <t>公開時の告知（どこで・何を）</t>
        </is>
      </c>
      <c r="B26" s="21" t="n"/>
    </row>
    <row r="28">
      <c r="A28" s="2" t="inlineStr">
        <is>
          <t>※制作チェックは 06_制作シート の「渾身の1本」列、振り返りは 07 の「渾身」行を使う。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W12 最終振り返り：勢いを失わずに次の章へ</t>
        </is>
      </c>
    </row>
    <row r="2">
      <c r="A2" s="2" t="inlineStr">
        <is>
          <t>全振り返りを見直し、公開した動画を新鮮な目で見返す。量（スプリント）と質（渾身）の両極端を経験した今、今後のバランスを決める。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22" customHeight="1">
      <c r="A6" s="24" t="inlineStr">
        <is>
          <t>【数字】</t>
        </is>
      </c>
      <c r="B6" s="25" t="n"/>
    </row>
    <row r="7" ht="40" customHeight="1">
      <c r="A7" s="18" t="inlineStr">
        <is>
          <t>チャレンジ中の公開本数（自動）</t>
        </is>
      </c>
      <c r="B7" s="23">
        <f>'05_スプリント管理'!C4&amp;"本（スプリント）＋渾身1本"</f>
        <v/>
      </c>
    </row>
    <row r="8" ht="40" customHeight="1">
      <c r="A8" s="18" t="inlineStr">
        <is>
          <t>開始時→終了時の登録者数</t>
        </is>
      </c>
      <c r="B8" s="21" t="n"/>
    </row>
    <row r="9" ht="40" customHeight="1">
      <c r="A9" s="18" t="inlineStr">
        <is>
          <t>最も伸びた動画とその理由</t>
        </is>
      </c>
      <c r="B9" s="21" t="n"/>
    </row>
    <row r="10" ht="22" customHeight="1">
      <c r="A10" s="24" t="inlineStr">
        <is>
          <t>【量 vs 質】</t>
        </is>
      </c>
      <c r="B10" s="25" t="n"/>
    </row>
    <row r="11" ht="40" customHeight="1">
      <c r="A11" s="18" t="inlineStr">
        <is>
          <t>スプリント（量を極限まで）でどう感じた？何ができた？</t>
        </is>
      </c>
      <c r="B11" s="21" t="n"/>
    </row>
    <row r="12" ht="40" customHeight="1">
      <c r="A12" s="18" t="inlineStr">
        <is>
          <t>渾身の1本（質を極限まで）でどう感じた？何ができた？</t>
        </is>
      </c>
      <c r="B12" s="21" t="n"/>
    </row>
    <row r="13" ht="40" customHeight="1">
      <c r="A13" s="18" t="inlineStr">
        <is>
          <t>今後のバランスはどうしたい？</t>
        </is>
      </c>
      <c r="B13" s="21" t="n"/>
    </row>
    <row r="14" ht="22" customHeight="1">
      <c r="A14" s="24" t="inlineStr">
        <is>
          <t>【今後の方針】</t>
        </is>
      </c>
      <c r="B14" s="25" t="n"/>
    </row>
    <row r="15" ht="40" customHeight="1">
      <c r="A15" s="18" t="inlineStr">
        <is>
          <t>今後の投稿スケジュール（元に戻す／変更する）</t>
        </is>
      </c>
      <c r="B15" s="21" t="n"/>
    </row>
    <row r="16" ht="40" customHeight="1">
      <c r="A16" s="18" t="inlineStr">
        <is>
          <t>確定した動画レシピ（黄金律）</t>
        </is>
      </c>
      <c r="B16" s="21" t="n"/>
    </row>
    <row r="17" ht="40" customHeight="1">
      <c r="A17" s="18" t="inlineStr">
        <is>
          <t>自分のクリエイティブな表現で明確になったこと</t>
        </is>
      </c>
      <c r="B17" s="21" t="n"/>
    </row>
    <row r="18" ht="40" customHeight="1">
      <c r="A18" s="18" t="inlineStr">
        <is>
          <t>視聴者とのつながりで変わったこと</t>
        </is>
      </c>
      <c r="B18" s="21" t="n"/>
    </row>
    <row r="19" ht="40" customHeight="1">
      <c r="A19" s="18" t="inlineStr">
        <is>
          <t>次の90日でやること</t>
        </is>
      </c>
      <c r="B19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  <col width="24" customWidth="1" min="4" max="4"/>
    <col width="10" customWidth="1" min="5" max="5"/>
  </cols>
  <sheetData>
    <row r="1">
      <c r="A1" s="1" t="inlineStr">
        <is>
          <t>あなたが考えないといけないこと 一覧</t>
        </is>
      </c>
    </row>
    <row r="2">
      <c r="A2" s="2" t="inlineStr">
        <is>
          <t>動画中の問いをすべて抜き出したチェックリスト。答えを書く場所は右の「記入先シート」。</t>
        </is>
      </c>
    </row>
    <row r="3">
      <c r="A3" s="2" t="inlineStr">
        <is>
          <t>凡例：黄色セル＝あなたが記入する欄 ／ 灰色の斜体行＝記入例（上書き・削除OK） ／ 白セル＝自動計算</t>
        </is>
      </c>
    </row>
    <row r="4">
      <c r="C4" s="13">
        <f>COUNTIF(E6:E33,"✔")&amp;" / 28 考えた"</f>
        <v/>
      </c>
    </row>
    <row r="5" ht="32" customHeight="1">
      <c r="A5" s="3" t="inlineStr">
        <is>
          <t>週</t>
        </is>
      </c>
      <c r="B5" s="3" t="inlineStr">
        <is>
          <t>カテゴリ</t>
        </is>
      </c>
      <c r="C5" s="3" t="inlineStr">
        <is>
          <t>問い</t>
        </is>
      </c>
      <c r="D5" s="3" t="inlineStr">
        <is>
          <t>記入先シート</t>
        </is>
      </c>
      <c r="E5" s="3" t="inlineStr">
        <is>
          <t>考えた✔</t>
        </is>
      </c>
    </row>
    <row r="6">
      <c r="A6" s="16" t="inlineStr">
        <is>
          <t>W1</t>
        </is>
      </c>
      <c r="B6" s="16" t="inlineStr">
        <is>
          <t>決意</t>
        </is>
      </c>
      <c r="C6" s="23" t="inlineStr">
        <is>
          <t>90日後の目標は何か？（書き出す）</t>
        </is>
      </c>
      <c r="D6" s="23" t="inlineStr">
        <is>
          <t>01_決意表明</t>
        </is>
      </c>
      <c r="E6" s="7" t="n"/>
    </row>
    <row r="7">
      <c r="A7" s="16" t="inlineStr">
        <is>
          <t>W1</t>
        </is>
      </c>
      <c r="B7" s="16" t="inlineStr">
        <is>
          <t>決意</t>
        </is>
      </c>
      <c r="C7" s="23" t="inlineStr">
        <is>
          <t>誰に・どこで宣言するか？</t>
        </is>
      </c>
      <c r="D7" s="23" t="inlineStr">
        <is>
          <t>01_決意表明</t>
        </is>
      </c>
      <c r="E7" s="7" t="n"/>
    </row>
    <row r="8">
      <c r="A8" s="16" t="inlineStr">
        <is>
          <t>W2</t>
        </is>
      </c>
      <c r="B8" s="16" t="inlineStr">
        <is>
          <t>研究</t>
        </is>
      </c>
      <c r="C8" s="23" t="inlineStr">
        <is>
          <t>なぜこれが面白いと思ったのか？</t>
        </is>
      </c>
      <c r="D8" s="23" t="inlineStr">
        <is>
          <t>02_スワイプファイル</t>
        </is>
      </c>
      <c r="E8" s="7" t="n"/>
    </row>
    <row r="9">
      <c r="A9" s="16" t="inlineStr">
        <is>
          <t>W2</t>
        </is>
      </c>
      <c r="B9" s="16" t="inlineStr">
        <is>
          <t>研究</t>
        </is>
      </c>
      <c r="C9" s="23" t="inlineStr">
        <is>
          <t>なぜクリックしたのか？</t>
        </is>
      </c>
      <c r="D9" s="23" t="inlineStr">
        <is>
          <t>02_スワイプファイル</t>
        </is>
      </c>
      <c r="E9" s="7" t="n"/>
    </row>
    <row r="10">
      <c r="A10" s="16" t="inlineStr">
        <is>
          <t>W2</t>
        </is>
      </c>
      <c r="B10" s="16" t="inlineStr">
        <is>
          <t>研究</t>
        </is>
      </c>
      <c r="C10" s="23" t="inlineStr">
        <is>
          <t>なぜ開始30秒経っても見続けているのか？</t>
        </is>
      </c>
      <c r="D10" s="23" t="inlineStr">
        <is>
          <t>02_スワイプファイル</t>
        </is>
      </c>
      <c r="E10" s="7" t="n"/>
    </row>
    <row r="11">
      <c r="A11" s="16" t="inlineStr">
        <is>
          <t>W2</t>
        </is>
      </c>
      <c r="B11" s="16" t="inlineStr">
        <is>
          <t>研究</t>
        </is>
      </c>
      <c r="C11" s="23" t="inlineStr">
        <is>
          <t>音楽や照明によってどんな感情が湧くか？</t>
        </is>
      </c>
      <c r="D11" s="23" t="inlineStr">
        <is>
          <t>02_スワイプファイル</t>
        </is>
      </c>
      <c r="E11" s="7" t="n"/>
    </row>
    <row r="12">
      <c r="A12" s="16" t="inlineStr">
        <is>
          <t>W2</t>
        </is>
      </c>
      <c r="B12" s="16" t="inlineStr">
        <is>
          <t>研究</t>
        </is>
      </c>
      <c r="C12" s="23" t="inlineStr">
        <is>
          <t>どの時点で退屈・離脱したか、きっかけは何か？</t>
        </is>
      </c>
      <c r="D12" s="23" t="inlineStr">
        <is>
          <t>02_スワイプファイル</t>
        </is>
      </c>
      <c r="E12" s="7" t="n"/>
    </row>
    <row r="13">
      <c r="A13" s="16" t="inlineStr">
        <is>
          <t>W3</t>
        </is>
      </c>
      <c r="B13" s="16" t="inlineStr">
        <is>
          <t>レシピ</t>
        </is>
      </c>
      <c r="C13" s="23" t="inlineStr">
        <is>
          <t>誰のために動画を作っている？何に興味・悩みがある？普段何を見ている？</t>
        </is>
      </c>
      <c r="D13" s="23" t="inlineStr">
        <is>
          <t>03_動画レシピ</t>
        </is>
      </c>
      <c r="E13" s="7" t="n"/>
    </row>
    <row r="14">
      <c r="A14" s="16" t="inlineStr">
        <is>
          <t>W3</t>
        </is>
      </c>
      <c r="B14" s="16" t="inlineStr">
        <is>
          <t>レシピ</t>
        </is>
      </c>
      <c r="C14" s="23" t="inlineStr">
        <is>
          <t>視聴者は何を得られる？（行動・理解・孤独の緩和・娯楽・インスピレーション）</t>
        </is>
      </c>
      <c r="D14" s="23" t="inlineStr">
        <is>
          <t>03_動画レシピ</t>
        </is>
      </c>
      <c r="E14" s="7" t="n"/>
    </row>
    <row r="15">
      <c r="A15" s="16" t="inlineStr">
        <is>
          <t>W3</t>
        </is>
      </c>
      <c r="B15" s="16" t="inlineStr">
        <is>
          <t>レシピ</t>
        </is>
      </c>
      <c r="C15" s="23" t="inlineStr">
        <is>
          <t>その価値をどのフォーマットで届ける？</t>
        </is>
      </c>
      <c r="D15" s="23" t="inlineStr">
        <is>
          <t>03_動画レシピ</t>
        </is>
      </c>
      <c r="E15" s="7" t="n"/>
    </row>
    <row r="16">
      <c r="A16" s="16" t="inlineStr">
        <is>
          <t>W3</t>
        </is>
      </c>
      <c r="B16" s="16" t="inlineStr">
        <is>
          <t>レシピ</t>
        </is>
      </c>
      <c r="C16" s="23" t="inlineStr">
        <is>
          <t>動画はどんな気分にさせる？</t>
        </is>
      </c>
      <c r="D16" s="23" t="inlineStr">
        <is>
          <t>03_動画レシピ</t>
        </is>
      </c>
      <c r="E16" s="7" t="n"/>
    </row>
    <row r="17">
      <c r="A17" s="16" t="inlineStr">
        <is>
          <t>W3</t>
        </is>
      </c>
      <c r="B17" s="16" t="inlineStr">
        <is>
          <t>レシピ</t>
        </is>
      </c>
      <c r="C17" s="23" t="inlineStr">
        <is>
          <t>なぜ他の誰でもなく自分の動画を見るべき？</t>
        </is>
      </c>
      <c r="D17" s="23" t="inlineStr">
        <is>
          <t>03_動画レシピ</t>
        </is>
      </c>
      <c r="E17" s="7" t="n"/>
    </row>
    <row r="18">
      <c r="A18" s="16" t="inlineStr">
        <is>
          <t>W3</t>
        </is>
      </c>
      <c r="B18" s="16" t="inlineStr">
        <is>
          <t>レシピ</t>
        </is>
      </c>
      <c r="C18" s="23" t="inlineStr">
        <is>
          <t>自分が生まれつき得意なことは？スワイプで繰り返し出る要素は？</t>
        </is>
      </c>
      <c r="D18" s="23" t="inlineStr">
        <is>
          <t>03_動画レシピ</t>
        </is>
      </c>
      <c r="E18" s="7" t="n"/>
    </row>
    <row r="19">
      <c r="A19" s="16" t="inlineStr">
        <is>
          <t>W4</t>
        </is>
      </c>
      <c r="B19" s="16" t="inlineStr">
        <is>
          <t>アイデア</t>
        </is>
      </c>
      <c r="C19" s="23" t="inlineStr">
        <is>
          <t>このアイデアはレシピを洗練させるのに役立つか？</t>
        </is>
      </c>
      <c r="D19" s="23" t="inlineStr">
        <is>
          <t>04_アイデア8本</t>
        </is>
      </c>
      <c r="E19" s="7" t="n"/>
    </row>
    <row r="20">
      <c r="A20" s="16" t="inlineStr">
        <is>
          <t>W4</t>
        </is>
      </c>
      <c r="B20" s="16" t="inlineStr">
        <is>
          <t>アイデア</t>
        </is>
      </c>
      <c r="C20" s="23" t="inlineStr">
        <is>
          <t>大ヒットのきっかけになり得るか？（実績コンテンツがあるか）</t>
        </is>
      </c>
      <c r="D20" s="23" t="inlineStr">
        <is>
          <t>04_アイデア8本</t>
        </is>
      </c>
      <c r="E20" s="7" t="n"/>
    </row>
    <row r="21">
      <c r="A21" s="16" t="inlineStr">
        <is>
          <t>W4</t>
        </is>
      </c>
      <c r="B21" s="16" t="inlineStr">
        <is>
          <t>アイデア</t>
        </is>
      </c>
      <c r="C21" s="23" t="inlineStr">
        <is>
          <t>普段の2倍のペースで台本・撮影・編集・公開できるか？無理なら簡略化できるか？</t>
        </is>
      </c>
      <c r="D21" s="23" t="inlineStr">
        <is>
          <t>04_アイデア8本</t>
        </is>
      </c>
      <c r="E21" s="7" t="n"/>
    </row>
    <row r="22">
      <c r="A22" s="16" t="inlineStr">
        <is>
          <t>W5</t>
        </is>
      </c>
      <c r="B22" s="16" t="inlineStr">
        <is>
          <t>スプリント</t>
        </is>
      </c>
      <c r="C22" s="23" t="inlineStr">
        <is>
          <t>2回目の公開宣言をどこで何と言うか？</t>
        </is>
      </c>
      <c r="D22" s="23" t="inlineStr">
        <is>
          <t>01_決意表明</t>
        </is>
      </c>
      <c r="E22" s="7" t="n"/>
    </row>
    <row r="23">
      <c r="A23" s="16" t="inlineStr">
        <is>
          <t>W5-9</t>
        </is>
      </c>
      <c r="B23" s="16" t="inlineStr">
        <is>
          <t>制作</t>
        </is>
      </c>
      <c r="C23" s="23" t="inlineStr">
        <is>
          <t>この動画から学ぼうとしている、たった1つのことは何か？</t>
        </is>
      </c>
      <c r="D23" s="23" t="inlineStr">
        <is>
          <t>05_スプリント管理</t>
        </is>
      </c>
      <c r="E23" s="7" t="n"/>
    </row>
    <row r="24">
      <c r="A24" s="16" t="inlineStr">
        <is>
          <t>W5-9</t>
        </is>
      </c>
      <c r="B24" s="16" t="inlineStr">
        <is>
          <t>振り返り</t>
        </is>
      </c>
      <c r="C24" s="23" t="inlineStr">
        <is>
          <t>どのレシピを使った？何がうまくいった？</t>
        </is>
      </c>
      <c r="D24" s="23" t="inlineStr">
        <is>
          <t>07_投稿後振り返り</t>
        </is>
      </c>
      <c r="E24" s="7" t="n"/>
    </row>
    <row r="25">
      <c r="A25" s="16" t="inlineStr">
        <is>
          <t>W5-9</t>
        </is>
      </c>
      <c r="B25" s="16" t="inlineStr">
        <is>
          <t>振り返り</t>
        </is>
      </c>
      <c r="C25" s="23" t="inlineStr">
        <is>
          <t>次の動画で何を重点的に改善する？</t>
        </is>
      </c>
      <c r="D25" s="23" t="inlineStr">
        <is>
          <t>07_投稿後振り返り</t>
        </is>
      </c>
      <c r="E25" s="7" t="n"/>
    </row>
    <row r="26">
      <c r="A26" s="16" t="inlineStr">
        <is>
          <t>W5-9</t>
        </is>
      </c>
      <c r="B26" s="16" t="inlineStr">
        <is>
          <t>振り返り</t>
        </is>
      </c>
      <c r="C26" s="23" t="inlineStr">
        <is>
          <t>どんな新しいスキルを習得した？</t>
        </is>
      </c>
      <c r="D26" s="23" t="inlineStr">
        <is>
          <t>07_投稿後振り返り</t>
        </is>
      </c>
      <c r="E26" s="7" t="n"/>
    </row>
    <row r="27">
      <c r="A27" s="16" t="inlineStr">
        <is>
          <t>W5-9</t>
        </is>
      </c>
      <c r="B27" s="16" t="inlineStr">
        <is>
          <t>振り返り</t>
        </is>
      </c>
      <c r="C27" s="23" t="inlineStr">
        <is>
          <t>視聴者の反応はどうだった？</t>
        </is>
      </c>
      <c r="D27" s="23" t="inlineStr">
        <is>
          <t>07_投稿後振り返り</t>
        </is>
      </c>
      <c r="E27" s="7" t="n"/>
    </row>
    <row r="28">
      <c r="A28" s="16" t="inlineStr">
        <is>
          <t>W5-9</t>
        </is>
      </c>
      <c r="B28" s="16" t="inlineStr">
        <is>
          <t>振り返り</t>
        </is>
      </c>
      <c r="C28" s="23" t="inlineStr">
        <is>
          <t>もっと時間があったら何をしていた？</t>
        </is>
      </c>
      <c r="D28" s="23" t="inlineStr">
        <is>
          <t>07_投稿後振り返り</t>
        </is>
      </c>
      <c r="E28" s="7" t="n"/>
    </row>
    <row r="29">
      <c r="A29" s="16" t="inlineStr">
        <is>
          <t>W5-9</t>
        </is>
      </c>
      <c r="B29" s="16" t="inlineStr">
        <is>
          <t>共有</t>
        </is>
      </c>
      <c r="C29" s="23" t="inlineStr">
        <is>
          <t>進捗をどこで・どの頻度で共有する？</t>
        </is>
      </c>
      <c r="D29" s="23" t="inlineStr">
        <is>
          <t>05_スプリント管理</t>
        </is>
      </c>
      <c r="E29" s="7" t="n"/>
    </row>
    <row r="30">
      <c r="A30" s="16" t="inlineStr">
        <is>
          <t>W10-11</t>
        </is>
      </c>
      <c r="B30" s="16" t="inlineStr">
        <is>
          <t>渾身</t>
        </is>
      </c>
      <c r="C30" s="23" t="inlineStr">
        <is>
          <t>スプリントの学びをどう1本に全投入するか？</t>
        </is>
      </c>
      <c r="D30" s="23" t="inlineStr">
        <is>
          <t>08_渾身の1本</t>
        </is>
      </c>
      <c r="E30" s="7" t="n"/>
    </row>
    <row r="31">
      <c r="A31" s="16" t="inlineStr">
        <is>
          <t>W12</t>
        </is>
      </c>
      <c r="B31" s="16" t="inlineStr">
        <is>
          <t>総括</t>
        </is>
      </c>
      <c r="C31" s="23" t="inlineStr">
        <is>
          <t>量と質、それぞれ重視した時にどう感じたか？</t>
        </is>
      </c>
      <c r="D31" s="23" t="inlineStr">
        <is>
          <t>09_最終振り返り</t>
        </is>
      </c>
      <c r="E31" s="7" t="n"/>
    </row>
    <row r="32">
      <c r="A32" s="16" t="inlineStr">
        <is>
          <t>W12</t>
        </is>
      </c>
      <c r="B32" s="16" t="inlineStr">
        <is>
          <t>総括</t>
        </is>
      </c>
      <c r="C32" s="23" t="inlineStr">
        <is>
          <t>今後はどんなバランスでいきたいか？</t>
        </is>
      </c>
      <c r="D32" s="23" t="inlineStr">
        <is>
          <t>09_最終振り返り</t>
        </is>
      </c>
      <c r="E32" s="7" t="n"/>
    </row>
    <row r="33">
      <c r="A33" s="16" t="inlineStr">
        <is>
          <t>W12</t>
        </is>
      </c>
      <c r="B33" s="16" t="inlineStr">
        <is>
          <t>総括</t>
        </is>
      </c>
      <c r="C33" s="23" t="inlineStr">
        <is>
          <t>投稿スケジュールを元に戻す？変更する？</t>
        </is>
      </c>
      <c r="D33" s="23" t="inlineStr">
        <is>
          <t>09_最終振り返り</t>
        </is>
      </c>
      <c r="E33" s="7" t="n"/>
    </row>
  </sheetData>
  <dataValidations count="1">
    <dataValidation sqref="E6:E33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2026-09-25T00:33:00Z</dcterms:created>
  <dcterms:modified xsi:type="dcterms:W3CDTF">2026-09-25T00:33:00Z</dcterms:modified>
</cp:coreProperties>
</file>