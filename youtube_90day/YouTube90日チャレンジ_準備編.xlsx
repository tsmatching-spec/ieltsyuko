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ロードマップ" sheetId="1" state="visible" r:id="rId1"/>
    <sheet name="01_決意表明" sheetId="2" state="visible" r:id="rId2"/>
    <sheet name="02_スワイプファイル" sheetId="3" state="visible" r:id="rId3"/>
    <sheet name="03_動画レシピ" sheetId="4" state="visible" r:id="rId4"/>
    <sheet name="04_アイデア8本" sheetId="5" state="visible" r:id="rId5"/>
    <sheet name="10_考えることリス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Meiryo"/>
      <b val="1"/>
      <color rgb="001F3864"/>
      <sz val="16"/>
    </font>
    <font>
      <name val="Meiryo"/>
      <i val="1"/>
      <color rgb="00595959"/>
      <sz val="10"/>
    </font>
    <font>
      <name val="Meiryo"/>
      <b val="1"/>
      <color rgb="00FFFFFF"/>
      <sz val="10"/>
    </font>
    <font>
      <name val="Meiryo"/>
      <sz val="10"/>
    </font>
    <font>
      <name val="Meiryo"/>
      <b val="1"/>
      <color rgb="001F3864"/>
      <sz val="12"/>
    </font>
    <font>
      <name val="Meiryo"/>
      <b val="1"/>
      <sz val="10"/>
    </font>
    <font>
      <name val="Meiryo"/>
      <color rgb="000000FF"/>
      <sz val="10"/>
    </font>
    <font>
      <name val="Meiryo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164" fontId="8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164" fontId="8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8" borderId="0" pivotButton="0" quotePrefix="0" xfId="0"/>
    <xf numFmtId="0" fontId="0" fillId="8" borderId="0" pivotButton="0" quotePrefix="0" xfId="0"/>
    <xf numFmtId="0" fontId="0" fillId="0" borderId="4" pivotButton="0" quotePrefix="0" xfId="0"/>
    <xf numFmtId="0" fontId="4" fillId="0" borderId="0" pivotButton="0" quotePrefix="0" xfId="0"/>
    <xf numFmtId="0" fontId="0" fillId="0" borderId="5" pivotButton="0" quotePrefix="0" xfId="0"/>
    <xf numFmtId="9" fontId="6" fillId="0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3" fontId="8" fillId="7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Meiryo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8" customWidth="1" min="4" max="4"/>
    <col width="40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90日間YouTubeチャレンジ ロードマップ</t>
        </is>
      </c>
    </row>
    <row r="2">
      <c r="A2" s="2" t="inlineStr">
        <is>
          <t>12週間・3フェーズ。基準ペースは週1本（普段のペースに合わせて調整）。各週の「使うシート」を開いて進める。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週</t>
        </is>
      </c>
      <c r="B5" s="3" t="inlineStr">
        <is>
          <t>フェーズ</t>
        </is>
      </c>
      <c r="C5" s="3" t="inlineStr">
        <is>
          <t>テーマ</t>
        </is>
      </c>
      <c r="D5" s="3" t="inlineStr">
        <is>
          <t>やること（ゴール）</t>
        </is>
      </c>
      <c r="E5" s="3" t="inlineStr">
        <is>
          <t>完了の目安</t>
        </is>
      </c>
      <c r="F5" s="3" t="inlineStr">
        <is>
          <t>使うシート</t>
        </is>
      </c>
      <c r="G5" s="3" t="inlineStr">
        <is>
          <t>予定開始日</t>
        </is>
      </c>
      <c r="H5" s="3" t="inlineStr">
        <is>
          <t>完了✔</t>
        </is>
      </c>
    </row>
    <row r="6" ht="45" customHeight="1">
      <c r="A6" s="4" t="inlineStr">
        <is>
          <t>W1</t>
        </is>
      </c>
      <c r="B6" s="5" t="inlineStr">
        <is>
          <t>1 土台作り</t>
        </is>
      </c>
      <c r="C6" s="5" t="inlineStr">
        <is>
          <t>決意表明</t>
        </is>
      </c>
      <c r="D6" s="5" t="inlineStr">
        <is>
          <t>目標を書き出し、公開宣言する（コミュニティ投稿・ショート・X・Instagram・Discord等。視聴者がいなければ紙＋友人/家族）</t>
        </is>
      </c>
      <c r="E6" s="5" t="inlineStr">
        <is>
          <t>宣言を投稿した</t>
        </is>
      </c>
      <c r="F6" s="5" t="inlineStr">
        <is>
          <t>01_決意表明</t>
        </is>
      </c>
      <c r="G6" s="6">
        <f>IF($C$20="","",$C$20+0)</f>
        <v/>
      </c>
      <c r="H6" s="37" t="inlineStr">
        <is>
          <t>✔</t>
        </is>
      </c>
    </row>
    <row r="7" ht="45" customHeight="1">
      <c r="A7" s="4" t="inlineStr">
        <is>
          <t>W2</t>
        </is>
      </c>
      <c r="B7" s="5" t="inlineStr">
        <is>
          <t>1 土台作り</t>
        </is>
      </c>
      <c r="C7" s="5" t="inlineStr">
        <is>
          <t>審美眼を広げる</t>
        </is>
      </c>
      <c r="D7" s="5" t="inlineStr">
        <is>
          <t>クリエイター目線で30本以上研究。ニッチ外・多フォーマットも見る。スワイプファイル作成開始</t>
        </is>
      </c>
      <c r="E7" s="5" t="inlineStr">
        <is>
          <t>30本分析・スワイプファイルができた</t>
        </is>
      </c>
      <c r="F7" s="5" t="inlineStr">
        <is>
          <t>02_スワイプファイル</t>
        </is>
      </c>
      <c r="G7" s="6">
        <f>IF($C$20="","",$C$20+7)</f>
        <v/>
      </c>
      <c r="H7" s="37" t="inlineStr">
        <is>
          <t>✔</t>
        </is>
      </c>
    </row>
    <row r="8" ht="45" customHeight="1">
      <c r="A8" s="4" t="inlineStr">
        <is>
          <t>W3</t>
        </is>
      </c>
      <c r="B8" s="5" t="inlineStr">
        <is>
          <t>1 土台作り</t>
        </is>
      </c>
      <c r="C8" s="5" t="inlineStr">
        <is>
          <t>動画レシピ開発</t>
        </is>
      </c>
      <c r="D8" s="5" t="inlineStr">
        <is>
          <t>5要素（ターゲット/価値/フォーマット/雰囲気/差別化）でテスト用レシピを1〜3個書く</t>
        </is>
      </c>
      <c r="E8" s="5" t="inlineStr">
        <is>
          <t>レシピ1〜3個</t>
        </is>
      </c>
      <c r="F8" s="5" t="inlineStr">
        <is>
          <t>03_動画レシピ</t>
        </is>
      </c>
      <c r="G8" s="6">
        <f>IF($C$20="","",$C$20+14)</f>
        <v/>
      </c>
      <c r="H8" s="37" t="inlineStr">
        <is>
          <t>✔</t>
        </is>
      </c>
    </row>
    <row r="9" ht="45" customHeight="1">
      <c r="A9" s="4" t="inlineStr">
        <is>
          <t>W4</t>
        </is>
      </c>
      <c r="B9" s="5" t="inlineStr">
        <is>
          <t>1 土台作り</t>
        </is>
      </c>
      <c r="C9" s="5" t="inlineStr">
        <is>
          <t>アイデア創出</t>
        </is>
      </c>
      <c r="D9" s="5" t="inlineStr">
        <is>
          <t>3基準（検証可能性/再生ポテンシャル/実現可能性）を満たすアイデアを8本出す</t>
        </is>
      </c>
      <c r="E9" s="5" t="inlineStr">
        <is>
          <t>8本決定</t>
        </is>
      </c>
      <c r="F9" s="5" t="inlineStr">
        <is>
          <t>04_アイデア8本</t>
        </is>
      </c>
      <c r="G9" s="6">
        <f>IF($C$20="","",$C$20+21)</f>
        <v/>
      </c>
      <c r="H9" s="37" t="inlineStr">
        <is>
          <t>✔</t>
        </is>
      </c>
    </row>
    <row r="10" ht="45" customHeight="1">
      <c r="A10" s="8" t="inlineStr">
        <is>
          <t>W5</t>
        </is>
      </c>
      <c r="B10" s="9" t="inlineStr">
        <is>
          <t>2 スプリント</t>
        </is>
      </c>
      <c r="C10" s="9" t="inlineStr">
        <is>
          <t>2回目の公開宣言＋制作開始</t>
        </is>
      </c>
      <c r="D10" s="9" t="inlineStr">
        <is>
          <t>スプリント宣言。投稿頻度を2倍に。各動画で4ステップ（学習目標→制作→振り返り→共有）</t>
        </is>
      </c>
      <c r="E10" s="9" t="inlineStr">
        <is>
          <t>動画1〜2本公開</t>
        </is>
      </c>
      <c r="F10" s="9" t="inlineStr">
        <is>
          <t>05_スプリント管理 / 06_制作シート</t>
        </is>
      </c>
      <c r="G10" s="6">
        <f>IF($C$20="","",$C$20+28)</f>
        <v/>
      </c>
      <c r="H10" s="38" t="n"/>
    </row>
    <row r="11" ht="45" customHeight="1">
      <c r="A11" s="8" t="inlineStr">
        <is>
          <t>W6</t>
        </is>
      </c>
      <c r="B11" s="9" t="inlineStr">
        <is>
          <t>2 スプリント</t>
        </is>
      </c>
      <c r="C11" s="9" t="inlineStr">
        <is>
          <t>スプリント継続</t>
        </is>
      </c>
      <c r="D11" s="9" t="inlineStr">
        <is>
          <t>とにかく完成させて公開。投稿ごとに20〜30分の振り返り</t>
        </is>
      </c>
      <c r="E11" s="9" t="inlineStr">
        <is>
          <t>累計4本</t>
        </is>
      </c>
      <c r="F11" s="9" t="inlineStr">
        <is>
          <t>05〜07</t>
        </is>
      </c>
      <c r="G11" s="6">
        <f>IF($C$20="","",$C$20+35)</f>
        <v/>
      </c>
      <c r="H11" s="38" t="n"/>
    </row>
    <row r="12" ht="45" customHeight="1">
      <c r="A12" s="8" t="inlineStr">
        <is>
          <t>W7</t>
        </is>
      </c>
      <c r="B12" s="9" t="inlineStr">
        <is>
          <t>2 スプリント</t>
        </is>
      </c>
      <c r="C12" s="9" t="inlineStr">
        <is>
          <t>スプリント継続</t>
        </is>
      </c>
      <c r="D12" s="9" t="inlineStr">
        <is>
          <t>3本目あたりで失速しやすい。想定内と割り切る</t>
        </is>
      </c>
      <c r="E12" s="9" t="inlineStr">
        <is>
          <t>累計6本</t>
        </is>
      </c>
      <c r="F12" s="9" t="inlineStr">
        <is>
          <t>05〜07</t>
        </is>
      </c>
      <c r="G12" s="6">
        <f>IF($C$20="","",$C$20+42)</f>
        <v/>
      </c>
      <c r="H12" s="38" t="n"/>
    </row>
    <row r="13" ht="45" customHeight="1">
      <c r="A13" s="8" t="inlineStr">
        <is>
          <t>W8</t>
        </is>
      </c>
      <c r="B13" s="9" t="inlineStr">
        <is>
          <t>2 スプリント</t>
        </is>
      </c>
      <c r="C13" s="9" t="inlineStr">
        <is>
          <t>スプリント継続</t>
        </is>
      </c>
      <c r="D13" s="9" t="inlineStr">
        <is>
          <t>振り返りのパターンを見る</t>
        </is>
      </c>
      <c r="E13" s="9" t="inlineStr">
        <is>
          <t>累計8本</t>
        </is>
      </c>
      <c r="F13" s="9" t="inlineStr">
        <is>
          <t>05〜07</t>
        </is>
      </c>
      <c r="G13" s="6">
        <f>IF($C$20="","",$C$20+49)</f>
        <v/>
      </c>
      <c r="H13" s="38" t="n"/>
    </row>
    <row r="14" ht="45" customHeight="1">
      <c r="A14" s="8" t="inlineStr">
        <is>
          <t>W9</t>
        </is>
      </c>
      <c r="B14" s="9" t="inlineStr">
        <is>
          <t>2 スプリント</t>
        </is>
      </c>
      <c r="C14" s="9" t="inlineStr">
        <is>
          <t>予備週</t>
        </is>
      </c>
      <c r="D14" s="9" t="inlineStr">
        <is>
          <t>遅れの取り戻し用バッファ。最後の振り返り・コミュニティ更新</t>
        </is>
      </c>
      <c r="E14" s="9" t="inlineStr">
        <is>
          <t>8本完了（本数より学び重視）</t>
        </is>
      </c>
      <c r="F14" s="9" t="inlineStr">
        <is>
          <t>05〜07</t>
        </is>
      </c>
      <c r="G14" s="6">
        <f>IF($C$20="","",$C$20+56)</f>
        <v/>
      </c>
      <c r="H14" s="38" t="n"/>
    </row>
    <row r="15" ht="45" customHeight="1">
      <c r="A15" s="10" t="inlineStr">
        <is>
          <t>W10</t>
        </is>
      </c>
      <c r="B15" s="11" t="inlineStr">
        <is>
          <t>3 渾身の1本</t>
        </is>
      </c>
      <c r="C15" s="11" t="inlineStr">
        <is>
          <t>特大ヒット作の制作</t>
        </is>
      </c>
      <c r="D15" s="11" t="inlineStr">
        <is>
          <t>スプリントの「もっと時間があったら」を全投入して渾身の1本を作る</t>
        </is>
      </c>
      <c r="E15" s="11" t="inlineStr">
        <is>
          <t>企画・台本・撮影</t>
        </is>
      </c>
      <c r="F15" s="11" t="inlineStr">
        <is>
          <t>08_渾身の1本</t>
        </is>
      </c>
      <c r="G15" s="6">
        <f>IF($C$20="","",$C$20+63)</f>
        <v/>
      </c>
      <c r="H15" s="38" t="n"/>
    </row>
    <row r="16" ht="45" customHeight="1">
      <c r="A16" s="10" t="inlineStr">
        <is>
          <t>W11</t>
        </is>
      </c>
      <c r="B16" s="11" t="inlineStr">
        <is>
          <t>3 渾身の1本</t>
        </is>
      </c>
      <c r="C16" s="11" t="inlineStr">
        <is>
          <t>特大ヒット作の公開</t>
        </is>
      </c>
      <c r="D16" s="11" t="inlineStr">
        <is>
          <t>品質を極限まで追求し公開（※W10-11配分は目安）</t>
        </is>
      </c>
      <c r="E16" s="11" t="inlineStr">
        <is>
          <t>公開</t>
        </is>
      </c>
      <c r="F16" s="11" t="inlineStr">
        <is>
          <t>08_渾身の1本</t>
        </is>
      </c>
      <c r="G16" s="6">
        <f>IF($C$20="","",$C$20+70)</f>
        <v/>
      </c>
      <c r="H16" s="38" t="n"/>
    </row>
    <row r="17" ht="45" customHeight="1">
      <c r="A17" s="10" t="inlineStr">
        <is>
          <t>W12</t>
        </is>
      </c>
      <c r="B17" s="11" t="inlineStr">
        <is>
          <t>3 渾身の1本</t>
        </is>
      </c>
      <c r="C17" s="11" t="inlineStr">
        <is>
          <t>最終振り返り</t>
        </is>
      </c>
      <c r="D17" s="11" t="inlineStr">
        <is>
          <t>全振り返りを見直し、量vs質の感覚を比較して今後の投稿スケジュールと黄金律を決める</t>
        </is>
      </c>
      <c r="E17" s="11" t="inlineStr">
        <is>
          <t>今後の方針決定</t>
        </is>
      </c>
      <c r="F17" s="11" t="inlineStr">
        <is>
          <t>09_最終振り返り</t>
        </is>
      </c>
      <c r="G17" s="6">
        <f>IF($C$20="","",$C$20+77)</f>
        <v/>
      </c>
      <c r="H17" s="38" t="n"/>
    </row>
    <row r="19">
      <c r="A19" s="12" t="inlineStr">
        <is>
          <t>設定</t>
        </is>
      </c>
    </row>
    <row r="20">
      <c r="A20" s="13" t="inlineStr">
        <is>
          <t>チャレンジ開始日</t>
        </is>
      </c>
      <c r="C20" s="39" t="n">
        <v>46293</v>
      </c>
      <c r="D20" s="2" t="inlineStr">
        <is>
          <t>← 日付を入れると「予定開始日」が自動で入ります</t>
        </is>
      </c>
    </row>
    <row r="21">
      <c r="A21" s="13" t="inlineStr">
        <is>
          <t>普段の投稿ペース（本/週）</t>
        </is>
      </c>
      <c r="C21" s="15" t="n">
        <v>1</v>
      </c>
      <c r="D21" s="2" t="inlineStr">
        <is>
          <t>← 動画の基準は週1本。隔週なら 0.5</t>
        </is>
      </c>
    </row>
    <row r="22">
      <c r="A22" s="13" t="inlineStr">
        <is>
          <t>スプリント中の目標ペース（本/週）</t>
        </is>
      </c>
      <c r="C22" s="16">
        <f>C21*2</f>
        <v/>
      </c>
      <c r="D22" s="2" t="inlineStr">
        <is>
          <t>← 普段の2倍（自動）</t>
        </is>
      </c>
    </row>
    <row r="23">
      <c r="A23" s="13" t="inlineStr">
        <is>
          <t>8本完了までの目安（週）</t>
        </is>
      </c>
      <c r="C23" s="16">
        <f>IF(C22&gt;0,ROUNDUP(8/C22,0),"")</f>
        <v/>
      </c>
    </row>
    <row r="25">
      <c r="A25" s="12" t="inlineStr">
        <is>
          <t>進捗ダッシュボード（自動）</t>
        </is>
      </c>
    </row>
    <row r="26">
      <c r="A26" s="13" t="inlineStr">
        <is>
          <t>完了した週</t>
        </is>
      </c>
      <c r="C26" s="17">
        <f>COUNTIF(H6:H17,"✔")&amp;" / 12"</f>
        <v/>
      </c>
    </row>
    <row r="27">
      <c r="A27" s="13" t="inlineStr">
        <is>
          <t>スワイプファイル件数（目標30）</t>
        </is>
      </c>
      <c r="C27" s="17">
        <f>COUNTA('02_スワイプファイル'!B7:B46)</f>
        <v/>
      </c>
    </row>
    <row r="28">
      <c r="A28" s="13" t="inlineStr">
        <is>
          <t>動画レシピ数（目標1〜3）</t>
        </is>
      </c>
      <c r="C28" s="17">
        <f>COUNTA('03_動画レシピ'!C6:E6)</f>
        <v/>
      </c>
    </row>
    <row r="29">
      <c r="A29" s="13" t="inlineStr">
        <is>
          <t>アイデア数（目標8）</t>
        </is>
      </c>
      <c r="C29" s="17">
        <f>COUNTA('04_アイデア8本'!B7:B16)</f>
        <v/>
      </c>
    </row>
    <row r="30">
      <c r="A30" s="13" t="inlineStr">
        <is>
          <t>スプリント公開本数（目標8）</t>
        </is>
      </c>
      <c r="C30" s="17" t="inlineStr">
        <is>
          <t>→ 制作編ファイルで確認</t>
        </is>
      </c>
    </row>
    <row r="31">
      <c r="A31" s="13" t="inlineStr">
        <is>
          <t>振り返り記入済み本数</t>
        </is>
      </c>
      <c r="C31" s="17" t="inlineStr">
        <is>
          <t>→ 制作編ファイルで確認</t>
        </is>
      </c>
    </row>
  </sheetData>
  <mergeCells count="6">
    <mergeCell ref="A26:B26"/>
    <mergeCell ref="A30:B30"/>
    <mergeCell ref="A29:B29"/>
    <mergeCell ref="A28:B28"/>
    <mergeCell ref="A27:B27"/>
    <mergeCell ref="A31:B31"/>
  </mergeCells>
  <dataValidations count="1">
    <dataValidation sqref="H6:H17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W1 決意表明</t>
        </is>
      </c>
    </row>
    <row r="2">
      <c r="A2" s="2" t="inlineStr">
        <is>
          <t>目標を書くと達成率が上がり、人に共有するとさらに上がる（ゲイル・マシューズ博士の研究）。挫折の原因は下手さではなく「諦めること」。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考えること</t>
        </is>
      </c>
      <c r="B5" s="3" t="inlineStr">
        <is>
          <t>あなたの答え</t>
        </is>
      </c>
    </row>
    <row r="6" ht="36" customHeight="1">
      <c r="A6" s="18" t="inlineStr">
        <is>
          <t>90日後の具体的な目標（数値で）</t>
        </is>
      </c>
      <c r="B6" s="22" t="inlineStr">
        <is>
          <t>90日で登録者300人→1,000人、総再生時間4,000時間（収益化）</t>
        </is>
      </c>
    </row>
    <row r="7" ht="36" customHeight="1">
      <c r="A7" s="18" t="inlineStr">
        <is>
          <t>なぜ今それをやるのか（本気度）</t>
        </is>
      </c>
      <c r="B7" s="22" t="inlineStr">
        <is>
          <t>IELTSを独学で乗り越えた経験を発信の柱にし、仕事以外の収入源を作りたい</t>
        </is>
      </c>
    </row>
    <row r="8" ht="36" customHeight="1">
      <c r="A8" s="18" t="inlineStr">
        <is>
          <t>止まりそうな時に読み返す一言</t>
        </is>
      </c>
      <c r="B8" s="22" t="inlineStr">
        <is>
          <t>完璧より公開。出さなかった動画からは何も学べない</t>
        </is>
      </c>
    </row>
    <row r="9" ht="36" customHeight="1">
      <c r="A9" s="18" t="inlineStr">
        <is>
          <t>予想される挫折ポイントと対策</t>
        </is>
      </c>
      <c r="B9" s="22" t="inlineStr">
        <is>
          <t>繁忙期で平日に撮れない → 撮影は土曜午前にまとめ撮り、平日は編集だけ</t>
        </is>
      </c>
    </row>
    <row r="10" ht="36" customHeight="1">
      <c r="A10" s="18" t="inlineStr">
        <is>
          <t>宣言する場所（1回目）</t>
        </is>
      </c>
      <c r="B10" s="22" t="inlineStr">
        <is>
          <t>YouTubeコミュニティ投稿＋X＋家族のLINEグループ</t>
        </is>
      </c>
    </row>
    <row r="11" ht="36" customHeight="1">
      <c r="A11" s="18" t="inlineStr">
        <is>
          <t>宣言文（下書き）</t>
        </is>
      </c>
      <c r="B11" s="22" t="inlineStr">
        <is>
          <t>今日から90日間チャレンジを始めます。12週間で8本＋渾身の1本を出して、年末までに収益化を目指します。途中経過も毎週ここで報告します！</t>
        </is>
      </c>
    </row>
    <row r="12" ht="36" customHeight="1">
      <c r="A12" s="18" t="inlineStr">
        <is>
          <t>宣言した日</t>
        </is>
      </c>
      <c r="B12" s="40" t="n">
        <v>46293</v>
      </c>
    </row>
    <row r="13" ht="36" customHeight="1">
      <c r="A13" s="18" t="inlineStr">
        <is>
          <t>宣言を見せた相手／反応</t>
        </is>
      </c>
      <c r="B13" s="22" t="inlineStr">
        <is>
          <t>X で12いいね・「応援してます」コメント3件。妻に毎週進捗を聞いてもらう約束</t>
        </is>
      </c>
    </row>
    <row r="14" ht="36" customHeight="1">
      <c r="A14" s="18" t="inlineStr">
        <is>
          <t>【W5用】2回目の宣言場所</t>
        </is>
      </c>
      <c r="B14" s="22" t="inlineStr">
        <is>
          <t>ショート動画＋コミュニティ投稿</t>
        </is>
      </c>
    </row>
    <row r="15" ht="36" customHeight="1">
      <c r="A15" s="18" t="inlineStr">
        <is>
          <t>【W5用】2回目の宣言文</t>
        </is>
      </c>
      <c r="B15" s="22" t="inlineStr">
        <is>
          <t>今日から4週間のスプリント！投稿を週1→週2に倍増します。8本出し切るので見届けてください #aprilynneschallenge</t>
        </is>
      </c>
    </row>
    <row r="16" ht="36" customHeight="1">
      <c r="A16" s="18" t="inlineStr">
        <is>
          <t>【W5用】2回目を宣言した日</t>
        </is>
      </c>
      <c r="B16" s="40" t="n">
        <v>46321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14" customWidth="1" min="5" max="5"/>
    <col width="30" customWidth="1" min="6" max="6"/>
    <col width="30" customWidth="1" min="7" max="7"/>
    <col width="30" customWidth="1" min="8" max="8"/>
    <col width="30" customWidth="1" min="9" max="9"/>
    <col width="26" customWidth="1" min="10" max="10"/>
    <col width="26" customWidth="1" min="11" max="11"/>
    <col width="30" customWidth="1" min="12" max="12"/>
    <col width="10" customWidth="1" min="13" max="13"/>
  </cols>
  <sheetData>
    <row r="1">
      <c r="A1" s="1" t="inlineStr">
        <is>
          <t>W2 審美眼を広げる：動画研究＆スワイプファイル</t>
        </is>
      </c>
    </row>
    <row r="2">
      <c r="A2" s="2" t="inlineStr">
        <is>
          <t>消費者ではなくクリエイターとして見る。「面白かったか」ではなく「なぜ」を書く。目標30本以上、ニッチ外・多フォーマットも。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4">
      <c r="F4" s="13" t="inlineStr">
        <is>
          <t>研究本数：</t>
        </is>
      </c>
      <c r="G4" s="13">
        <f>COUNTA(B7:B46)&amp;" / 30本"</f>
        <v/>
      </c>
    </row>
    <row r="6" ht="32" customHeight="1">
      <c r="A6" s="3" t="inlineStr">
        <is>
          <t>No</t>
        </is>
      </c>
      <c r="B6" s="3" t="inlineStr">
        <is>
          <t>動画タイトル / URL</t>
        </is>
      </c>
      <c r="C6" s="3" t="inlineStr">
        <is>
          <t>チャンネル</t>
        </is>
      </c>
      <c r="D6" s="3" t="inlineStr">
        <is>
          <t>フォーマット</t>
        </is>
      </c>
      <c r="E6" s="3" t="inlineStr">
        <is>
          <t>ニッチ内/外</t>
        </is>
      </c>
      <c r="F6" s="3" t="inlineStr">
        <is>
          <t>なぜクリックした？（タイトル・サムネ）</t>
        </is>
      </c>
      <c r="G6" s="3" t="inlineStr">
        <is>
          <t>30秒後も見続けた理由（フック）</t>
        </is>
      </c>
      <c r="H6" s="3" t="inlineStr">
        <is>
          <t>音楽・照明・編集で湧いた感情</t>
        </is>
      </c>
      <c r="I6" s="3" t="inlineStr">
        <is>
          <t>退屈・離脱したタイミングときっかけ</t>
        </is>
      </c>
      <c r="J6" s="3" t="inlineStr">
        <is>
          <t>盗みたい要素（スワイプ）</t>
        </is>
      </c>
      <c r="K6" s="3" t="inlineStr">
        <is>
          <t>自分の動画への応用案</t>
        </is>
      </c>
      <c r="L6" s="3" t="inlineStr">
        <is>
          <t>雰囲気（一言）</t>
        </is>
      </c>
      <c r="M6" s="3" t="inlineStr">
        <is>
          <t>重要度
(1-5)</t>
        </is>
      </c>
    </row>
    <row r="7">
      <c r="A7" s="16" t="n">
        <v>1</v>
      </c>
      <c r="B7" s="22" t="inlineStr">
        <is>
          <t>https://youtube.com/... 「3ヶ月で英語が話せた方法」</t>
        </is>
      </c>
      <c r="C7" s="22" t="inlineStr">
        <is>
          <t>〇〇English</t>
        </is>
      </c>
      <c r="D7" s="22" t="inlineStr">
        <is>
          <t>解説</t>
        </is>
      </c>
      <c r="E7" s="22" t="inlineStr">
        <is>
          <t>ニッチ内</t>
        </is>
      </c>
      <c r="F7" s="22" t="inlineStr">
        <is>
          <t>数字＋ビフォーアフター。サムネの表情が強い</t>
        </is>
      </c>
      <c r="G7" s="22" t="inlineStr">
        <is>
          <t>冒頭で結果を見せてから過程を約束</t>
        </is>
      </c>
      <c r="H7" s="22" t="inlineStr">
        <is>
          <t>静かなLo-fiで落ち着く、自然光で親近感</t>
        </is>
      </c>
      <c r="I7" s="22" t="inlineStr">
        <is>
          <t>中盤の機材説明（3:40）で離脱しそうに</t>
        </is>
      </c>
      <c r="J7" s="22" t="inlineStr">
        <is>
          <t>結果→過程の順で見せる冒頭構成</t>
        </is>
      </c>
      <c r="K7" s="22" t="inlineStr">
        <is>
          <t>IELTSスコア公開から始める</t>
        </is>
      </c>
      <c r="L7" s="22" t="inlineStr">
        <is>
          <t>親しみ・前向き</t>
        </is>
      </c>
      <c r="M7" s="22" t="n">
        <v>5</v>
      </c>
    </row>
    <row r="8">
      <c r="A8" s="16" t="n">
        <v>2</v>
      </c>
      <c r="B8" s="22" t="inlineStr">
        <is>
          <t>https://youtube.com/... 「東大生の1日ルーティン」</t>
        </is>
      </c>
      <c r="C8" s="22" t="inlineStr">
        <is>
          <t>〇〇 Study</t>
        </is>
      </c>
      <c r="D8" s="22" t="inlineStr">
        <is>
          <t>Vlog</t>
        </is>
      </c>
      <c r="E8" s="22" t="inlineStr">
        <is>
          <t>ニッチ外</t>
        </is>
      </c>
      <c r="F8" s="22" t="inlineStr">
        <is>
          <t>時刻テロップ入りサムネで1日の流れが一目でわかる</t>
        </is>
      </c>
      <c r="G8" s="22" t="inlineStr">
        <is>
          <t>冒頭で「5:00起床」の画から入り世界観に引き込む</t>
        </is>
      </c>
      <c r="H8" s="22" t="inlineStr">
        <is>
          <t>朝の光とアコースティックBGMで穏やか・前向きな気分</t>
        </is>
      </c>
      <c r="I8" s="22" t="inlineStr">
        <is>
          <t>中盤のご飯シーンが長く飛ばした</t>
        </is>
      </c>
      <c r="J8" s="22" t="inlineStr">
        <is>
          <t>時刻テロップで区切るテンポ</t>
        </is>
      </c>
      <c r="K8" s="22" t="inlineStr">
        <is>
          <t>IELTS勉強Vlogで時刻テロップを使う</t>
        </is>
      </c>
      <c r="L8" s="22" t="inlineStr">
        <is>
          <t>穏やか</t>
        </is>
      </c>
      <c r="M8" s="22" t="n">
        <v>4</v>
      </c>
    </row>
    <row r="9">
      <c r="A9" s="16" t="n">
        <v>3</v>
      </c>
      <c r="B9" s="22" t="inlineStr">
        <is>
          <t>https://youtube.com/... 「100日間毎日〇〇やってみた」</t>
        </is>
      </c>
      <c r="C9" s="22" t="inlineStr">
        <is>
          <t>〇〇 Channel</t>
        </is>
      </c>
      <c r="D9" s="22" t="inlineStr">
        <is>
          <t>チャレンジ</t>
        </is>
      </c>
      <c r="E9" s="22" t="inlineStr">
        <is>
          <t>ニッチ外</t>
        </is>
      </c>
      <c r="F9" s="22" t="inlineStr">
        <is>
          <t>数字（100日）＋ビフォーアフター写真</t>
        </is>
      </c>
      <c r="G9" s="22" t="inlineStr">
        <is>
          <t>最初に100日後の姿を見せて「どうやって？」と思わせる</t>
        </is>
      </c>
      <c r="H9" s="22" t="inlineStr">
        <is>
          <t>BGMが徐々に盛り上がり達成感</t>
        </is>
      </c>
      <c r="I9" s="22" t="inlineStr">
        <is>
          <t>30〜60日目の中だるみ</t>
        </is>
      </c>
      <c r="J9" s="22" t="inlineStr">
        <is>
          <t>結果を先に見せて過程を追う構成</t>
        </is>
      </c>
      <c r="K9" s="22" t="inlineStr">
        <is>
          <t>「30日間スピーキング毎日録音」企画</t>
        </is>
      </c>
      <c r="L9" s="22" t="inlineStr">
        <is>
          <t>達成感・ワクワク</t>
        </is>
      </c>
      <c r="M9" s="22" t="n">
        <v>5</v>
      </c>
    </row>
    <row r="10">
      <c r="A10" s="16" t="n">
        <v>4</v>
      </c>
      <c r="B10" s="22" t="inlineStr">
        <is>
          <t>https://youtube.com/... 「プロが教えるプレゼン術」</t>
        </is>
      </c>
      <c r="C10" s="22" t="inlineStr">
        <is>
          <t>〇〇 Talk</t>
        </is>
      </c>
      <c r="D10" s="22" t="inlineStr">
        <is>
          <t>解説</t>
        </is>
      </c>
      <c r="E10" s="22" t="inlineStr">
        <is>
          <t>ニッチ外</t>
        </is>
      </c>
      <c r="F10" s="22" t="inlineStr">
        <is>
          <t>問いかけ型タイトル「なぜあなたの話は伝わらないのか」</t>
        </is>
      </c>
      <c r="G10" s="22" t="inlineStr">
        <is>
          <t>視聴者の失敗例を再現して共感させる</t>
        </is>
      </c>
      <c r="H10" s="22" t="inlineStr">
        <is>
          <t>テンポの速いカットで集中が続く</t>
        </is>
      </c>
      <c r="I10" s="22" t="inlineStr">
        <is>
          <t>最後のまとめが長い</t>
        </is>
      </c>
      <c r="J10" s="22" t="inlineStr">
        <is>
          <t>失敗例→原因→解決の3段構成</t>
        </is>
      </c>
      <c r="K10" s="22" t="inlineStr">
        <is>
          <t>スピーキングで点が伸びない人の失敗例から入る</t>
        </is>
      </c>
      <c r="L10" s="22" t="inlineStr">
        <is>
          <t>効率的</t>
        </is>
      </c>
      <c r="M10" s="22" t="n">
        <v>4</v>
      </c>
    </row>
    <row r="11">
      <c r="A11" s="16" t="n">
        <v>5</v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</row>
    <row r="12">
      <c r="A12" s="16" t="n">
        <v>6</v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</row>
    <row r="13">
      <c r="A13" s="16" t="n">
        <v>7</v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</row>
    <row r="14">
      <c r="A14" s="16" t="n">
        <v>8</v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</row>
    <row r="15">
      <c r="A15" s="16" t="n">
        <v>9</v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</row>
    <row r="16">
      <c r="A16" s="16" t="n">
        <v>10</v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</row>
    <row r="17">
      <c r="A17" s="16" t="n">
        <v>11</v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</row>
    <row r="18">
      <c r="A18" s="16" t="n">
        <v>12</v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</row>
    <row r="19">
      <c r="A19" s="16" t="n">
        <v>13</v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</row>
    <row r="20">
      <c r="A20" s="16" t="n">
        <v>14</v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</row>
    <row r="21">
      <c r="A21" s="16" t="n">
        <v>15</v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</row>
    <row r="22">
      <c r="A22" s="16" t="n">
        <v>16</v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</row>
    <row r="23">
      <c r="A23" s="16" t="n">
        <v>17</v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</row>
    <row r="24">
      <c r="A24" s="16" t="n">
        <v>18</v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</row>
    <row r="25">
      <c r="A25" s="16" t="n">
        <v>19</v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</row>
    <row r="26">
      <c r="A26" s="16" t="n">
        <v>20</v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</row>
    <row r="27">
      <c r="A27" s="16" t="n">
        <v>21</v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</row>
    <row r="28">
      <c r="A28" s="16" t="n">
        <v>22</v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</row>
    <row r="29">
      <c r="A29" s="16" t="n">
        <v>23</v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</row>
    <row r="30">
      <c r="A30" s="16" t="n">
        <v>24</v>
      </c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</row>
    <row r="31">
      <c r="A31" s="16" t="n">
        <v>25</v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</row>
    <row r="32">
      <c r="A32" s="16" t="n">
        <v>26</v>
      </c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</row>
    <row r="33">
      <c r="A33" s="16" t="n">
        <v>27</v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</row>
    <row r="34">
      <c r="A34" s="16" t="n">
        <v>28</v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</row>
    <row r="35">
      <c r="A35" s="16" t="n">
        <v>29</v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</row>
    <row r="36">
      <c r="A36" s="16" t="n">
        <v>30</v>
      </c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</row>
    <row r="37">
      <c r="A37" s="16" t="n">
        <v>31</v>
      </c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</row>
    <row r="38">
      <c r="A38" s="16" t="n">
        <v>32</v>
      </c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</row>
    <row r="39">
      <c r="A39" s="16" t="n">
        <v>33</v>
      </c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</row>
    <row r="40">
      <c r="A40" s="16" t="n">
        <v>34</v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</row>
    <row r="41">
      <c r="A41" s="16" t="n">
        <v>35</v>
      </c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</row>
    <row r="42">
      <c r="A42" s="16" t="n">
        <v>36</v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</row>
    <row r="43">
      <c r="A43" s="16" t="n">
        <v>37</v>
      </c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</row>
    <row r="44">
      <c r="A44" s="16" t="n">
        <v>38</v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</row>
    <row r="45">
      <c r="A45" s="16" t="n">
        <v>39</v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</row>
    <row r="46">
      <c r="A46" s="16" t="n">
        <v>40</v>
      </c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</row>
  </sheetData>
  <dataValidations count="3">
    <dataValidation sqref="D7:D46" showDropDown="0" showInputMessage="0" showErrorMessage="0" allowBlank="1" type="list">
      <formula1>"Vlog,チャレンジ,チュートリアル,解説,分析,リスト/ランキング,ドキュメンタリー,インタビュー,リアクション,ショート,その他"</formula1>
    </dataValidation>
    <dataValidation sqref="E7:E46" showDropDown="0" showInputMessage="0" showErrorMessage="0" allowBlank="1" type="list">
      <formula1>"ニッチ内,ニッチ外"</formula1>
    </dataValidation>
    <dataValidation sqref="M7:M4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W3 独自の動画レシピ（テスト用に1〜3個）</t>
        </is>
      </c>
    </row>
    <row r="2">
      <c r="A2" s="2" t="inlineStr">
        <is>
          <t>最終決定ではなく「実験するための仮説」。強み（得意なこと）とスワイプファイルで繰り返し出てくる要素から組み立てる。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要素</t>
        </is>
      </c>
      <c r="B5" s="3" t="inlineStr">
        <is>
          <t>自分への問い</t>
        </is>
      </c>
      <c r="C5" s="3" t="inlineStr">
        <is>
          <t>レシピA</t>
        </is>
      </c>
      <c r="D5" s="3" t="inlineStr">
        <is>
          <t>レシピB</t>
        </is>
      </c>
      <c r="E5" s="3" t="inlineStr">
        <is>
          <t>レシピC</t>
        </is>
      </c>
    </row>
    <row r="6" ht="24" customHeight="1">
      <c r="A6" s="18" t="inlineStr">
        <is>
          <t>レシピ名</t>
        </is>
      </c>
      <c r="B6" s="23" t="inlineStr">
        <is>
          <t>短い呼び名（アイデア・振り返りシートで使う）</t>
        </is>
      </c>
      <c r="C6" s="22" t="inlineStr">
        <is>
          <t>IELTS独学ラボ</t>
        </is>
      </c>
      <c r="D6" s="22" t="inlineStr">
        <is>
          <t>社会人の英語Vlog</t>
        </is>
      </c>
      <c r="E6" s="22" t="inlineStr">
        <is>
          <t>スコア検証実験</t>
        </is>
      </c>
    </row>
    <row r="7" ht="60" customHeight="1">
      <c r="A7" s="18" t="inlineStr">
        <is>
          <t>① ターゲット層</t>
        </is>
      </c>
      <c r="B7" s="23" t="inlineStr">
        <is>
          <t>誰のため？何に興味があり、何に悩んでいる？普段どんな動画を見ている？</t>
        </is>
      </c>
      <c r="C7" s="22" t="inlineStr">
        <is>
          <t>IELTS 6.5〜7.0を目指す社会人（独学・時間がない）</t>
        </is>
      </c>
      <c r="D7" s="22" t="inlineStr">
        <is>
          <t>留学・海外転職を考える20〜30代の会社員</t>
        </is>
      </c>
      <c r="E7" s="22" t="inlineStr">
        <is>
          <t>IELTS受験予定で勉強法に迷っている人</t>
        </is>
      </c>
    </row>
    <row r="8" ht="60" customHeight="1">
      <c r="A8" s="18" t="inlineStr">
        <is>
          <t>② 価値</t>
        </is>
      </c>
      <c r="B8" s="23" t="inlineStr">
        <is>
          <t>見た人は何を得る？行動の後押し／理解が深まる／孤独が和らぐ／娯楽／インスピレーション</t>
        </is>
      </c>
      <c r="C8" s="22" t="inlineStr">
        <is>
          <t>スコアを上げる具体的な手順がわかる</t>
        </is>
      </c>
      <c r="D8" s="22" t="inlineStr">
        <is>
          <t>「自分も続けられそう」と思える／孤独が和らぐ</t>
        </is>
      </c>
      <c r="E8" s="22" t="inlineStr">
        <is>
          <t>どの方法が効くか実験結果でわかる</t>
        </is>
      </c>
    </row>
    <row r="9" ht="60" customHeight="1">
      <c r="A9" s="18" t="inlineStr">
        <is>
          <t>③ フォーマット</t>
        </is>
      </c>
      <c r="B9" s="23" t="inlineStr">
        <is>
          <t>その価値をどう届ける？（Vlog・解説・チュートリアル・チャレンジ等から強みに合う1〜2個）</t>
        </is>
      </c>
      <c r="C9" s="22" t="inlineStr">
        <is>
          <t>解説＋画面録画チュートリアル</t>
        </is>
      </c>
      <c r="D9" s="22" t="inlineStr">
        <is>
          <t>Vlog</t>
        </is>
      </c>
      <c r="E9" s="22" t="inlineStr">
        <is>
          <t>チャレンジ・比較検証</t>
        </is>
      </c>
    </row>
    <row r="10" ht="60" customHeight="1">
      <c r="A10" s="18" t="inlineStr">
        <is>
          <t>④ 雰囲気（バイブス）</t>
        </is>
      </c>
      <c r="B10" s="23" t="inlineStr">
        <is>
          <t>見終わった後どんな気分にさせたい？（居心地がいい・スリル・刺激的・効率的…）</t>
        </is>
      </c>
      <c r="C10" s="22" t="inlineStr">
        <is>
          <t>効率的・安心感</t>
        </is>
      </c>
      <c r="D10" s="22" t="inlineStr">
        <is>
          <t>居心地がいい・穏やか</t>
        </is>
      </c>
      <c r="E10" s="22" t="inlineStr">
        <is>
          <t>ワクワク・スリル</t>
        </is>
      </c>
    </row>
    <row r="11" ht="60" customHeight="1">
      <c r="A11" s="18" t="inlineStr">
        <is>
          <t>⑤ 差別化要因</t>
        </is>
      </c>
      <c r="B11" s="23" t="inlineStr">
        <is>
          <t>なぜ他の人ではなく自分の動画を見るべき？（独自スキル／アクセス権／深い洞察／個性）</t>
        </is>
      </c>
      <c r="C11" s="22" t="inlineStr">
        <is>
          <t>自分が実際に独学で上げた記録と失敗例を全公開</t>
        </is>
      </c>
      <c r="D11" s="22" t="inlineStr">
        <is>
          <t>フルタイム勤務のリアルな時間の使い方を見せられる</t>
        </is>
      </c>
      <c r="E11" s="22" t="inlineStr">
        <is>
          <t>自分の体で検証し、実際のスコアで結果を出す</t>
        </is>
      </c>
    </row>
    <row r="13" ht="22" customHeight="1">
      <c r="A13" s="24" t="inlineStr">
        <is>
          <t>レシピを作る前に考えること</t>
        </is>
      </c>
      <c r="B13" s="25" t="n"/>
      <c r="C13" s="25" t="n"/>
      <c r="D13" s="25" t="n"/>
      <c r="E13" s="25" t="n"/>
    </row>
    <row r="14" ht="30" customHeight="1">
      <c r="A14" s="18" t="inlineStr">
        <is>
          <t>自分が生まれつき得意なことは？</t>
        </is>
      </c>
      <c r="B14" s="26" t="n"/>
      <c r="C14" s="22" t="inlineStr">
        <is>
          <t>図解して説明すること、学習計画を立てること</t>
        </is>
      </c>
      <c r="D14" s="28" t="n"/>
      <c r="E14" s="26" t="n"/>
    </row>
    <row r="15" ht="30" customHeight="1">
      <c r="A15" s="18" t="inlineStr">
        <is>
          <t>スワイプファイルで何度も出てくるフォーマットは？</t>
        </is>
      </c>
      <c r="B15" s="26" t="n"/>
      <c r="C15" s="22" t="inlineStr">
        <is>
          <t>Vlog・チャレンジ系（スワイプの約半分）</t>
        </is>
      </c>
      <c r="D15" s="28" t="n"/>
      <c r="E15" s="26" t="n"/>
    </row>
    <row r="16" ht="30" customHeight="1">
      <c r="A16" s="18" t="inlineStr">
        <is>
          <t>スワイプファイルで何度も出てくる雰囲気は？</t>
        </is>
      </c>
      <c r="B16" s="26" t="n"/>
      <c r="C16" s="22" t="inlineStr">
        <is>
          <t>穏やかで前向き、効率的</t>
        </is>
      </c>
      <c r="D16" s="28" t="n"/>
      <c r="E16" s="26" t="n"/>
    </row>
    <row r="17" ht="30" customHeight="1">
      <c r="A17" s="18" t="inlineStr">
        <is>
          <t>他の人にない経験・アクセス・スキルは？</t>
        </is>
      </c>
      <c r="B17" s="26" t="n"/>
      <c r="C17" s="22" t="inlineStr">
        <is>
          <t>独学でIELTS 7.0を取った実体験とスコア記録、会社員としての時間制約</t>
        </is>
      </c>
      <c r="D17" s="28" t="n"/>
      <c r="E17" s="26" t="n"/>
    </row>
  </sheetData>
  <mergeCells count="8">
    <mergeCell ref="C16:E16"/>
    <mergeCell ref="A16:B16"/>
    <mergeCell ref="C14:E14"/>
    <mergeCell ref="A15:B15"/>
    <mergeCell ref="A14:B14"/>
    <mergeCell ref="C17:E17"/>
    <mergeCell ref="A17:B17"/>
    <mergeCell ref="C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34" customWidth="1" min="4" max="4"/>
    <col width="30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30" customWidth="1" min="11" max="11"/>
    <col width="14" customWidth="1" min="12" max="12"/>
  </cols>
  <sheetData>
    <row r="1">
      <c r="A1" s="1" t="inlineStr">
        <is>
          <t>W4 アイデア創出：3基準でスコアリングして8本選ぶ</t>
        </is>
      </c>
    </row>
    <row r="2">
      <c r="A2" s="2" t="inlineStr">
        <is>
          <t>各基準を1〜5で評価。合計と順位は自動。複数レシピがある場合は各レシピ最低1本。大規模・複雑なネタは「渾身の1本」候補へ回す。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6" ht="32" customHeight="1">
      <c r="A6" s="3" t="inlineStr">
        <is>
          <t>No</t>
        </is>
      </c>
      <c r="B6" s="3" t="inlineStr">
        <is>
          <t>動画アイデア（仮タイトル）</t>
        </is>
      </c>
      <c r="C6" s="3" t="inlineStr">
        <is>
          <t>使うレシピ</t>
        </is>
      </c>
      <c r="D6" s="3" t="inlineStr">
        <is>
          <t>検証したいこと（実験の問い）</t>
        </is>
      </c>
      <c r="E6" s="3" t="inlineStr">
        <is>
          <t>参考にした実績コンテンツ（URL・再生数）</t>
        </is>
      </c>
      <c r="F6" s="3" t="inlineStr">
        <is>
          <t>検証可能性
(1-5)</t>
        </is>
      </c>
      <c r="G6" s="3" t="inlineStr">
        <is>
          <t>再生
ポテンシャル
(1-5)</t>
        </is>
      </c>
      <c r="H6" s="3" t="inlineStr">
        <is>
          <t>実現可能性
(2倍速で作れる？)(1-5)</t>
        </is>
      </c>
      <c r="I6" s="3" t="inlineStr">
        <is>
          <t>合計
(/15)</t>
        </is>
      </c>
      <c r="J6" s="3" t="inlineStr">
        <is>
          <t>順位</t>
        </is>
      </c>
      <c r="K6" s="3" t="inlineStr">
        <is>
          <t>簡略化するなら？</t>
        </is>
      </c>
      <c r="L6" s="3" t="inlineStr">
        <is>
          <t>判定</t>
        </is>
      </c>
    </row>
    <row r="7" ht="36" customHeight="1">
      <c r="A7" s="16" t="n">
        <v>1</v>
      </c>
      <c r="B7" s="22" t="inlineStr">
        <is>
          <t>IELTSライティング 独学で6.5→7.0にした添削ルーティン</t>
        </is>
      </c>
      <c r="C7" s="22" t="inlineStr">
        <is>
          <t>IELTS独学ラボ</t>
        </is>
      </c>
      <c r="D7" s="22" t="inlineStr">
        <is>
          <t>画面録画中心のフォーマットで維持率は保てるか？</t>
        </is>
      </c>
      <c r="E7" s="22" t="inlineStr">
        <is>
          <t>類似動画 45万回（登録者3万ch）</t>
        </is>
      </c>
      <c r="F7" s="22" t="n">
        <v>4</v>
      </c>
      <c r="G7" s="22" t="n">
        <v>5</v>
      </c>
      <c r="H7" s="22" t="n">
        <v>4</v>
      </c>
      <c r="I7" s="17">
        <f>IF(COUNT(F7:H7)=3,SUM(F7:H7),"")</f>
        <v/>
      </c>
      <c r="J7" s="16">
        <f>IF(I7="","",RANK(I7,$I$7:$I$16))</f>
        <v/>
      </c>
      <c r="K7" s="22" t="inlineStr">
        <is>
          <t>添削例は2本に絞る</t>
        </is>
      </c>
      <c r="L7" s="16">
        <f>IF(I7="","",IF(H7&lt;=2,"簡略化 or 渾身候補へ",IF(I7&gt;=11,"採用候補","要ブラッシュアップ")))</f>
        <v/>
      </c>
    </row>
    <row r="8" ht="36" customHeight="1">
      <c r="A8" s="16" t="n">
        <v>2</v>
      </c>
      <c r="B8" s="22" t="inlineStr">
        <is>
          <t>平日30分しかない社会人のIELTS勉強1週間Vlog</t>
        </is>
      </c>
      <c r="C8" s="22" t="inlineStr">
        <is>
          <t>社会人の英語Vlog</t>
        </is>
      </c>
      <c r="D8" s="22" t="inlineStr">
        <is>
          <t>Vlog形式で「居心地のよさ」を出すと登録率は上がるか？</t>
        </is>
      </c>
      <c r="E8" s="22" t="inlineStr">
        <is>
          <t>勉強Vlog 20万回（登録者8千ch）</t>
        </is>
      </c>
      <c r="F8" s="22" t="n">
        <v>5</v>
      </c>
      <c r="G8" s="22" t="n">
        <v>4</v>
      </c>
      <c r="H8" s="22" t="n">
        <v>4</v>
      </c>
      <c r="I8" s="17">
        <f>IF(COUNT(F8:H8)=3,SUM(F8:H8),"")</f>
        <v/>
      </c>
      <c r="J8" s="16">
        <f>IF(I8="","",RANK(I8,$I$7:$I$16))</f>
        <v/>
      </c>
      <c r="K8" s="22" t="inlineStr">
        <is>
          <t>撮影は朝の勉強風景だけ</t>
        </is>
      </c>
      <c r="L8" s="16">
        <f>IF(I8="","",IF(H8&lt;=2,"簡略化 or 渾身候補へ",IF(I8&gt;=11,"採用候補","要ブラッシュアップ")))</f>
        <v/>
      </c>
    </row>
    <row r="9" ht="36" customHeight="1">
      <c r="A9" s="16" t="n">
        <v>3</v>
      </c>
      <c r="B9" s="22" t="inlineStr">
        <is>
          <t>IELTSスピーキング Part2 を AI採点 vs 人間採点で比べてみた</t>
        </is>
      </c>
      <c r="C9" s="22" t="inlineStr">
        <is>
          <t>スコア検証実験</t>
        </is>
      </c>
      <c r="D9" s="22" t="inlineStr">
        <is>
          <t>比較・検証系のタイトルはクリック率が高いか？</t>
        </is>
      </c>
      <c r="E9" s="22" t="inlineStr">
        <is>
          <t>「AI vs 人間」系 60万回</t>
        </is>
      </c>
      <c r="F9" s="22" t="n">
        <v>5</v>
      </c>
      <c r="G9" s="22" t="n">
        <v>5</v>
      </c>
      <c r="H9" s="22" t="n">
        <v>3</v>
      </c>
      <c r="I9" s="17">
        <f>IF(COUNT(F9:H9)=3,SUM(F9:H9),"")</f>
        <v/>
      </c>
      <c r="J9" s="16">
        <f>IF(I9="","",RANK(I9,$I$7:$I$16))</f>
        <v/>
      </c>
      <c r="K9" s="22" t="inlineStr">
        <is>
          <t>トピックを1つに限定</t>
        </is>
      </c>
      <c r="L9" s="16">
        <f>IF(I9="","",IF(H9&lt;=2,"簡略化 or 渾身候補へ",IF(I9&gt;=11,"採用候補","要ブラッシュアップ")))</f>
        <v/>
      </c>
    </row>
    <row r="10" ht="36" customHeight="1">
      <c r="A10" s="16" t="n">
        <v>4</v>
      </c>
      <c r="B10" s="22" t="inlineStr">
        <is>
          <t>リスニングが伸びない人がやりがちな3つのミス</t>
        </is>
      </c>
      <c r="C10" s="22" t="inlineStr">
        <is>
          <t>IELTS独学ラボ</t>
        </is>
      </c>
      <c r="D10" s="22" t="inlineStr">
        <is>
          <t>リスト型タイトル×顔出しサムネのCTR</t>
        </is>
      </c>
      <c r="E10" s="22" t="inlineStr">
        <is>
          <t>ミス系リスト動画 30万回</t>
        </is>
      </c>
      <c r="F10" s="22" t="n">
        <v>3</v>
      </c>
      <c r="G10" s="22" t="n">
        <v>4</v>
      </c>
      <c r="H10" s="22" t="n">
        <v>5</v>
      </c>
      <c r="I10" s="17">
        <f>IF(COUNT(F10:H10)=3,SUM(F10:H10),"")</f>
        <v/>
      </c>
      <c r="J10" s="16">
        <f>IF(I10="","",RANK(I10,$I$7:$I$16))</f>
        <v/>
      </c>
      <c r="K10" s="41" t="n"/>
      <c r="L10" s="16">
        <f>IF(I10="","",IF(H10&lt;=2,"簡略化 or 渾身候補へ",IF(I10&gt;=11,"採用候補","要ブラッシュアップ")))</f>
        <v/>
      </c>
    </row>
    <row r="11" ht="36" customHeight="1">
      <c r="A11" s="16" t="n">
        <v>5</v>
      </c>
      <c r="B11" s="22" t="inlineStr">
        <is>
          <t>1日だけIELTS本番と同じ時間割で過ごしてみた</t>
        </is>
      </c>
      <c r="C11" s="22" t="inlineStr">
        <is>
          <t>スコア検証実験</t>
        </is>
      </c>
      <c r="D11" s="22" t="inlineStr">
        <is>
          <t>チャレンジ形式で最後まで見てもらえるか（平均視聴率）</t>
        </is>
      </c>
      <c r="E11" s="22" t="inlineStr">
        <is>
          <t>「1日〇〇してみた」系 80万回</t>
        </is>
      </c>
      <c r="F11" s="22" t="n">
        <v>4</v>
      </c>
      <c r="G11" s="22" t="n">
        <v>5</v>
      </c>
      <c r="H11" s="22" t="n">
        <v>3</v>
      </c>
      <c r="I11" s="17">
        <f>IF(COUNT(F11:H11)=3,SUM(F11:H11),"")</f>
        <v/>
      </c>
      <c r="J11" s="16">
        <f>IF(I11="","",RANK(I11,$I$7:$I$16))</f>
        <v/>
      </c>
      <c r="K11" s="22" t="inlineStr">
        <is>
          <t>模試1セットだけで撮る</t>
        </is>
      </c>
      <c r="L11" s="16">
        <f>IF(I11="","",IF(H11&lt;=2,"簡略化 or 渾身候補へ",IF(I11&gt;=11,"採用候補","要ブラッシュアップ")))</f>
        <v/>
      </c>
    </row>
    <row r="12" ht="36" customHeight="1">
      <c r="A12" s="16" t="n">
        <v>6</v>
      </c>
      <c r="B12" s="22" t="inlineStr">
        <is>
          <t>IELTS用 単語帳3冊を1ヶ月使い比べた正直レビュー</t>
        </is>
      </c>
      <c r="C12" s="22" t="inlineStr">
        <is>
          <t>IELTS独学ラボ</t>
        </is>
      </c>
      <c r="D12" s="22" t="inlineStr">
        <is>
          <t>レビュー形式で検索流入が取れるか</t>
        </is>
      </c>
      <c r="E12" s="22" t="inlineStr">
        <is>
          <t>教材比較 15万回</t>
        </is>
      </c>
      <c r="F12" s="22" t="n">
        <v>3</v>
      </c>
      <c r="G12" s="22" t="n">
        <v>3</v>
      </c>
      <c r="H12" s="22" t="n">
        <v>4</v>
      </c>
      <c r="I12" s="17">
        <f>IF(COUNT(F12:H12)=3,SUM(F12:H12),"")</f>
        <v/>
      </c>
      <c r="J12" s="16">
        <f>IF(I12="","",RANK(I12,$I$7:$I$16))</f>
        <v/>
      </c>
      <c r="K12" s="22" t="inlineStr">
        <is>
          <t>2冊比較に縮小</t>
        </is>
      </c>
      <c r="L12" s="16">
        <f>IF(I12="","",IF(H12&lt;=2,"簡略化 or 渾身候補へ",IF(I12&gt;=11,"採用候補","要ブラッシュアップ")))</f>
        <v/>
      </c>
    </row>
    <row r="13" ht="36" customHeight="1">
      <c r="A13" s="16" t="n">
        <v>7</v>
      </c>
      <c r="B13" s="22" t="inlineStr">
        <is>
          <t>仕事終わりのカフェ勉強ルーティン【IELTS 7.0目標】</t>
        </is>
      </c>
      <c r="C13" s="22" t="inlineStr">
        <is>
          <t>社会人の英語Vlog</t>
        </is>
      </c>
      <c r="D13" s="22" t="inlineStr">
        <is>
          <t>BGM・照明で「落ち着く雰囲気」を強調したら視聴時間は伸びるか</t>
        </is>
      </c>
      <c r="E13" s="22" t="inlineStr">
        <is>
          <t>カフェ勉強Vlog 25万回</t>
        </is>
      </c>
      <c r="F13" s="22" t="n">
        <v>4</v>
      </c>
      <c r="G13" s="22" t="n">
        <v>3</v>
      </c>
      <c r="H13" s="22" t="n">
        <v>5</v>
      </c>
      <c r="I13" s="17">
        <f>IF(COUNT(F13:H13)=3,SUM(F13:H13),"")</f>
        <v/>
      </c>
      <c r="J13" s="16">
        <f>IF(I13="","",RANK(I13,$I$7:$I$16))</f>
        <v/>
      </c>
      <c r="K13" s="41" t="n"/>
      <c r="L13" s="16">
        <f>IF(I13="","",IF(H13&lt;=2,"簡略化 or 渾身候補へ",IF(I13&gt;=11,"採用候補","要ブラッシュアップ")))</f>
        <v/>
      </c>
    </row>
    <row r="14" ht="36" customHeight="1">
      <c r="A14" s="16" t="n">
        <v>8</v>
      </c>
      <c r="B14" s="22" t="inlineStr">
        <is>
          <t>IELTSライティング Task2 を20分で書く型を公開</t>
        </is>
      </c>
      <c r="C14" s="22" t="inlineStr">
        <is>
          <t>IELTS独学ラボ</t>
        </is>
      </c>
      <c r="D14" s="22" t="inlineStr">
        <is>
          <t>テンプレ配布（概要欄）でコメント・保存は増えるか</t>
        </is>
      </c>
      <c r="E14" s="22" t="inlineStr">
        <is>
          <t>テンプレ系 40万回</t>
        </is>
      </c>
      <c r="F14" s="22" t="n">
        <v>4</v>
      </c>
      <c r="G14" s="22" t="n">
        <v>4</v>
      </c>
      <c r="H14" s="22" t="n">
        <v>4</v>
      </c>
      <c r="I14" s="17">
        <f>IF(COUNT(F14:H14)=3,SUM(F14:H14),"")</f>
        <v/>
      </c>
      <c r="J14" s="16">
        <f>IF(I14="","",RANK(I14,$I$7:$I$16))</f>
        <v/>
      </c>
      <c r="K14" s="41" t="n"/>
      <c r="L14" s="16">
        <f>IF(I14="","",IF(H14&lt;=2,"簡略化 or 渾身候補へ",IF(I14&gt;=11,"採用候補","要ブラッシュアップ")))</f>
        <v/>
      </c>
    </row>
    <row r="15" ht="36" customHeight="1">
      <c r="A15" s="16" t="n">
        <v>9</v>
      </c>
      <c r="B15" s="22" t="inlineStr">
        <is>
          <t>【渾身候補】IELTS 5.5→7.0 までの全記録ドキュメンタリー</t>
        </is>
      </c>
      <c r="C15" s="22" t="inlineStr">
        <is>
          <t>スコア検証実験</t>
        </is>
      </c>
      <c r="D15" s="22" t="inlineStr">
        <is>
          <t>長尺ドキュメンタリーが伸びるか</t>
        </is>
      </c>
      <c r="E15" s="22" t="inlineStr">
        <is>
          <t>学習ドキュメンタリー 120万回</t>
        </is>
      </c>
      <c r="F15" s="22" t="n">
        <v>4</v>
      </c>
      <c r="G15" s="22" t="n">
        <v>5</v>
      </c>
      <c r="H15" s="22" t="n">
        <v>1</v>
      </c>
      <c r="I15" s="17">
        <f>IF(COUNT(F15:H15)=3,SUM(F15:H15),"")</f>
        <v/>
      </c>
      <c r="J15" s="16">
        <f>IF(I15="","",RANK(I15,$I$7:$I$16))</f>
        <v/>
      </c>
      <c r="K15" s="22" t="inlineStr">
        <is>
          <t>スプリントでは作らず渾身の1本に回す</t>
        </is>
      </c>
      <c r="L15" s="16">
        <f>IF(I15="","",IF(H15&lt;=2,"簡略化 or 渾身候補へ",IF(I15&gt;=11,"採用候補","要ブラッシュアップ")))</f>
        <v/>
      </c>
    </row>
    <row r="16" ht="36" customHeight="1">
      <c r="A16" s="16" t="n">
        <v>10</v>
      </c>
      <c r="B16" s="41" t="n"/>
      <c r="C16" s="41" t="n"/>
      <c r="D16" s="41" t="n"/>
      <c r="E16" s="41" t="n"/>
      <c r="F16" s="41" t="n"/>
      <c r="G16" s="41" t="n"/>
      <c r="H16" s="41" t="n"/>
      <c r="I16" s="17">
        <f>IF(COUNT(F16:H16)=3,SUM(F16:H16),"")</f>
        <v/>
      </c>
      <c r="J16" s="16">
        <f>IF(I16="","",RANK(I16,$I$7:$I$16))</f>
        <v/>
      </c>
      <c r="K16" s="41" t="n"/>
      <c r="L16" s="16">
        <f>IF(I16="","",IF(H16&lt;=2,"簡略化 or 渾身候補へ",IF(I16&gt;=11,"採用候補","要ブラッシュアップ")))</f>
        <v/>
      </c>
    </row>
    <row r="18">
      <c r="A18" s="12" t="inlineStr">
        <is>
          <t>基準の問い</t>
        </is>
      </c>
    </row>
    <row r="19">
      <c r="A19" s="27" t="inlineStr">
        <is>
          <t>検証可能性：このアイデアでレシピの何がわかる？（このフォーマットを試したら？この雰囲気を強調したら？このターゲットにこの価値を出したら？）</t>
        </is>
      </c>
    </row>
    <row r="20">
      <c r="A20" s="27" t="inlineStr">
        <is>
          <t>再生ポテンシャル：目標再生数を既に出しているタイトル/サムネ/コンセプト（自他・ニッチ内外）を自分のレシピに通したか？</t>
        </is>
      </c>
    </row>
    <row r="21">
      <c r="A21" s="27" t="inlineStr">
        <is>
          <t>実現可能性：普段の2倍のペースで台本→撮影→編集→公開できる？無理なら簡略化できる？</t>
        </is>
      </c>
    </row>
    <row r="22">
      <c r="A22" s="27" t="inlineStr">
        <is>
          <t>※8本を超えて出してOK（10行用意）。上位8本を 05_スプリント管理 に転記。</t>
        </is>
      </c>
    </row>
  </sheetData>
  <conditionalFormatting sqref="I7:I16">
    <cfRule type="cellIs" priority="1" operator="greaterThanOrEqual" dxfId="0">
      <formula>11</formula>
    </cfRule>
  </conditionalFormatting>
  <conditionalFormatting sqref="H7:H16">
    <cfRule type="cellIs" priority="2" operator="lessThanOrEqual" dxfId="1">
      <formula>2</formula>
    </cfRule>
  </conditionalFormatting>
  <dataValidations count="2">
    <dataValidation sqref="F7:H16" showDropDown="0" showInputMessage="0" showErrorMessage="0" allowBlank="1" type="list">
      <formula1>"1,2,3,4,5"</formula1>
    </dataValidation>
    <dataValidation sqref="C7:C16" showDropDown="0" showInputMessage="0" showErrorMessage="0" allowBlank="1" type="list">
      <formula1>'03_動画レシピ'!$C$6:$E$6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  <col width="24" customWidth="1" min="4" max="4"/>
    <col width="10" customWidth="1" min="5" max="5"/>
  </cols>
  <sheetData>
    <row r="1">
      <c r="A1" s="1" t="inlineStr">
        <is>
          <t>あなたが考えないといけないこと 一覧</t>
        </is>
      </c>
    </row>
    <row r="2">
      <c r="A2" s="2" t="inlineStr">
        <is>
          <t>動画中の問いをすべて抜き出したチェックリスト。答えを書く場所は右の「記入先シート」。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4">
      <c r="C4" s="13">
        <f>COUNTIF(E6:E33,"✔")&amp;" / 28 考えた"</f>
        <v/>
      </c>
    </row>
    <row r="5" ht="32" customHeight="1">
      <c r="A5" s="3" t="inlineStr">
        <is>
          <t>週</t>
        </is>
      </c>
      <c r="B5" s="3" t="inlineStr">
        <is>
          <t>カテゴリ</t>
        </is>
      </c>
      <c r="C5" s="3" t="inlineStr">
        <is>
          <t>問い</t>
        </is>
      </c>
      <c r="D5" s="3" t="inlineStr">
        <is>
          <t>記入先シート</t>
        </is>
      </c>
      <c r="E5" s="3" t="inlineStr">
        <is>
          <t>考えた✔</t>
        </is>
      </c>
    </row>
    <row r="6">
      <c r="A6" s="16" t="inlineStr">
        <is>
          <t>W1</t>
        </is>
      </c>
      <c r="B6" s="16" t="inlineStr">
        <is>
          <t>決意</t>
        </is>
      </c>
      <c r="C6" s="23" t="inlineStr">
        <is>
          <t>90日後の目標は何か？（書き出す）</t>
        </is>
      </c>
      <c r="D6" s="23" t="inlineStr">
        <is>
          <t>01_決意表明</t>
        </is>
      </c>
      <c r="E6" s="38" t="n"/>
    </row>
    <row r="7">
      <c r="A7" s="16" t="inlineStr">
        <is>
          <t>W1</t>
        </is>
      </c>
      <c r="B7" s="16" t="inlineStr">
        <is>
          <t>決意</t>
        </is>
      </c>
      <c r="C7" s="23" t="inlineStr">
        <is>
          <t>誰に・どこで宣言するか？</t>
        </is>
      </c>
      <c r="D7" s="23" t="inlineStr">
        <is>
          <t>01_決意表明</t>
        </is>
      </c>
      <c r="E7" s="38" t="n"/>
    </row>
    <row r="8">
      <c r="A8" s="16" t="inlineStr">
        <is>
          <t>W2</t>
        </is>
      </c>
      <c r="B8" s="16" t="inlineStr">
        <is>
          <t>研究</t>
        </is>
      </c>
      <c r="C8" s="23" t="inlineStr">
        <is>
          <t>なぜこれが面白いと思ったのか？</t>
        </is>
      </c>
      <c r="D8" s="23" t="inlineStr">
        <is>
          <t>02_スワイプファイル</t>
        </is>
      </c>
      <c r="E8" s="38" t="n"/>
    </row>
    <row r="9">
      <c r="A9" s="16" t="inlineStr">
        <is>
          <t>W2</t>
        </is>
      </c>
      <c r="B9" s="16" t="inlineStr">
        <is>
          <t>研究</t>
        </is>
      </c>
      <c r="C9" s="23" t="inlineStr">
        <is>
          <t>なぜクリックしたのか？</t>
        </is>
      </c>
      <c r="D9" s="23" t="inlineStr">
        <is>
          <t>02_スワイプファイル</t>
        </is>
      </c>
      <c r="E9" s="38" t="n"/>
    </row>
    <row r="10">
      <c r="A10" s="16" t="inlineStr">
        <is>
          <t>W2</t>
        </is>
      </c>
      <c r="B10" s="16" t="inlineStr">
        <is>
          <t>研究</t>
        </is>
      </c>
      <c r="C10" s="23" t="inlineStr">
        <is>
          <t>なぜ開始30秒経っても見続けているのか？</t>
        </is>
      </c>
      <c r="D10" s="23" t="inlineStr">
        <is>
          <t>02_スワイプファイル</t>
        </is>
      </c>
      <c r="E10" s="38" t="n"/>
    </row>
    <row r="11">
      <c r="A11" s="16" t="inlineStr">
        <is>
          <t>W2</t>
        </is>
      </c>
      <c r="B11" s="16" t="inlineStr">
        <is>
          <t>研究</t>
        </is>
      </c>
      <c r="C11" s="23" t="inlineStr">
        <is>
          <t>音楽や照明によってどんな感情が湧くか？</t>
        </is>
      </c>
      <c r="D11" s="23" t="inlineStr">
        <is>
          <t>02_スワイプファイル</t>
        </is>
      </c>
      <c r="E11" s="38" t="n"/>
    </row>
    <row r="12">
      <c r="A12" s="16" t="inlineStr">
        <is>
          <t>W2</t>
        </is>
      </c>
      <c r="B12" s="16" t="inlineStr">
        <is>
          <t>研究</t>
        </is>
      </c>
      <c r="C12" s="23" t="inlineStr">
        <is>
          <t>どの時点で退屈・離脱したか、きっかけは何か？</t>
        </is>
      </c>
      <c r="D12" s="23" t="inlineStr">
        <is>
          <t>02_スワイプファイル</t>
        </is>
      </c>
      <c r="E12" s="38" t="n"/>
    </row>
    <row r="13">
      <c r="A13" s="16" t="inlineStr">
        <is>
          <t>W3</t>
        </is>
      </c>
      <c r="B13" s="16" t="inlineStr">
        <is>
          <t>レシピ</t>
        </is>
      </c>
      <c r="C13" s="23" t="inlineStr">
        <is>
          <t>誰のために動画を作っている？何に興味・悩みがある？普段何を見ている？</t>
        </is>
      </c>
      <c r="D13" s="23" t="inlineStr">
        <is>
          <t>03_動画レシピ</t>
        </is>
      </c>
      <c r="E13" s="38" t="n"/>
    </row>
    <row r="14">
      <c r="A14" s="16" t="inlineStr">
        <is>
          <t>W3</t>
        </is>
      </c>
      <c r="B14" s="16" t="inlineStr">
        <is>
          <t>レシピ</t>
        </is>
      </c>
      <c r="C14" s="23" t="inlineStr">
        <is>
          <t>視聴者は何を得られる？（行動・理解・孤独の緩和・娯楽・インスピレーション）</t>
        </is>
      </c>
      <c r="D14" s="23" t="inlineStr">
        <is>
          <t>03_動画レシピ</t>
        </is>
      </c>
      <c r="E14" s="38" t="n"/>
    </row>
    <row r="15">
      <c r="A15" s="16" t="inlineStr">
        <is>
          <t>W3</t>
        </is>
      </c>
      <c r="B15" s="16" t="inlineStr">
        <is>
          <t>レシピ</t>
        </is>
      </c>
      <c r="C15" s="23" t="inlineStr">
        <is>
          <t>その価値をどのフォーマットで届ける？</t>
        </is>
      </c>
      <c r="D15" s="23" t="inlineStr">
        <is>
          <t>03_動画レシピ</t>
        </is>
      </c>
      <c r="E15" s="38" t="n"/>
    </row>
    <row r="16">
      <c r="A16" s="16" t="inlineStr">
        <is>
          <t>W3</t>
        </is>
      </c>
      <c r="B16" s="16" t="inlineStr">
        <is>
          <t>レシピ</t>
        </is>
      </c>
      <c r="C16" s="23" t="inlineStr">
        <is>
          <t>動画はどんな気分にさせる？</t>
        </is>
      </c>
      <c r="D16" s="23" t="inlineStr">
        <is>
          <t>03_動画レシピ</t>
        </is>
      </c>
      <c r="E16" s="38" t="n"/>
    </row>
    <row r="17">
      <c r="A17" s="16" t="inlineStr">
        <is>
          <t>W3</t>
        </is>
      </c>
      <c r="B17" s="16" t="inlineStr">
        <is>
          <t>レシピ</t>
        </is>
      </c>
      <c r="C17" s="23" t="inlineStr">
        <is>
          <t>なぜ他の誰でもなく自分の動画を見るべき？</t>
        </is>
      </c>
      <c r="D17" s="23" t="inlineStr">
        <is>
          <t>03_動画レシピ</t>
        </is>
      </c>
      <c r="E17" s="38" t="n"/>
    </row>
    <row r="18">
      <c r="A18" s="16" t="inlineStr">
        <is>
          <t>W3</t>
        </is>
      </c>
      <c r="B18" s="16" t="inlineStr">
        <is>
          <t>レシピ</t>
        </is>
      </c>
      <c r="C18" s="23" t="inlineStr">
        <is>
          <t>自分が生まれつき得意なことは？スワイプで繰り返し出る要素は？</t>
        </is>
      </c>
      <c r="D18" s="23" t="inlineStr">
        <is>
          <t>03_動画レシピ</t>
        </is>
      </c>
      <c r="E18" s="38" t="n"/>
    </row>
    <row r="19">
      <c r="A19" s="16" t="inlineStr">
        <is>
          <t>W4</t>
        </is>
      </c>
      <c r="B19" s="16" t="inlineStr">
        <is>
          <t>アイデア</t>
        </is>
      </c>
      <c r="C19" s="23" t="inlineStr">
        <is>
          <t>このアイデアはレシピを洗練させるのに役立つか？</t>
        </is>
      </c>
      <c r="D19" s="23" t="inlineStr">
        <is>
          <t>04_アイデア8本</t>
        </is>
      </c>
      <c r="E19" s="38" t="n"/>
    </row>
    <row r="20">
      <c r="A20" s="16" t="inlineStr">
        <is>
          <t>W4</t>
        </is>
      </c>
      <c r="B20" s="16" t="inlineStr">
        <is>
          <t>アイデア</t>
        </is>
      </c>
      <c r="C20" s="23" t="inlineStr">
        <is>
          <t>大ヒットのきっかけになり得るか？（実績コンテンツがあるか）</t>
        </is>
      </c>
      <c r="D20" s="23" t="inlineStr">
        <is>
          <t>04_アイデア8本</t>
        </is>
      </c>
      <c r="E20" s="38" t="n"/>
    </row>
    <row r="21">
      <c r="A21" s="16" t="inlineStr">
        <is>
          <t>W4</t>
        </is>
      </c>
      <c r="B21" s="16" t="inlineStr">
        <is>
          <t>アイデア</t>
        </is>
      </c>
      <c r="C21" s="23" t="inlineStr">
        <is>
          <t>普段の2倍のペースで台本・撮影・編集・公開できるか？無理なら簡略化できるか？</t>
        </is>
      </c>
      <c r="D21" s="23" t="inlineStr">
        <is>
          <t>04_アイデア8本</t>
        </is>
      </c>
      <c r="E21" s="38" t="n"/>
    </row>
    <row r="22">
      <c r="A22" s="16" t="inlineStr">
        <is>
          <t>W5</t>
        </is>
      </c>
      <c r="B22" s="16" t="inlineStr">
        <is>
          <t>スプリント</t>
        </is>
      </c>
      <c r="C22" s="23" t="inlineStr">
        <is>
          <t>2回目の公開宣言をどこで何と言うか？</t>
        </is>
      </c>
      <c r="D22" s="23" t="inlineStr">
        <is>
          <t>01_決意表明</t>
        </is>
      </c>
      <c r="E22" s="38" t="n"/>
    </row>
    <row r="23">
      <c r="A23" s="16" t="inlineStr">
        <is>
          <t>W5-9</t>
        </is>
      </c>
      <c r="B23" s="16" t="inlineStr">
        <is>
          <t>制作</t>
        </is>
      </c>
      <c r="C23" s="23" t="inlineStr">
        <is>
          <t>この動画から学ぼうとしている、たった1つのことは何か？</t>
        </is>
      </c>
      <c r="D23" s="23" t="inlineStr">
        <is>
          <t>05_スプリント管理</t>
        </is>
      </c>
      <c r="E23" s="38" t="n"/>
    </row>
    <row r="24">
      <c r="A24" s="16" t="inlineStr">
        <is>
          <t>W5-9</t>
        </is>
      </c>
      <c r="B24" s="16" t="inlineStr">
        <is>
          <t>振り返り</t>
        </is>
      </c>
      <c r="C24" s="23" t="inlineStr">
        <is>
          <t>どのレシピを使った？何がうまくいった？</t>
        </is>
      </c>
      <c r="D24" s="23" t="inlineStr">
        <is>
          <t>07_投稿後振り返り</t>
        </is>
      </c>
      <c r="E24" s="38" t="n"/>
    </row>
    <row r="25">
      <c r="A25" s="16" t="inlineStr">
        <is>
          <t>W5-9</t>
        </is>
      </c>
      <c r="B25" s="16" t="inlineStr">
        <is>
          <t>振り返り</t>
        </is>
      </c>
      <c r="C25" s="23" t="inlineStr">
        <is>
          <t>次の動画で何を重点的に改善する？</t>
        </is>
      </c>
      <c r="D25" s="23" t="inlineStr">
        <is>
          <t>07_投稿後振り返り</t>
        </is>
      </c>
      <c r="E25" s="38" t="n"/>
    </row>
    <row r="26">
      <c r="A26" s="16" t="inlineStr">
        <is>
          <t>W5-9</t>
        </is>
      </c>
      <c r="B26" s="16" t="inlineStr">
        <is>
          <t>振り返り</t>
        </is>
      </c>
      <c r="C26" s="23" t="inlineStr">
        <is>
          <t>どんな新しいスキルを習得した？</t>
        </is>
      </c>
      <c r="D26" s="23" t="inlineStr">
        <is>
          <t>07_投稿後振り返り</t>
        </is>
      </c>
      <c r="E26" s="38" t="n"/>
    </row>
    <row r="27">
      <c r="A27" s="16" t="inlineStr">
        <is>
          <t>W5-9</t>
        </is>
      </c>
      <c r="B27" s="16" t="inlineStr">
        <is>
          <t>振り返り</t>
        </is>
      </c>
      <c r="C27" s="23" t="inlineStr">
        <is>
          <t>視聴者の反応はどうだった？</t>
        </is>
      </c>
      <c r="D27" s="23" t="inlineStr">
        <is>
          <t>07_投稿後振り返り</t>
        </is>
      </c>
      <c r="E27" s="38" t="n"/>
    </row>
    <row r="28">
      <c r="A28" s="16" t="inlineStr">
        <is>
          <t>W5-9</t>
        </is>
      </c>
      <c r="B28" s="16" t="inlineStr">
        <is>
          <t>振り返り</t>
        </is>
      </c>
      <c r="C28" s="23" t="inlineStr">
        <is>
          <t>もっと時間があったら何をしていた？</t>
        </is>
      </c>
      <c r="D28" s="23" t="inlineStr">
        <is>
          <t>07_投稿後振り返り</t>
        </is>
      </c>
      <c r="E28" s="38" t="n"/>
    </row>
    <row r="29">
      <c r="A29" s="16" t="inlineStr">
        <is>
          <t>W5-9</t>
        </is>
      </c>
      <c r="B29" s="16" t="inlineStr">
        <is>
          <t>共有</t>
        </is>
      </c>
      <c r="C29" s="23" t="inlineStr">
        <is>
          <t>進捗をどこで・どの頻度で共有する？</t>
        </is>
      </c>
      <c r="D29" s="23" t="inlineStr">
        <is>
          <t>05_スプリント管理</t>
        </is>
      </c>
      <c r="E29" s="38" t="n"/>
    </row>
    <row r="30">
      <c r="A30" s="16" t="inlineStr">
        <is>
          <t>W10-11</t>
        </is>
      </c>
      <c r="B30" s="16" t="inlineStr">
        <is>
          <t>渾身</t>
        </is>
      </c>
      <c r="C30" s="23" t="inlineStr">
        <is>
          <t>スプリントの学びをどう1本に全投入するか？</t>
        </is>
      </c>
      <c r="D30" s="23" t="inlineStr">
        <is>
          <t>08_渾身の1本</t>
        </is>
      </c>
      <c r="E30" s="38" t="n"/>
    </row>
    <row r="31">
      <c r="A31" s="16" t="inlineStr">
        <is>
          <t>W12</t>
        </is>
      </c>
      <c r="B31" s="16" t="inlineStr">
        <is>
          <t>総括</t>
        </is>
      </c>
      <c r="C31" s="23" t="inlineStr">
        <is>
          <t>量と質、それぞれ重視した時にどう感じたか？</t>
        </is>
      </c>
      <c r="D31" s="23" t="inlineStr">
        <is>
          <t>09_最終振り返り</t>
        </is>
      </c>
      <c r="E31" s="38" t="n"/>
    </row>
    <row r="32">
      <c r="A32" s="16" t="inlineStr">
        <is>
          <t>W12</t>
        </is>
      </c>
      <c r="B32" s="16" t="inlineStr">
        <is>
          <t>総括</t>
        </is>
      </c>
      <c r="C32" s="23" t="inlineStr">
        <is>
          <t>今後はどんなバランスでいきたいか？</t>
        </is>
      </c>
      <c r="D32" s="23" t="inlineStr">
        <is>
          <t>09_最終振り返り</t>
        </is>
      </c>
      <c r="E32" s="38" t="n"/>
    </row>
    <row r="33">
      <c r="A33" s="16" t="inlineStr">
        <is>
          <t>W12</t>
        </is>
      </c>
      <c r="B33" s="16" t="inlineStr">
        <is>
          <t>総括</t>
        </is>
      </c>
      <c r="C33" s="23" t="inlineStr">
        <is>
          <t>投稿スケジュールを元に戻す？変更する？</t>
        </is>
      </c>
      <c r="D33" s="23" t="inlineStr">
        <is>
          <t>09_最終振り返り</t>
        </is>
      </c>
      <c r="E33" s="38" t="n"/>
    </row>
  </sheetData>
  <dataValidations count="1">
    <dataValidation sqref="E6:E33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2026-09-25T01:27:24Z</dcterms:created>
  <dcterms:modified xsi:type="dcterms:W3CDTF">2026-09-25T01:27:24Z</dcterms:modified>
</cp:coreProperties>
</file>