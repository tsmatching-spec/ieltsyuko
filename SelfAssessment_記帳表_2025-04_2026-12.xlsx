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日次レート" sheetId="2" state="visible" r:id="rId4"/>
    <sheet name="年度集計" sheetId="3" state="visible" r:id="rId5"/>
    <sheet name="税額シミュレーション" sheetId="4" state="visible" r:id="rId6"/>
    <sheet name="2025-04" sheetId="5" state="visible" r:id="rId7"/>
    <sheet name="2025-05" sheetId="6" state="visible" r:id="rId8"/>
    <sheet name="2025-06" sheetId="7" state="visible" r:id="rId9"/>
    <sheet name="2025-07" sheetId="8" state="visible" r:id="rId10"/>
    <sheet name="2025-08" sheetId="9" state="visible" r:id="rId11"/>
    <sheet name="2025-09" sheetId="10" state="visible" r:id="rId12"/>
    <sheet name="2025-10" sheetId="11" state="visible" r:id="rId13"/>
    <sheet name="2025-11" sheetId="12" state="visible" r:id="rId14"/>
    <sheet name="2025-12" sheetId="13" state="visible" r:id="rId15"/>
    <sheet name="2026-01" sheetId="14" state="visible" r:id="rId16"/>
    <sheet name="2026-02" sheetId="15" state="visible" r:id="rId17"/>
    <sheet name="2026-03" sheetId="16" state="visible" r:id="rId18"/>
    <sheet name="2026-04" sheetId="17" state="visible" r:id="rId19"/>
    <sheet name="2026-05" sheetId="18" state="visible" r:id="rId20"/>
    <sheet name="2026-06" sheetId="19" state="visible" r:id="rId21"/>
    <sheet name="2026-07" sheetId="20" state="visible" r:id="rId22"/>
    <sheet name="2026-08" sheetId="21" state="visible" r:id="rId23"/>
    <sheet name="2026-09" sheetId="22" state="visible" r:id="rId24"/>
    <sheet name="2026-10" sheetId="23" state="visible" r:id="rId25"/>
    <sheet name="2026-11" sheetId="24" state="visible" r:id="rId26"/>
    <sheet name="2026-12" sheetId="25" state="visible" r:id="rId27"/>
    <sheet name="_list" sheetId="26" state="hidden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<sst xmlns="http://schemas.openxmlformats.org/spreadsheetml/2006/main" count="2079" uniqueCount="245">
  <si>
    <r>
      <rPr>
        <b val="true"/>
        <sz val="14"/>
        <color rgb="FF000000"/>
        <rFont val="Arial"/>
        <family val="0"/>
        <charset val="1"/>
      </rPr>
      <t xml:space="preserve">Self Assessment </t>
    </r>
    <r>
      <rPr>
        <b val="true"/>
        <sz val="14"/>
        <color rgb="FF000000"/>
        <rFont val="WenQuanYi Zen Hei"/>
        <family val="2"/>
      </rPr>
      <t xml:space="preserve">記帳表（</t>
    </r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4</t>
    </r>
    <r>
      <rPr>
        <b val="true"/>
        <sz val="14"/>
        <color rgb="FF000000"/>
        <rFont val="WenQuanYi Zen Hei"/>
        <family val="2"/>
      </rPr>
      <t xml:space="preserve">月〜</t>
    </r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12</t>
    </r>
    <r>
      <rPr>
        <b val="true"/>
        <sz val="14"/>
        <color rgb="FF000000"/>
        <rFont val="WenQuanYi Zen Hei"/>
        <family val="2"/>
      </rPr>
      <t xml:space="preserve">月）</t>
    </r>
  </si>
  <si>
    <r>
      <rPr>
        <sz val="10"/>
        <color rgb="FF000000"/>
        <rFont val="WenQuanYi Zen Hei"/>
        <family val="2"/>
      </rPr>
      <t xml:space="preserve">対象：英国のソールトレーダー（個人事業主）。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で収入を受け取り、日本円・米ドルで外注費などを払うケースに対応（その日のレートで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に換算）。</t>
    </r>
  </si>
  <si>
    <t xml:space="preserve">【タブの構成】</t>
  </si>
  <si>
    <t xml:space="preserve">使い方</t>
  </si>
  <si>
    <t xml:space="preserve">このシート</t>
  </si>
  <si>
    <t xml:space="preserve">日次レート</t>
  </si>
  <si>
    <r>
      <rPr>
        <sz val="10"/>
        <color rgb="FF000000"/>
        <rFont val="Arial"/>
        <family val="0"/>
        <charset val="1"/>
      </rPr>
      <t xml:space="preserve">2025/4/1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2026/12/31</t>
    </r>
    <r>
      <rPr>
        <sz val="10"/>
        <color rgb="FF000000"/>
        <rFont val="WenQuanYi Zen Hei"/>
        <family val="2"/>
      </rPr>
      <t xml:space="preserve">の日付ごとに、その日の </t>
    </r>
    <r>
      <rPr>
        <sz val="10"/>
        <color rgb="FF000000"/>
        <rFont val="Arial"/>
        <family val="0"/>
        <charset val="1"/>
      </rPr>
      <t xml:space="preserve">1£</t>
    </r>
    <r>
      <rPr>
        <sz val="10"/>
        <color rgb="FF000000"/>
        <rFont val="WenQuanYi Zen Hei"/>
        <family val="2"/>
      </rPr>
      <t xml:space="preserve">＝円 </t>
    </r>
    <r>
      <rPr>
        <sz val="10"/>
        <color rgb="FF000000"/>
        <rFont val="Arial"/>
        <family val="0"/>
        <charset val="1"/>
      </rPr>
      <t xml:space="preserve">/ 1£</t>
    </r>
    <r>
      <rPr>
        <sz val="10"/>
        <color rgb="FF000000"/>
        <rFont val="WenQuanYi Zen Hei"/>
        <family val="2"/>
      </rPr>
      <t xml:space="preserve">＝ドル を入力する表。取引のあった日だけ埋めればよい</t>
    </r>
  </si>
  <si>
    <t xml:space="preserve">年度集計</t>
  </si>
  <si>
    <r>
      <rPr>
        <sz val="10"/>
        <color rgb="FF000000"/>
        <rFont val="Arial"/>
        <family val="0"/>
        <charset val="1"/>
      </rPr>
      <t xml:space="preserve">2025/26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2026/27</t>
    </r>
    <r>
      <rPr>
        <sz val="10"/>
        <color rgb="FF000000"/>
        <rFont val="WenQuanYi Zen Hei"/>
        <family val="2"/>
      </rPr>
      <t xml:space="preserve">の税年度別に、</t>
    </r>
    <r>
      <rPr>
        <sz val="10"/>
        <color rgb="FF000000"/>
        <rFont val="Arial"/>
        <family val="0"/>
        <charset val="1"/>
      </rPr>
      <t xml:space="preserve">Tax return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SA103 </t>
    </r>
    <r>
      <rPr>
        <sz val="10"/>
        <color rgb="FF000000"/>
        <rFont val="WenQuanYi Zen Hei"/>
        <family val="2"/>
      </rPr>
      <t xml:space="preserve">自営欄）に入れる数字が自動で集まる</t>
    </r>
  </si>
  <si>
    <t xml:space="preserve">税額シミュレーション</t>
  </si>
  <si>
    <r>
      <rPr>
        <sz val="10"/>
        <color rgb="FF000000"/>
        <rFont val="WenQuanYi Zen Hei"/>
        <family val="2"/>
      </rPr>
      <t xml:space="preserve">純利益から所得税・</t>
    </r>
    <r>
      <rPr>
        <sz val="10"/>
        <color rgb="FF000000"/>
        <rFont val="Arial"/>
        <family val="0"/>
        <charset val="1"/>
      </rPr>
      <t xml:space="preserve">Class 4 NIC</t>
    </r>
    <r>
      <rPr>
        <sz val="10"/>
        <color rgb="FF000000"/>
        <rFont val="WenQuanYi Zen Hei"/>
        <family val="2"/>
      </rPr>
      <t xml:space="preserve">を概算。会社員としての給与（</t>
    </r>
    <r>
      <rPr>
        <sz val="10"/>
        <color rgb="FF000000"/>
        <rFont val="Arial"/>
        <family val="0"/>
        <charset val="1"/>
      </rPr>
      <t xml:space="preserve">P60</t>
    </r>
    <r>
      <rPr>
        <sz val="10"/>
        <color rgb="FF000000"/>
        <rFont val="WenQuanYi Zen Hei"/>
        <family val="2"/>
      </rPr>
      <t xml:space="preserve">）があればここに入力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</si>
  <si>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〜 </t>
    </r>
    <r>
      <rPr>
        <sz val="10"/>
        <color rgb="FF000000"/>
        <rFont val="Arial"/>
        <family val="0"/>
        <charset val="1"/>
      </rPr>
      <t xml:space="preserve">2026-12</t>
    </r>
  </si>
  <si>
    <r>
      <rPr>
        <sz val="10"/>
        <color rgb="FF000000"/>
        <rFont val="WenQuanYi Zen Hei"/>
        <family val="2"/>
      </rPr>
      <t xml:space="preserve">月ごとのタブ（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タブ）。収入と経費を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件で記入</t>
    </r>
  </si>
  <si>
    <t xml:space="preserve">【税年度について】</t>
  </si>
  <si>
    <t xml:space="preserve">英国の税年度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</si>
  <si>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日〜翌年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日。各行の「税年度」列が日付から自動判定されるので、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月タブに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日と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日以降が混在しても自動で振り分けられる</t>
    </r>
  </si>
  <si>
    <t xml:space="preserve">2025/26</t>
  </si>
  <si>
    <r>
      <rPr>
        <sz val="10"/>
        <color rgb="FF000000"/>
        <rFont val="Arial"/>
        <family val="0"/>
        <charset val="1"/>
      </rPr>
      <t xml:space="preserve">2025/4/6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2026/4/5</t>
    </r>
    <r>
      <rPr>
        <sz val="10"/>
        <color rgb="FF000000"/>
        <rFont val="WenQuanYi Zen Hei"/>
        <family val="2"/>
      </rPr>
      <t xml:space="preserve">。オンライン申告・納付期限：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日</t>
    </r>
  </si>
  <si>
    <t xml:space="preserve">2026/27</t>
  </si>
  <si>
    <r>
      <rPr>
        <sz val="10"/>
        <color rgb="FF000000"/>
        <rFont val="Arial"/>
        <family val="0"/>
        <charset val="1"/>
      </rPr>
      <t xml:space="preserve">2026/4/6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2027/4/5</t>
    </r>
    <r>
      <rPr>
        <sz val="10"/>
        <color rgb="FF000000"/>
        <rFont val="WenQuanYi Zen Hei"/>
        <family val="2"/>
      </rPr>
      <t xml:space="preserve">。このファイルは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月まで。申告期限：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日</t>
    </r>
  </si>
  <si>
    <t xml:space="preserve">【記録のルール】</t>
  </si>
  <si>
    <r>
      <rPr>
        <sz val="10"/>
        <color rgb="FF000000"/>
        <rFont val="Arial"/>
        <family val="0"/>
        <charset val="1"/>
      </rPr>
      <t xml:space="preserve">Cash basis</t>
    </r>
    <r>
      <rPr>
        <sz val="10"/>
        <color rgb="FF000000"/>
        <rFont val="WenQuanYi Zen Hei"/>
        <family val="2"/>
      </rPr>
      <t xml:space="preserve">（現金主義）</t>
    </r>
  </si>
  <si>
    <t xml:space="preserve">ソールトレーダーの既定方式。収入は入金した日、経費は支払った日で記録（請求書の日付ではない）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</si>
  <si>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件</t>
    </r>
  </si>
  <si>
    <r>
      <rPr>
        <sz val="10"/>
        <color rgb="FF000000"/>
        <rFont val="WenQuanYi Zen Hei"/>
        <family val="2"/>
      </rPr>
      <t xml:space="preserve">入金・支払い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件につき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行。レシートや明細の写真は日付順に保存しておく</t>
    </r>
  </si>
  <si>
    <t xml:space="preserve">事業使用率</t>
  </si>
  <si>
    <r>
      <rPr>
        <sz val="10"/>
        <color rgb="FF000000"/>
        <rFont val="WenQuanYi Zen Hei"/>
        <family val="2"/>
      </rPr>
      <t xml:space="preserve">仕事と私用で兼用するもの（スマホ、ネット等）は仕事の割合を入力（例：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）。空欄なら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として計算</t>
    </r>
  </si>
  <si>
    <t xml:space="preserve">領収書・明細</t>
  </si>
  <si>
    <r>
      <rPr>
        <sz val="10"/>
        <color rgb="FF000000"/>
        <rFont val="WenQuanYi Zen Hei"/>
        <family val="2"/>
      </rPr>
      <t xml:space="preserve">提出は不要だが、申告期限から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年間（</t>
    </r>
    <r>
      <rPr>
        <sz val="10"/>
        <color rgb="FF000000"/>
        <rFont val="Arial"/>
        <family val="0"/>
        <charset val="1"/>
      </rPr>
      <t xml:space="preserve">2025/26</t>
    </r>
    <r>
      <rPr>
        <sz val="10"/>
        <color rgb="FF000000"/>
        <rFont val="WenQuanYi Zen Hei"/>
        <family val="2"/>
      </rPr>
      <t xml:space="preserve">分は</t>
    </r>
    <r>
      <rPr>
        <sz val="10"/>
        <color rgb="FF000000"/>
        <rFont val="Arial"/>
        <family val="0"/>
        <charset val="1"/>
      </rPr>
      <t xml:space="preserve">2032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日まで）保管義務あり。写真・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でも</t>
    </r>
    <r>
      <rPr>
        <sz val="10"/>
        <color rgb="FF000000"/>
        <rFont val="Arial"/>
        <family val="0"/>
        <charset val="1"/>
      </rPr>
      <t xml:space="preserve">OK</t>
    </r>
  </si>
  <si>
    <t xml:space="preserve">色の意味</t>
  </si>
  <si>
    <r>
      <rPr>
        <sz val="10"/>
        <color rgb="FF000000"/>
        <rFont val="WenQuanYi Zen Hei"/>
        <family val="2"/>
      </rPr>
      <t xml:space="preserve">黄色＝記入するセル／緑＝自動計算（触らない）／</t>
    </r>
    <r>
      <rPr>
        <sz val="10"/>
        <color rgb="FF000000"/>
        <rFont val="Arial"/>
        <family val="0"/>
        <charset val="1"/>
      </rPr>
      <t xml:space="preserve">2025-04</t>
    </r>
    <r>
      <rPr>
        <sz val="10"/>
        <color rgb="FF000000"/>
        <rFont val="WenQuanYi Zen Hei"/>
        <family val="2"/>
      </rPr>
      <t xml:space="preserve">タブの「例」の行は確認後に削除</t>
    </r>
  </si>
  <si>
    <t xml:space="preserve">【円・ドルで払った（受け取った）お金の記入方法】</t>
  </si>
  <si>
    <t xml:space="preserve">通貨</t>
  </si>
  <si>
    <r>
      <rPr>
        <sz val="10"/>
        <color rgb="FF000000"/>
        <rFont val="Arial"/>
        <family val="0"/>
        <charset val="1"/>
      </rPr>
      <t xml:space="preserve">GBP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JPY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WenQuanYi Zen Hei"/>
        <family val="2"/>
      </rPr>
      <t xml:space="preserve">から選ぶ。「元の金額」には数字だけを入れる（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や円は付けない。例：</t>
    </r>
    <r>
      <rPr>
        <sz val="10"/>
        <color rgb="FF000000"/>
        <rFont val="Arial"/>
        <family val="0"/>
        <charset val="1"/>
      </rPr>
      <t xml:space="preserve">420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</si>
  <si>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① 実際の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額がわかる場合</t>
    </r>
  </si>
  <si>
    <r>
      <rPr>
        <sz val="10"/>
        <color rgb="FF000000"/>
        <rFont val="Arial"/>
        <family val="0"/>
        <charset val="1"/>
      </rPr>
      <t xml:space="preserve">Wise</t>
    </r>
    <r>
      <rPr>
        <sz val="10"/>
        <color rgb="FF000000"/>
        <rFont val="WenQuanYi Zen Hei"/>
        <family val="2"/>
      </rPr>
      <t xml:space="preserve">・銀行・カードの明細に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で引き落とされた額があれば「実際の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額」列に入力。これが最優先で使われる（実際のレートそのもの）</t>
    </r>
  </si>
  <si>
    <t xml:space="preserve">② 当日レートを入れる</t>
  </si>
  <si>
    <r>
      <rPr>
        <sz val="10"/>
        <color rgb="FF000000"/>
        <rFont val="WenQuanYi Zen Hei"/>
        <family val="2"/>
      </rPr>
      <t xml:space="preserve">「当日レート」列に、取引日の </t>
    </r>
    <r>
      <rPr>
        <sz val="10"/>
        <color rgb="FF000000"/>
        <rFont val="Arial"/>
        <family val="0"/>
        <charset val="1"/>
      </rPr>
      <t xml:space="preserve">1£</t>
    </r>
    <r>
      <rPr>
        <sz val="10"/>
        <color rgb="FF000000"/>
        <rFont val="WenQuanYi Zen Hei"/>
        <family val="2"/>
      </rPr>
      <t xml:space="preserve">＝円（または</t>
    </r>
    <r>
      <rPr>
        <sz val="10"/>
        <color rgb="FF000000"/>
        <rFont val="Arial"/>
        <family val="0"/>
        <charset val="1"/>
      </rPr>
      <t xml:space="preserve">1£</t>
    </r>
    <r>
      <rPr>
        <sz val="10"/>
        <color rgb="FF000000"/>
        <rFont val="WenQuanYi Zen Hei"/>
        <family val="2"/>
      </rPr>
      <t xml:space="preserve">＝ドル）を入力すると、その行だけそのレートで換算</t>
    </r>
  </si>
  <si>
    <t xml:space="preserve">③ 日次レート表を使う</t>
  </si>
  <si>
    <t xml:space="preserve">②が空欄なら「日次レート」タブで同じ日付の行のレートを自動で使う。同じ日に何件もあるときに便利</t>
  </si>
  <si>
    <t xml:space="preserve">レートが見つからない</t>
  </si>
  <si>
    <t xml:space="preserve">「レート未入力」と表示され、集計から外れる。各月タブ下の【チェック】欄で件数を確認できる</t>
  </si>
  <si>
    <t xml:space="preserve">レートの出典</t>
  </si>
  <si>
    <r>
      <rPr>
        <sz val="10"/>
        <color rgb="FF000000"/>
        <rFont val="WenQuanYi Zen Hei"/>
        <family val="2"/>
      </rPr>
      <t xml:space="preserve">銀行・</t>
    </r>
    <r>
      <rPr>
        <sz val="10"/>
        <color rgb="FF000000"/>
        <rFont val="Arial"/>
        <family val="0"/>
        <charset val="1"/>
      </rPr>
      <t xml:space="preserve">Wise</t>
    </r>
    <r>
      <rPr>
        <sz val="10"/>
        <color rgb="FF000000"/>
        <rFont val="WenQuanYi Zen Hei"/>
        <family val="2"/>
      </rPr>
      <t xml:space="preserve">の実レート、または</t>
    </r>
    <r>
      <rPr>
        <sz val="10"/>
        <color rgb="FF000000"/>
        <rFont val="Arial"/>
        <family val="0"/>
        <charset val="1"/>
      </rPr>
      <t xml:space="preserve">xe.com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Arial"/>
        <family val="0"/>
        <charset val="1"/>
      </rPr>
      <t xml:space="preserve">Bank of England</t>
    </r>
    <r>
      <rPr>
        <sz val="10"/>
        <color rgb="FF000000"/>
        <rFont val="WenQuanYi Zen Hei"/>
        <family val="2"/>
      </rPr>
      <t xml:space="preserve">等の公表レート。</t>
    </r>
    <r>
      <rPr>
        <sz val="10"/>
        <color rgb="FF000000"/>
        <rFont val="Arial"/>
        <family val="0"/>
        <charset val="1"/>
      </rPr>
      <t xml:space="preserve">HMRC</t>
    </r>
    <r>
      <rPr>
        <sz val="10"/>
        <color rgb="FF000000"/>
        <rFont val="WenQuanYi Zen Hei"/>
        <family val="2"/>
      </rPr>
      <t xml:space="preserve">は毎回同じ方法で換算していれば認める</t>
    </r>
  </si>
  <si>
    <t xml:space="preserve">手数料</t>
  </si>
  <si>
    <t xml:space="preserve">送金手数料は別の行で「銀行・カード・送金手数料」に記入</t>
  </si>
  <si>
    <t xml:space="preserve">開業前の費用</t>
  </si>
  <si>
    <r>
      <rPr>
        <sz val="10"/>
        <color rgb="FF000000"/>
        <rFont val="Arial"/>
        <family val="0"/>
        <charset val="1"/>
      </rPr>
      <t xml:space="preserve">2025/4/5</t>
    </r>
    <r>
      <rPr>
        <sz val="10"/>
        <color rgb="FF000000"/>
        <rFont val="WenQuanYi Zen Hei"/>
        <family val="2"/>
      </rPr>
      <t xml:space="preserve">以前に払った開業準備の費用も、初年度（</t>
    </r>
    <r>
      <rPr>
        <sz val="10"/>
        <color rgb="FF000000"/>
        <rFont val="Arial"/>
        <family val="0"/>
        <charset val="1"/>
      </rPr>
      <t xml:space="preserve">2025/26</t>
    </r>
    <r>
      <rPr>
        <sz val="10"/>
        <color rgb="FF000000"/>
        <rFont val="WenQuanYi Zen Hei"/>
        <family val="2"/>
      </rPr>
      <t xml:space="preserve">）の経費として自動で集計（開業前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年以内の準備費用は初日に払ったものとみなされるため）</t>
    </r>
  </si>
  <si>
    <t xml:space="preserve">カテゴリ</t>
  </si>
  <si>
    <r>
      <rPr>
        <sz val="10"/>
        <color rgb="FF000000"/>
        <rFont val="WenQuanYi Zen Hei"/>
        <family val="2"/>
      </rPr>
      <t xml:space="preserve">日本の外注先（デザイナー、翻訳者など）への支払いは「外注費・仕入」。</t>
    </r>
    <r>
      <rPr>
        <sz val="10"/>
        <color rgb="FF000000"/>
        <rFont val="Arial"/>
        <family val="0"/>
        <charset val="1"/>
      </rPr>
      <t xml:space="preserve">SA103</t>
    </r>
    <r>
      <rPr>
        <sz val="10"/>
        <color rgb="FF000000"/>
        <rFont val="WenQuanYi Zen Hei"/>
        <family val="2"/>
      </rPr>
      <t xml:space="preserve">では </t>
    </r>
    <r>
      <rPr>
        <sz val="10"/>
        <color rgb="FF000000"/>
        <rFont val="Arial"/>
        <family val="0"/>
        <charset val="1"/>
      </rPr>
      <t xml:space="preserve">Costs of goods bought for resale or goods used </t>
    </r>
    <r>
      <rPr>
        <sz val="10"/>
        <color rgb="FF000000"/>
        <rFont val="WenQuanYi Zen Hei"/>
        <family val="2"/>
      </rPr>
      <t xml:space="preserve">欄に入る</t>
    </r>
  </si>
  <si>
    <r>
      <rPr>
        <b val="true"/>
        <sz val="10"/>
        <color rgb="FF000000"/>
        <rFont val="WenQuanYi Zen Hei"/>
        <family val="2"/>
      </rPr>
      <t xml:space="preserve">【カテゴリと</t>
    </r>
    <r>
      <rPr>
        <b val="true"/>
        <sz val="10"/>
        <color rgb="FF000000"/>
        <rFont val="Arial"/>
        <family val="0"/>
        <charset val="1"/>
      </rPr>
      <t xml:space="preserve">Tax return</t>
    </r>
    <r>
      <rPr>
        <b val="true"/>
        <sz val="10"/>
        <color rgb="FF000000"/>
        <rFont val="WenQuanYi Zen Hei"/>
        <family val="2"/>
      </rPr>
      <t xml:space="preserve">の欄の対応】</t>
    </r>
  </si>
  <si>
    <t xml:space="preserve">外注費・仕入</t>
  </si>
  <si>
    <r>
      <rPr>
        <sz val="10"/>
        <color rgb="FF000000"/>
        <rFont val="Arial"/>
        <family val="0"/>
        <charset val="1"/>
      </rPr>
      <t xml:space="preserve">Costs of goods bought for resale or goods used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CIS</t>
    </r>
    <r>
      <rPr>
        <sz val="10"/>
        <color rgb="FF000000"/>
        <rFont val="WenQuanYi Zen Hei"/>
        <family val="2"/>
      </rPr>
      <t xml:space="preserve">以外の外注費を含む）</t>
    </r>
  </si>
  <si>
    <t xml:space="preserve">給与・スタッフ費</t>
  </si>
  <si>
    <t xml:space="preserve">Wages, salaries and other staff costs</t>
  </si>
  <si>
    <t xml:space="preserve">交通費・車両費</t>
  </si>
  <si>
    <t xml:space="preserve">Car, van and travel expenses</t>
  </si>
  <si>
    <t xml:space="preserve">家賃・光熱費・保険（自宅オフィス含む）</t>
  </si>
  <si>
    <t xml:space="preserve">Rent, rates, power and insurance costs</t>
  </si>
  <si>
    <t xml:space="preserve">修繕・メンテナンス</t>
  </si>
  <si>
    <t xml:space="preserve">Repairs and maintenance of property and equipment</t>
  </si>
  <si>
    <t xml:space="preserve">通信・事務・ソフトウェア</t>
  </si>
  <si>
    <t xml:space="preserve">Phone, fax, stationery and other office costs</t>
  </si>
  <si>
    <t xml:space="preserve">広告・マーケティング</t>
  </si>
  <si>
    <r>
      <rPr>
        <sz val="10"/>
        <color rgb="FF000000"/>
        <rFont val="Arial"/>
        <family val="0"/>
        <charset val="1"/>
      </rPr>
      <t xml:space="preserve">Advertising and business entertainment costs</t>
    </r>
    <r>
      <rPr>
        <sz val="10"/>
        <color rgb="FF000000"/>
        <rFont val="WenQuanYi Zen Hei"/>
        <family val="2"/>
      </rPr>
      <t xml:space="preserve">（接待費は不可）</t>
    </r>
  </si>
  <si>
    <t xml:space="preserve">借入金の利息</t>
  </si>
  <si>
    <t xml:space="preserve">Interest on bank and other loans</t>
  </si>
  <si>
    <t xml:space="preserve">銀行・カード・送金手数料</t>
  </si>
  <si>
    <t xml:space="preserve">Bank, credit card and other financial charges</t>
  </si>
  <si>
    <t xml:space="preserve">会計・法律・専門家費用</t>
  </si>
  <si>
    <t xml:space="preserve">Accountancy, legal and other professional fees</t>
  </si>
  <si>
    <t xml:space="preserve">研修・教材・書籍</t>
  </si>
  <si>
    <t xml:space="preserve">Other allowable business expenses</t>
  </si>
  <si>
    <t xml:space="preserve">その他経費</t>
  </si>
  <si>
    <r>
      <rPr>
        <sz val="10"/>
        <color rgb="FF000000"/>
        <rFont val="WenQuanYi Zen Hei"/>
        <family val="2"/>
      </rPr>
      <t xml:space="preserve">機材（資本的支出・</t>
    </r>
    <r>
      <rPr>
        <sz val="10"/>
        <color rgb="FF000000"/>
        <rFont val="Arial"/>
        <family val="0"/>
        <charset val="1"/>
      </rPr>
      <t xml:space="preserve">AIA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</si>
  <si>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Annual Investment Allowance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Capital allowances</t>
    </r>
    <r>
      <rPr>
        <sz val="10"/>
        <color rgb="FF000000"/>
        <rFont val="WenQuanYi Zen Hei"/>
        <family val="2"/>
      </rPr>
      <t xml:space="preserve">欄。経費欄ではない）</t>
    </r>
  </si>
  <si>
    <t xml:space="preserve">【経費にできないもの】</t>
  </si>
  <si>
    <t xml:space="preserve">私的な支出</t>
  </si>
  <si>
    <t xml:space="preserve">食事（通常の昼食など）、私用の服、通勤費（自宅→常設の職場）</t>
  </si>
  <si>
    <t xml:space="preserve">罰金・接待</t>
  </si>
  <si>
    <t xml:space="preserve">駐車違反の罰金、顧客の接待費</t>
  </si>
  <si>
    <t xml:space="preserve">税金</t>
  </si>
  <si>
    <r>
      <rPr>
        <sz val="10"/>
        <color rgb="FF000000"/>
        <rFont val="WenQuanYi Zen Hei"/>
        <family val="2"/>
      </rPr>
      <t xml:space="preserve">所得税・</t>
    </r>
    <r>
      <rPr>
        <sz val="10"/>
        <color rgb="FF000000"/>
        <rFont val="Arial"/>
        <family val="0"/>
        <charset val="1"/>
      </rPr>
      <t xml:space="preserve">NIC</t>
    </r>
    <r>
      <rPr>
        <sz val="10"/>
        <color rgb="FF000000"/>
        <rFont val="WenQuanYi Zen Hei"/>
        <family val="2"/>
      </rPr>
      <t xml:space="preserve">自体は経費にならない</t>
    </r>
  </si>
  <si>
    <r>
      <rPr>
        <sz val="10"/>
        <color rgb="FF595959"/>
        <rFont val="WenQuanYi Zen Hei"/>
        <family val="2"/>
      </rPr>
      <t xml:space="preserve">出典：</t>
    </r>
    <r>
      <rPr>
        <sz val="10"/>
        <color rgb="FF595959"/>
        <rFont val="Arial"/>
        <family val="0"/>
        <charset val="1"/>
      </rPr>
      <t xml:space="preserve">GOV.UK Self Assessment / Expenses if you're self-employed / Trading allowance</t>
    </r>
    <r>
      <rPr>
        <sz val="10"/>
        <color rgb="FF595959"/>
        <rFont val="WenQuanYi Zen Hei"/>
        <family val="2"/>
      </rPr>
      <t xml:space="preserve">（</t>
    </r>
    <r>
      <rPr>
        <sz val="10"/>
        <color rgb="FF595959"/>
        <rFont val="Arial"/>
        <family val="0"/>
        <charset val="1"/>
      </rPr>
      <t xml:space="preserve">gov.uk</t>
    </r>
    <r>
      <rPr>
        <sz val="10"/>
        <color rgb="FF595959"/>
        <rFont val="WenQuanYi Zen Hei"/>
        <family val="2"/>
      </rPr>
      <t xml:space="preserve">）。税額は概算で、正式な計算は</t>
    </r>
    <r>
      <rPr>
        <sz val="10"/>
        <color rgb="FF595959"/>
        <rFont val="Arial"/>
        <family val="0"/>
        <charset val="1"/>
      </rPr>
      <t xml:space="preserve">HMRC</t>
    </r>
    <r>
      <rPr>
        <sz val="10"/>
        <color rgb="FF595959"/>
        <rFont val="WenQuanYi Zen Hei"/>
        <family val="2"/>
      </rPr>
      <t xml:space="preserve">が行います。</t>
    </r>
  </si>
  <si>
    <t xml:space="preserve">日次レート（その日の為替レート）</t>
  </si>
  <si>
    <r>
      <rPr>
        <sz val="10"/>
        <color rgb="FF000000"/>
        <rFont val="WenQuanYi Zen Hei"/>
        <family val="2"/>
      </rPr>
      <t xml:space="preserve">取引があった日の行に、その日のレートを入力（</t>
    </r>
    <r>
      <rPr>
        <sz val="10"/>
        <color rgb="FF000000"/>
        <rFont val="Arial"/>
        <family val="0"/>
        <charset val="1"/>
      </rPr>
      <t xml:space="preserve">1£</t>
    </r>
    <r>
      <rPr>
        <sz val="10"/>
        <color rgb="FF000000"/>
        <rFont val="WenQuanYi Zen Hei"/>
        <family val="2"/>
      </rPr>
      <t xml:space="preserve">＝何円／</t>
    </r>
    <r>
      <rPr>
        <sz val="10"/>
        <color rgb="FF000000"/>
        <rFont val="Arial"/>
        <family val="0"/>
        <charset val="1"/>
      </rPr>
      <t xml:space="preserve">1£</t>
    </r>
    <r>
      <rPr>
        <sz val="10"/>
        <color rgb="FF000000"/>
        <rFont val="WenQuanYi Zen Hei"/>
        <family val="2"/>
      </rPr>
      <t xml:space="preserve">＝何ドル）。取引のない日は空欄で</t>
    </r>
    <r>
      <rPr>
        <sz val="10"/>
        <color rgb="FF000000"/>
        <rFont val="Arial"/>
        <family val="0"/>
        <charset val="1"/>
      </rPr>
      <t xml:space="preserve">OK</t>
    </r>
    <r>
      <rPr>
        <sz val="10"/>
        <color rgb="FF000000"/>
        <rFont val="WenQuanYi Zen Hei"/>
        <family val="2"/>
      </rPr>
      <t xml:space="preserve">。月タブの「当日レート」列に直接入れても可（そちらが優先）。</t>
    </r>
  </si>
  <si>
    <t xml:space="preserve">日付</t>
  </si>
  <si>
    <t xml:space="preserve">曜日</t>
  </si>
  <si>
    <r>
      <rPr>
        <b val="true"/>
        <sz val="10"/>
        <color rgb="FFFFFFFF"/>
        <rFont val="Arial"/>
        <family val="0"/>
        <charset val="1"/>
      </rPr>
      <t xml:space="preserve">1£</t>
    </r>
    <r>
      <rPr>
        <b val="true"/>
        <sz val="10"/>
        <color rgb="FFFFFFFF"/>
        <rFont val="WenQuanYi Zen Hei"/>
        <family val="2"/>
      </rPr>
      <t xml:space="preserve">＝円（</t>
    </r>
    <r>
      <rPr>
        <b val="true"/>
        <sz val="10"/>
        <color rgb="FFFFFFFF"/>
        <rFont val="Arial"/>
        <family val="0"/>
        <charset val="1"/>
      </rPr>
      <t xml:space="preserve">JPY</t>
    </r>
    <r>
      <rPr>
        <b val="true"/>
        <sz val="10"/>
        <color rgb="FFFFFFFF"/>
        <rFont val="WenQuanYi Zen Hei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</si>
  <si>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1£</t>
    </r>
    <r>
      <rPr>
        <b val="true"/>
        <sz val="10"/>
        <color rgb="FFFFFFFF"/>
        <rFont val="WenQuanYi Zen Hei"/>
        <family val="2"/>
      </rPr>
      <t xml:space="preserve">＝ドル（</t>
    </r>
    <r>
      <rPr>
        <b val="true"/>
        <sz val="10"/>
        <color rgb="FFFFFFFF"/>
        <rFont val="Arial"/>
        <family val="0"/>
        <charset val="1"/>
      </rPr>
      <t xml:space="preserve">USD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</si>
  <si>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出典・メモ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</si>
  <si>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</si>
  <si>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</si>
  <si>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</si>
  <si>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</si>
  <si>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</si>
  <si>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日</t>
  </si>
  <si>
    <t xml:space="preserve">月</t>
  </si>
  <si>
    <r>
      <rPr>
        <b val="true"/>
        <sz val="14"/>
        <color rgb="FF000000"/>
        <rFont val="WenQuanYi Zen Hei"/>
        <family val="2"/>
      </rPr>
      <t xml:space="preserve">年度集計（</t>
    </r>
    <r>
      <rPr>
        <b val="true"/>
        <sz val="14"/>
        <color rgb="FF000000"/>
        <rFont val="Arial"/>
        <family val="0"/>
        <charset val="1"/>
      </rPr>
      <t xml:space="preserve">Tax return</t>
    </r>
    <r>
      <rPr>
        <b val="true"/>
        <sz val="14"/>
        <color rgb="FF000000"/>
        <rFont val="WenQuanYi Zen Hei"/>
        <family val="2"/>
      </rPr>
      <t xml:space="preserve">用）</t>
    </r>
  </si>
  <si>
    <r>
      <rPr>
        <sz val="10"/>
        <color rgb="FF000000"/>
        <rFont val="WenQuanYi Zen Hei"/>
        <family val="2"/>
      </rPr>
      <t xml:space="preserve">すべて自動計算。各月タブの「月まとめ」から集まります。</t>
    </r>
    <r>
      <rPr>
        <sz val="10"/>
        <color rgb="FF000000"/>
        <rFont val="Arial"/>
        <family val="0"/>
        <charset val="1"/>
      </rPr>
      <t xml:space="preserve">2026/27</t>
    </r>
    <r>
      <rPr>
        <sz val="10"/>
        <color rgb="FF000000"/>
        <rFont val="WenQuanYi Zen Hei"/>
        <family val="2"/>
      </rPr>
      <t xml:space="preserve">は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月分までの途中集計です。</t>
    </r>
  </si>
  <si>
    <r>
      <rPr>
        <b val="true"/>
        <sz val="10"/>
        <color rgb="FFFFFFFF"/>
        <rFont val="WenQuanYi Zen Hei"/>
        <family val="2"/>
      </rPr>
      <t xml:space="preserve">収入 </t>
    </r>
    <r>
      <rPr>
        <b val="true"/>
        <sz val="10"/>
        <color rgb="FFFFFFFF"/>
        <rFont val="Arial"/>
        <family val="0"/>
        <charset val="1"/>
      </rPr>
      <t xml:space="preserve">2025/26</t>
    </r>
  </si>
  <si>
    <r>
      <rPr>
        <b val="true"/>
        <sz val="10"/>
        <color rgb="FFFFFFFF"/>
        <rFont val="WenQuanYi Zen Hei"/>
        <family val="2"/>
      </rPr>
      <t xml:space="preserve">経費 </t>
    </r>
    <r>
      <rPr>
        <b val="true"/>
        <sz val="10"/>
        <color rgb="FFFFFFFF"/>
        <rFont val="Arial"/>
        <family val="0"/>
        <charset val="1"/>
      </rPr>
      <t xml:space="preserve">2025/26</t>
    </r>
  </si>
  <si>
    <r>
      <rPr>
        <b val="true"/>
        <sz val="10"/>
        <color rgb="FFFFFFFF"/>
        <rFont val="WenQuanYi Zen Hei"/>
        <family val="2"/>
      </rPr>
      <t xml:space="preserve">収入 </t>
    </r>
    <r>
      <rPr>
        <b val="true"/>
        <sz val="10"/>
        <color rgb="FFFFFFFF"/>
        <rFont val="Arial"/>
        <family val="0"/>
        <charset val="1"/>
      </rPr>
      <t xml:space="preserve">2026/27</t>
    </r>
  </si>
  <si>
    <r>
      <rPr>
        <b val="true"/>
        <sz val="10"/>
        <color rgb="FFFFFFFF"/>
        <rFont val="WenQuanYi Zen Hei"/>
        <family val="2"/>
      </rPr>
      <t xml:space="preserve">経費 </t>
    </r>
    <r>
      <rPr>
        <b val="true"/>
        <sz val="10"/>
        <color rgb="FFFFFFFF"/>
        <rFont val="Arial"/>
        <family val="0"/>
        <charset val="1"/>
      </rPr>
      <t xml:space="preserve">2026/27</t>
    </r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</si>
  <si>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</si>
  <si>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</si>
  <si>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</si>
  <si>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</si>
  <si>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</si>
  <si>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</si>
  <si>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</si>
  <si>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</si>
  <si>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</si>
  <si>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</si>
  <si>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</si>
  <si>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</si>
  <si>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</si>
  <si>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</si>
  <si>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</si>
  <si>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</si>
  <si>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</si>
  <si>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</si>
  <si>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</si>
  <si>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</si>
  <si>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</si>
  <si>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r>
      <rPr>
        <sz val="10"/>
        <color rgb="FF595959"/>
        <rFont val="WenQuanYi Zen Hei"/>
        <family val="2"/>
      </rPr>
      <t xml:space="preserve">※経費列は機材（</t>
    </r>
    <r>
      <rPr>
        <sz val="10"/>
        <color rgb="FF595959"/>
        <rFont val="Arial"/>
        <family val="0"/>
        <charset val="1"/>
      </rPr>
      <t xml:space="preserve">AIA</t>
    </r>
    <r>
      <rPr>
        <sz val="10"/>
        <color rgb="FF595959"/>
        <rFont val="WenQuanYi Zen Hei"/>
        <family val="2"/>
      </rPr>
      <t xml:space="preserve">）を含む</t>
    </r>
  </si>
  <si>
    <t xml:space="preserve">合計</t>
  </si>
  <si>
    <r>
      <rPr>
        <b val="true"/>
        <sz val="12"/>
        <color rgb="FF000000"/>
        <rFont val="WenQuanYi Zen Hei"/>
        <family val="2"/>
      </rPr>
      <t xml:space="preserve">【</t>
    </r>
    <r>
      <rPr>
        <b val="true"/>
        <sz val="12"/>
        <color rgb="FF000000"/>
        <rFont val="Arial"/>
        <family val="0"/>
        <charset val="1"/>
      </rPr>
      <t xml:space="preserve">SA103</t>
    </r>
    <r>
      <rPr>
        <b val="true"/>
        <sz val="12"/>
        <color rgb="FF000000"/>
        <rFont val="WenQuanYi Zen Hei"/>
        <family val="2"/>
      </rPr>
      <t xml:space="preserve">（自営業）に入力する数字】</t>
    </r>
  </si>
  <si>
    <r>
      <rPr>
        <b val="true"/>
        <sz val="10"/>
        <color rgb="FFFFFFFF"/>
        <rFont val="Arial"/>
        <family val="0"/>
        <charset val="1"/>
      </rPr>
      <t xml:space="preserve">SA103</t>
    </r>
    <r>
      <rPr>
        <b val="true"/>
        <sz val="10"/>
        <color rgb="FFFFFFFF"/>
        <rFont val="WenQuanYi Zen Hei"/>
        <family val="2"/>
      </rPr>
      <t xml:space="preserve">の欄（英語表記）</t>
    </r>
  </si>
  <si>
    <r>
      <rPr>
        <b val="true"/>
        <sz val="10"/>
        <color rgb="FF000000"/>
        <rFont val="Arial"/>
        <family val="0"/>
        <charset val="1"/>
      </rPr>
      <t xml:space="preserve">Turnover</t>
    </r>
    <r>
      <rPr>
        <b val="true"/>
        <sz val="10"/>
        <color rgb="FF000000"/>
        <rFont val="WenQuanYi Zen Hei"/>
        <family val="2"/>
      </rPr>
      <t xml:space="preserve">（売上・入金の合計）</t>
    </r>
  </si>
  <si>
    <t xml:space="preserve">Your turnover – the takings, fees, sales or money earned by your business</t>
  </si>
  <si>
    <t xml:space="preserve">  外注費・仕入</t>
  </si>
  <si>
    <t xml:space="preserve">  給与・スタッフ費</t>
  </si>
  <si>
    <t xml:space="preserve">  交通費・車両費</t>
  </si>
  <si>
    <t xml:space="preserve">  家賃・光熱費・保険（自宅オフィス含む）</t>
  </si>
  <si>
    <t xml:space="preserve">  修繕・メンテナンス</t>
  </si>
  <si>
    <t xml:space="preserve">  通信・事務・ソフトウェア</t>
  </si>
  <si>
    <t xml:space="preserve">  広告・マーケティング</t>
  </si>
  <si>
    <t xml:space="preserve">  借入金の利息</t>
  </si>
  <si>
    <t xml:space="preserve">  銀行・カード・送金手数料</t>
  </si>
  <si>
    <t xml:space="preserve">  会計・法律・専門家費用</t>
  </si>
  <si>
    <t xml:space="preserve">  研修・教材・書籍</t>
  </si>
  <si>
    <t xml:space="preserve">  その他経費</t>
  </si>
  <si>
    <r>
      <rPr>
        <b val="true"/>
        <sz val="10"/>
        <color rgb="FF000000"/>
        <rFont val="Arial"/>
        <family val="0"/>
        <charset val="1"/>
      </rPr>
      <t xml:space="preserve">Total allowable expenses</t>
    </r>
    <r>
      <rPr>
        <b val="true"/>
        <sz val="10"/>
        <color rgb="FF000000"/>
        <rFont val="WenQuanYi Zen Hei"/>
        <family val="2"/>
      </rPr>
      <t xml:space="preserve">（経費合計）</t>
    </r>
  </si>
  <si>
    <r>
      <rPr>
        <sz val="10"/>
        <color rgb="FF000000"/>
        <rFont val="WenQuanYi Zen Hei"/>
        <family val="2"/>
      </rPr>
      <t xml:space="preserve">売上が</t>
    </r>
    <r>
      <rPr>
        <sz val="10"/>
        <color rgb="FF000000"/>
        <rFont val="Arial"/>
        <family val="0"/>
        <charset val="1"/>
      </rPr>
      <t xml:space="preserve">£90,000</t>
    </r>
    <r>
      <rPr>
        <sz val="10"/>
        <color rgb="FF000000"/>
        <rFont val="WenQuanYi Zen Hei"/>
        <family val="2"/>
      </rPr>
      <t xml:space="preserve">未満なら、カテゴリ別ではなくこの合計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つだけの入力でも可</t>
    </r>
  </si>
  <si>
    <r>
      <rPr>
        <b val="true"/>
        <sz val="10"/>
        <color rgb="FF000000"/>
        <rFont val="Arial"/>
        <family val="0"/>
        <charset val="1"/>
      </rPr>
      <t xml:space="preserve">Capital allowances</t>
    </r>
    <r>
      <rPr>
        <b val="true"/>
        <sz val="10"/>
        <color rgb="FF000000"/>
        <rFont val="WenQuanYi Zen Hei"/>
        <family val="2"/>
      </rPr>
      <t xml:space="preserve">（機材・</t>
    </r>
    <r>
      <rPr>
        <b val="true"/>
        <sz val="10"/>
        <color rgb="FF000000"/>
        <rFont val="Arial"/>
        <family val="0"/>
        <charset val="1"/>
      </rPr>
      <t xml:space="preserve">AIA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</si>
  <si>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Net profit</t>
    </r>
    <r>
      <rPr>
        <b val="true"/>
        <sz val="10"/>
        <color rgb="FF000000"/>
        <rFont val="WenQuanYi Zen Hei"/>
        <family val="2"/>
      </rPr>
      <t xml:space="preserve">（純利益）</t>
    </r>
  </si>
  <si>
    <r>
      <rPr>
        <sz val="10"/>
        <color rgb="FF000000"/>
        <rFont val="WenQuanYi Zen Hei"/>
        <family val="2"/>
      </rPr>
      <t xml:space="preserve">マイナスの場合は </t>
    </r>
    <r>
      <rPr>
        <sz val="10"/>
        <color rgb="FF000000"/>
        <rFont val="Arial"/>
        <family val="0"/>
        <charset val="1"/>
      </rPr>
      <t xml:space="preserve">Loss</t>
    </r>
    <r>
      <rPr>
        <sz val="10"/>
        <color rgb="FF000000"/>
        <rFont val="WenQuanYi Zen Hei"/>
        <family val="2"/>
      </rPr>
      <t xml:space="preserve">（損失）として申告</t>
    </r>
  </si>
  <si>
    <t xml:space="preserve">【チェック】</t>
  </si>
  <si>
    <r>
      <rPr>
        <sz val="10"/>
        <color rgb="FF000000"/>
        <rFont val="Arial"/>
        <family val="0"/>
        <charset val="1"/>
      </rPr>
      <t xml:space="preserve">Trading allowance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£1,000</t>
    </r>
    <r>
      <rPr>
        <sz val="10"/>
        <color rgb="FF000000"/>
        <rFont val="WenQuanYi Zen Hei"/>
        <family val="2"/>
      </rPr>
      <t xml:space="preserve">定額控除）との比較</t>
    </r>
  </si>
  <si>
    <r>
      <rPr>
        <sz val="10"/>
        <color rgb="FF000000"/>
        <rFont val="WenQuanYi Zen Hei"/>
        <family val="2"/>
      </rPr>
      <t xml:space="preserve">経費が</t>
    </r>
    <r>
      <rPr>
        <sz val="10"/>
        <color rgb="FF000000"/>
        <rFont val="Arial"/>
        <family val="0"/>
        <charset val="1"/>
      </rPr>
      <t xml:space="preserve">£1,000</t>
    </r>
    <r>
      <rPr>
        <sz val="10"/>
        <color rgb="FF000000"/>
        <rFont val="WenQuanYi Zen Hei"/>
        <family val="2"/>
      </rPr>
      <t xml:space="preserve">未満なら、実費の代わりに</t>
    </r>
    <r>
      <rPr>
        <sz val="10"/>
        <color rgb="FF000000"/>
        <rFont val="Arial"/>
        <family val="0"/>
        <charset val="1"/>
      </rPr>
      <t xml:space="preserve">£1,000</t>
    </r>
    <r>
      <rPr>
        <sz val="10"/>
        <color rgb="FF000000"/>
        <rFont val="WenQuanYi Zen Hei"/>
        <family val="2"/>
      </rPr>
      <t xml:space="preserve">の定額控除を選べる（どちらか一方）</t>
    </r>
  </si>
  <si>
    <r>
      <rPr>
        <sz val="10"/>
        <color rgb="FF000000"/>
        <rFont val="Arial"/>
        <family val="0"/>
        <charset val="1"/>
      </rPr>
      <t xml:space="preserve">SA103S</t>
    </r>
    <r>
      <rPr>
        <sz val="10"/>
        <color rgb="FF000000"/>
        <rFont val="WenQuanYi Zen Hei"/>
        <family val="2"/>
      </rPr>
      <t xml:space="preserve">（簡易版）が使えるか</t>
    </r>
  </si>
  <si>
    <t xml:space="preserve">カテゴリ未選択の経費（全月合計）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</si>
  <si>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でなければ、どこかの月でカテゴリが空欄の経費あり</t>
    </r>
  </si>
  <si>
    <t xml:space="preserve">レート未入力の行数（全月合計）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</si>
  <si>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でなければ、円・ドルの行でレートが見つからず集計から外れている</t>
    </r>
  </si>
  <si>
    <t xml:space="preserve">日付が空欄の行数（全月合計）</t>
  </si>
  <si>
    <t xml:space="preserve">日付がないと税年度が決まらず集計から外れる</t>
  </si>
  <si>
    <t xml:space="preserve">税額シミュレーション（イングランド・ウェールズ・北アイルランドの税率／概算）</t>
  </si>
  <si>
    <t xml:space="preserve">項目</t>
  </si>
  <si>
    <t xml:space="preserve">説明</t>
  </si>
  <si>
    <t xml:space="preserve">自営業の純利益</t>
  </si>
  <si>
    <t xml:space="preserve">年度集計タブから自動</t>
  </si>
  <si>
    <r>
      <rPr>
        <sz val="10"/>
        <color rgb="FF000000"/>
        <rFont val="WenQuanYi Zen Hei"/>
        <family val="2"/>
      </rPr>
      <t xml:space="preserve">会社員としての給与（</t>
    </r>
    <r>
      <rPr>
        <sz val="10"/>
        <color rgb="FF000000"/>
        <rFont val="Arial"/>
        <family val="0"/>
        <charset val="1"/>
      </rPr>
      <t xml:space="preserve">P60</t>
    </r>
    <r>
      <rPr>
        <sz val="10"/>
        <color rgb="FF000000"/>
        <rFont val="WenQuanYi Zen Hei"/>
        <family val="2"/>
      </rPr>
      <t xml:space="preserve">の </t>
    </r>
    <r>
      <rPr>
        <sz val="10"/>
        <color rgb="FF000000"/>
        <rFont val="Arial"/>
        <family val="0"/>
        <charset val="1"/>
      </rPr>
      <t xml:space="preserve">Pay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</si>
  <si>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勤め先からの給与があれば入力。なければ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</si>
  <si>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WenQuanYi Zen Hei"/>
        <family val="2"/>
      </rPr>
      <t xml:space="preserve">給与から天引き済みの所得税（</t>
    </r>
    <r>
      <rPr>
        <sz val="10"/>
        <color rgb="FF000000"/>
        <rFont val="Arial"/>
        <family val="0"/>
        <charset val="1"/>
      </rPr>
      <t xml:space="preserve">P60</t>
    </r>
    <r>
      <rPr>
        <sz val="10"/>
        <color rgb="FF000000"/>
        <rFont val="WenQuanYi Zen Hei"/>
        <family val="2"/>
      </rPr>
      <t xml:space="preserve">の </t>
    </r>
    <r>
      <rPr>
        <sz val="10"/>
        <color rgb="FF000000"/>
        <rFont val="Arial"/>
        <family val="0"/>
        <charset val="1"/>
      </rPr>
      <t xml:space="preserve">Tax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</si>
  <si>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PAYE</t>
    </r>
    <r>
      <rPr>
        <sz val="10"/>
        <color rgb="FF000000"/>
        <rFont val="WenQuanYi Zen Hei"/>
        <family val="2"/>
      </rPr>
      <t xml:space="preserve">で既に払った税金</t>
    </r>
  </si>
  <si>
    <t xml:space="preserve">その他の課税所得（利子・家賃収入など）</t>
  </si>
  <si>
    <r>
      <rPr>
        <sz val="10"/>
        <color rgb="FF000000"/>
        <rFont val="WenQuanYi Zen Hei"/>
        <family val="2"/>
      </rPr>
      <t xml:space="preserve">なければ</t>
    </r>
    <r>
      <rPr>
        <sz val="10"/>
        <color rgb="FF000000"/>
        <rFont val="Arial"/>
        <family val="0"/>
        <charset val="1"/>
      </rPr>
      <t xml:space="preserve">0</t>
    </r>
  </si>
  <si>
    <t xml:space="preserve">所得合計</t>
  </si>
  <si>
    <r>
      <rPr>
        <sz val="10"/>
        <color rgb="FF000000"/>
        <rFont val="Arial"/>
        <family val="0"/>
        <charset val="1"/>
      </rPr>
      <t xml:space="preserve">Personal Allowance</t>
    </r>
    <r>
      <rPr>
        <sz val="10"/>
        <color rgb="FF000000"/>
        <rFont val="WenQuanYi Zen Hei"/>
        <family val="2"/>
      </rPr>
      <t xml:space="preserve">（非課税枠）</t>
    </r>
  </si>
  <si>
    <r>
      <rPr>
        <sz val="10"/>
        <color rgb="FF000000"/>
        <rFont val="Arial"/>
        <family val="0"/>
        <charset val="1"/>
      </rPr>
      <t xml:space="preserve">£12,570</t>
    </r>
    <r>
      <rPr>
        <sz val="10"/>
        <color rgb="FF000000"/>
        <rFont val="WenQuanYi Zen Hei"/>
        <family val="2"/>
      </rPr>
      <t xml:space="preserve">。所得</t>
    </r>
    <r>
      <rPr>
        <sz val="10"/>
        <color rgb="FF000000"/>
        <rFont val="Arial"/>
        <family val="0"/>
        <charset val="1"/>
      </rPr>
      <t xml:space="preserve">£100,000</t>
    </r>
    <r>
      <rPr>
        <sz val="10"/>
        <color rgb="FF000000"/>
        <rFont val="WenQuanYi Zen Hei"/>
        <family val="2"/>
      </rPr>
      <t xml:space="preserve">超で</t>
    </r>
    <r>
      <rPr>
        <sz val="10"/>
        <color rgb="FF000000"/>
        <rFont val="Arial"/>
        <family val="0"/>
        <charset val="1"/>
      </rPr>
      <t xml:space="preserve">£2</t>
    </r>
    <r>
      <rPr>
        <sz val="10"/>
        <color rgb="FF000000"/>
        <rFont val="WenQuanYi Zen Hei"/>
        <family val="2"/>
      </rPr>
      <t xml:space="preserve">ごとに</t>
    </r>
    <r>
      <rPr>
        <sz val="10"/>
        <color rgb="FF000000"/>
        <rFont val="Arial"/>
        <family val="0"/>
        <charset val="1"/>
      </rPr>
      <t xml:space="preserve">£1</t>
    </r>
    <r>
      <rPr>
        <sz val="10"/>
        <color rgb="FF000000"/>
        <rFont val="WenQuanYi Zen Hei"/>
        <family val="2"/>
      </rPr>
      <t xml:space="preserve">減額</t>
    </r>
  </si>
  <si>
    <t xml:space="preserve">課税所得</t>
  </si>
  <si>
    <t xml:space="preserve">所得税</t>
  </si>
  <si>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（〜</t>
    </r>
    <r>
      <rPr>
        <sz val="10"/>
        <color rgb="FF000000"/>
        <rFont val="Arial"/>
        <family val="0"/>
        <charset val="1"/>
      </rPr>
      <t xml:space="preserve">£37,700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（〜</t>
    </r>
    <r>
      <rPr>
        <sz val="10"/>
        <color rgb="FF000000"/>
        <rFont val="Arial"/>
        <family val="0"/>
        <charset val="1"/>
      </rPr>
      <t xml:space="preserve">£125,140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（超過分）</t>
    </r>
  </si>
  <si>
    <r>
      <rPr>
        <sz val="10"/>
        <color rgb="FF000000"/>
        <rFont val="Arial"/>
        <family val="0"/>
        <charset val="1"/>
      </rPr>
      <t xml:space="preserve">Class 4 NIC</t>
    </r>
    <r>
      <rPr>
        <sz val="10"/>
        <color rgb="FF000000"/>
        <rFont val="WenQuanYi Zen Hei"/>
        <family val="2"/>
      </rPr>
      <t xml:space="preserve">（自営業分のみ）</t>
    </r>
  </si>
  <si>
    <r>
      <rPr>
        <sz val="10"/>
        <color rgb="FF000000"/>
        <rFont val="WenQuanYi Zen Hei"/>
        <family val="2"/>
      </rPr>
      <t xml:space="preserve">利益</t>
    </r>
    <r>
      <rPr>
        <sz val="10"/>
        <color rgb="FF000000"/>
        <rFont val="Arial"/>
        <family val="0"/>
        <charset val="1"/>
      </rPr>
      <t xml:space="preserve">£12,570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£50,270</t>
    </r>
    <r>
      <rPr>
        <sz val="10"/>
        <color rgb="FF000000"/>
        <rFont val="WenQuanYi Zen Hei"/>
        <family val="2"/>
      </rPr>
      <t xml:space="preserve">に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WenQuanYi Zen Hei"/>
        <family val="2"/>
      </rPr>
      <t xml:space="preserve">、超過分に</t>
    </r>
    <r>
      <rPr>
        <sz val="10"/>
        <color rgb="FF000000"/>
        <rFont val="Arial"/>
        <family val="0"/>
        <charset val="1"/>
      </rPr>
      <t xml:space="preserve">2%</t>
    </r>
  </si>
  <si>
    <t xml:space="preserve">税金の合計（概算）</t>
  </si>
  <si>
    <r>
      <rPr>
        <b val="true"/>
        <sz val="10"/>
        <color rgb="FF000000"/>
        <rFont val="Arial"/>
        <family val="0"/>
        <charset val="1"/>
      </rPr>
      <t xml:space="preserve">Self Assessment</t>
    </r>
    <r>
      <rPr>
        <b val="true"/>
        <sz val="10"/>
        <color rgb="FF000000"/>
        <rFont val="WenQuanYi Zen Hei"/>
        <family val="2"/>
      </rPr>
      <t xml:space="preserve">で払う額（概算）</t>
    </r>
  </si>
  <si>
    <t xml:space="preserve">合計から天引き済み分を差し引いた額</t>
  </si>
  <si>
    <r>
      <rPr>
        <sz val="10"/>
        <color rgb="FF000000"/>
        <rFont val="WenQuanYi Zen Hei"/>
        <family val="2"/>
      </rPr>
      <t xml:space="preserve">中間前払い（</t>
    </r>
    <r>
      <rPr>
        <sz val="10"/>
        <color rgb="FF000000"/>
        <rFont val="Arial"/>
        <family val="0"/>
        <charset val="1"/>
      </rPr>
      <t xml:space="preserve">Payments on Account</t>
    </r>
    <r>
      <rPr>
        <sz val="10"/>
        <color rgb="FF000000"/>
        <rFont val="WenQuanYi Zen Hei"/>
        <family val="2"/>
      </rPr>
      <t xml:space="preserve">）の可能性</t>
    </r>
  </si>
  <si>
    <r>
      <rPr>
        <sz val="10"/>
        <color rgb="FF000000"/>
        <rFont val="WenQuanYi Zen Hei"/>
        <family val="2"/>
      </rPr>
      <t xml:space="preserve">支払額が</t>
    </r>
    <r>
      <rPr>
        <sz val="10"/>
        <color rgb="FF000000"/>
        <rFont val="Arial"/>
        <family val="0"/>
        <charset val="1"/>
      </rPr>
      <t xml:space="preserve">£1,000</t>
    </r>
    <r>
      <rPr>
        <sz val="10"/>
        <color rgb="FF000000"/>
        <rFont val="WenQuanYi Zen Hei"/>
        <family val="2"/>
      </rPr>
      <t xml:space="preserve">超、かつ天引き分が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未満だと翌年度の前払いが必要（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日と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日に半額ずつ）</t>
    </r>
  </si>
  <si>
    <r>
      <rPr>
        <sz val="10"/>
        <color rgb="FF595959"/>
        <rFont val="Arial"/>
        <family val="0"/>
        <charset val="1"/>
      </rPr>
      <t xml:space="preserve">※2026/27</t>
    </r>
    <r>
      <rPr>
        <sz val="10"/>
        <color rgb="FF595959"/>
        <rFont val="WenQuanYi Zen Hei"/>
        <family val="2"/>
      </rPr>
      <t xml:space="preserve">は</t>
    </r>
    <r>
      <rPr>
        <sz val="10"/>
        <color rgb="FF595959"/>
        <rFont val="Arial"/>
        <family val="0"/>
        <charset val="1"/>
      </rPr>
      <t xml:space="preserve">2026</t>
    </r>
    <r>
      <rPr>
        <sz val="10"/>
        <color rgb="FF595959"/>
        <rFont val="WenQuanYi Zen Hei"/>
        <family val="2"/>
      </rPr>
      <t xml:space="preserve">年</t>
    </r>
    <r>
      <rPr>
        <sz val="10"/>
        <color rgb="FF595959"/>
        <rFont val="Arial"/>
        <family val="0"/>
        <charset val="1"/>
      </rPr>
      <t xml:space="preserve">12</t>
    </r>
    <r>
      <rPr>
        <sz val="10"/>
        <color rgb="FF595959"/>
        <rFont val="WenQuanYi Zen Hei"/>
        <family val="2"/>
      </rPr>
      <t xml:space="preserve">月までの途中データ・同じ税率を仮定。スコットランド在住の場合は所得税率が異なります。</t>
    </r>
  </si>
  <si>
    <r>
      <rPr>
        <sz val="10"/>
        <color rgb="FF595959"/>
        <rFont val="Arial"/>
        <family val="0"/>
        <charset val="1"/>
      </rPr>
      <t xml:space="preserve">※Class 2 NIC</t>
    </r>
    <r>
      <rPr>
        <sz val="10"/>
        <color rgb="FF595959"/>
        <rFont val="WenQuanYi Zen Hei"/>
        <family val="2"/>
      </rPr>
      <t xml:space="preserve">は</t>
    </r>
    <r>
      <rPr>
        <sz val="10"/>
        <color rgb="FF595959"/>
        <rFont val="Arial"/>
        <family val="0"/>
        <charset val="1"/>
      </rPr>
      <t xml:space="preserve">2024/25</t>
    </r>
    <r>
      <rPr>
        <sz val="10"/>
        <color rgb="FF595959"/>
        <rFont val="WenQuanYi Zen Hei"/>
        <family val="2"/>
      </rPr>
      <t xml:space="preserve">から廃止（利益</t>
    </r>
    <r>
      <rPr>
        <sz val="10"/>
        <color rgb="FF595959"/>
        <rFont val="Arial"/>
        <family val="0"/>
        <charset val="1"/>
      </rPr>
      <t xml:space="preserve">£6,845</t>
    </r>
    <r>
      <rPr>
        <sz val="10"/>
        <color rgb="FF595959"/>
        <rFont val="WenQuanYi Zen Hei"/>
        <family val="2"/>
      </rPr>
      <t xml:space="preserve">未満なら任意で納付し年金加入記録を残せる）。</t>
    </r>
  </si>
  <si>
    <r>
      <rPr>
        <sz val="10"/>
        <color rgb="FF595959"/>
        <rFont val="WenQuanYi Zen Hei"/>
        <family val="2"/>
      </rPr>
      <t xml:space="preserve">※学生ローン返済・</t>
    </r>
    <r>
      <rPr>
        <sz val="10"/>
        <color rgb="FF595959"/>
        <rFont val="Arial"/>
        <family val="0"/>
        <charset val="1"/>
      </rPr>
      <t xml:space="preserve">Gift Aid</t>
    </r>
    <r>
      <rPr>
        <sz val="10"/>
        <color rgb="FF595959"/>
        <rFont val="WenQuanYi Zen Hei"/>
        <family val="2"/>
      </rPr>
      <t xml:space="preserve">・個人年金の控除は未反映。正確な税額は申告後に</t>
    </r>
    <r>
      <rPr>
        <sz val="10"/>
        <color rgb="FF595959"/>
        <rFont val="Arial"/>
        <family val="0"/>
        <charset val="1"/>
      </rPr>
      <t xml:space="preserve">HMRC</t>
    </r>
    <r>
      <rPr>
        <sz val="10"/>
        <color rgb="FF595959"/>
        <rFont val="WenQuanYi Zen Hei"/>
        <family val="2"/>
      </rPr>
      <t xml:space="preserve">が計算します。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</si>
  <si>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4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</si>
  <si>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sz val="10"/>
        <color rgb="FF000000"/>
        <rFont val="WenQuanYi Zen Hei"/>
        <family val="2"/>
      </rPr>
      <t xml:space="preserve">黄色＝記入／緑＝自動計算。円・ドルは「その日のレート」で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に換算：①実際の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額 → ②当日レート列 → ③「日次レート」タブの同じ日付、の順に使います。</t>
    </r>
  </si>
  <si>
    <t xml:space="preserve">【収入】仕事の入金（入金した日で記録）</t>
  </si>
  <si>
    <t xml:space="preserve">取引先</t>
  </si>
  <si>
    <t xml:space="preserve">内容</t>
  </si>
  <si>
    <t xml:space="preserve">入金方法</t>
  </si>
  <si>
    <t xml:space="preserve">元の金額</t>
  </si>
  <si>
    <r>
      <rPr>
        <b val="true"/>
        <sz val="10"/>
        <color rgb="FFFFFFFF"/>
        <rFont val="WenQuanYi Zen Hei"/>
        <family val="2"/>
      </rPr>
      <t xml:space="preserve">実際の</t>
    </r>
    <r>
      <rPr>
        <b val="true"/>
        <sz val="10"/>
        <color rgb="FFFFFFFF"/>
        <rFont val="Arial"/>
        <family val="0"/>
        <charset val="1"/>
      </rPr>
      <t xml:space="preserve">£</t>
    </r>
    <r>
      <rPr>
        <b val="true"/>
        <sz val="10"/>
        <color rgb="FFFFFFFF"/>
        <rFont val="WenQuanYi Zen Hei"/>
        <family val="2"/>
      </rPr>
      <t xml:space="preserve">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明細にあれば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</si>
  <si>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当日レート
</t>
    </r>
    <r>
      <rPr>
        <b val="true"/>
        <sz val="10"/>
        <color rgb="FFFFFFFF"/>
        <rFont val="Arial"/>
        <family val="0"/>
        <charset val="1"/>
      </rPr>
      <t xml:space="preserve">1£</t>
    </r>
    <r>
      <rPr>
        <b val="true"/>
        <sz val="10"/>
        <color rgb="FFFFFFFF"/>
        <rFont val="WenQuanYi Zen Hei"/>
        <family val="2"/>
      </rPr>
      <t xml:space="preserve">＝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</si>
  <si>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適用レート
自動</t>
  </si>
  <si>
    <r>
      <rPr>
        <b val="true"/>
        <sz val="10"/>
        <color rgb="FFFFFFFF"/>
        <rFont val="WenQuanYi Zen Hei"/>
        <family val="2"/>
      </rPr>
      <t xml:space="preserve">金額</t>
    </r>
    <r>
      <rPr>
        <b val="true"/>
        <sz val="10"/>
        <color rgb="FFFFFFFF"/>
        <rFont val="Arial"/>
        <family val="0"/>
        <charset val="1"/>
      </rPr>
      <t xml:space="preserve">(£)
</t>
    </r>
    <r>
      <rPr>
        <b val="true"/>
        <sz val="10"/>
        <color rgb="FFFFFFFF"/>
        <rFont val="WenQuanYi Zen Hei"/>
        <family val="2"/>
      </rPr>
      <t xml:space="preserve">自動</t>
    </r>
  </si>
  <si>
    <r>
      <rPr>
        <b val="true"/>
        <sz val="10"/>
        <color rgb="FFFFFFFF"/>
        <rFont val="WenQuanYi Zen Hei"/>
        <family val="2"/>
      </rPr>
      <t xml:space="preserve">請求書</t>
    </r>
    <r>
      <rPr>
        <b val="true"/>
        <sz val="10"/>
        <color rgb="FFFFFFFF"/>
        <rFont val="Arial"/>
        <family val="0"/>
        <charset val="1"/>
      </rPr>
      <t xml:space="preserve">No.</t>
    </r>
  </si>
  <si>
    <t xml:space="preserve">税年度
自動</t>
  </si>
  <si>
    <t xml:space="preserve">メモ</t>
  </si>
  <si>
    <t xml:space="preserve">収入合計</t>
  </si>
  <si>
    <t xml:space="preserve">【経費】仕事で支払った費用（支払った日で記録・領収書を保管）</t>
  </si>
  <si>
    <t xml:space="preserve">支払先</t>
  </si>
  <si>
    <r>
      <rPr>
        <b val="true"/>
        <sz val="10"/>
        <color rgb="FFFFFFFF"/>
        <rFont val="Arial"/>
        <family val="0"/>
        <charset val="1"/>
      </rPr>
      <t xml:space="preserve">£</t>
    </r>
    <r>
      <rPr>
        <b val="true"/>
        <sz val="10"/>
        <color rgb="FFFFFFFF"/>
        <rFont val="WenQuanYi Zen Hei"/>
        <family val="2"/>
      </rPr>
      <t xml:space="preserve">換算額
自動</t>
    </r>
  </si>
  <si>
    <r>
      <rPr>
        <b val="true"/>
        <sz val="10"/>
        <color rgb="FFFFFFFF"/>
        <rFont val="WenQuanYi Zen Hei"/>
        <family val="2"/>
      </rPr>
      <t xml:space="preserve">事業使用率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空欄</t>
    </r>
    <r>
      <rPr>
        <b val="true"/>
        <sz val="10"/>
        <color rgb="FFFFFFFF"/>
        <rFont val="Arial"/>
        <family val="0"/>
        <charset val="1"/>
      </rPr>
      <t xml:space="preserve">=100%)</t>
    </r>
  </si>
  <si>
    <r>
      <rPr>
        <b val="true"/>
        <sz val="10"/>
        <color rgb="FFFFFFFF"/>
        <rFont val="WenQuanYi Zen Hei"/>
        <family val="2"/>
      </rPr>
      <t xml:space="preserve">認定経費</t>
    </r>
    <r>
      <rPr>
        <b val="true"/>
        <sz val="10"/>
        <color rgb="FFFFFFFF"/>
        <rFont val="Arial"/>
        <family val="0"/>
        <charset val="1"/>
      </rPr>
      <t xml:space="preserve">(£)
</t>
    </r>
    <r>
      <rPr>
        <b val="true"/>
        <sz val="10"/>
        <color rgb="FFFFFFFF"/>
        <rFont val="WenQuanYi Zen Hei"/>
        <family val="2"/>
      </rPr>
      <t xml:space="preserve">自動</t>
    </r>
  </si>
  <si>
    <t xml:space="preserve">領収書
○</t>
  </si>
  <si>
    <t xml:space="preserve">支払合計（按分後・機材含む）</t>
  </si>
  <si>
    <t xml:space="preserve">【月まとめ（税年度別）】自動計算</t>
  </si>
  <si>
    <t xml:space="preserve">経費合計（機材を除く）</t>
  </si>
  <si>
    <t xml:space="preserve">純利益（収入−経費−機材）</t>
  </si>
  <si>
    <r>
      <rPr>
        <b val="true"/>
        <sz val="10"/>
        <color rgb="FFC00000"/>
        <rFont val="WenQuanYi Zen Hei"/>
        <family val="2"/>
      </rPr>
      <t xml:space="preserve">【チェック】下の</t>
    </r>
    <r>
      <rPr>
        <b val="true"/>
        <sz val="10"/>
        <color rgb="FFC00000"/>
        <rFont val="Arial"/>
        <family val="0"/>
        <charset val="1"/>
      </rPr>
      <t xml:space="preserve">3</t>
    </r>
    <r>
      <rPr>
        <b val="true"/>
        <sz val="10"/>
        <color rgb="FFC00000"/>
        <rFont val="WenQuanYi Zen Hei"/>
        <family val="2"/>
      </rPr>
      <t xml:space="preserve">つがすべて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WenQuanYi Zen Hei"/>
        <family val="2"/>
      </rPr>
      <t xml:space="preserve">なら、この月の記入はすべて集計に入っています。</t>
    </r>
  </si>
  <si>
    <r>
      <rPr>
        <sz val="10"/>
        <color rgb="FF000000"/>
        <rFont val="WenQuanYi Zen Hei"/>
        <family val="2"/>
      </rPr>
      <t xml:space="preserve">カテゴリ未選択の経費（</t>
    </r>
    <r>
      <rPr>
        <sz val="10"/>
        <color rgb="FF000000"/>
        <rFont val="Arial"/>
        <family val="0"/>
        <charset val="1"/>
      </rPr>
      <t xml:space="preserve">£</t>
    </r>
    <r>
      <rPr>
        <sz val="10"/>
        <color rgb="FF000000"/>
        <rFont val="WenQuanYi Zen Hei"/>
        <family val="2"/>
      </rPr>
      <t xml:space="preserve">）</t>
    </r>
  </si>
  <si>
    <t xml:space="preserve">レート未入力の行数</t>
  </si>
  <si>
    <t xml:space="preserve">日付が空欄の行数（金額あり）</t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</si>
  <si>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</si>
  <si>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</si>
  <si>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7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</si>
  <si>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8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</si>
  <si>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9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</si>
  <si>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</si>
  <si>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</si>
  <si>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12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</si>
  <si>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</si>
  <si>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</si>
  <si>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3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</si>
  <si>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4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</si>
  <si>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</si>
  <si>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</si>
  <si>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7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</si>
  <si>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8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</si>
  <si>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9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</si>
  <si>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</si>
  <si>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</si>
  <si>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Arial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Arial"/>
        <family val="0"/>
        <charset val="1"/>
      </rPr>
      <t xml:space="preserve">12</t>
    </r>
    <r>
      <rPr>
        <b val="true"/>
        <sz val="14"/>
        <color rgb="FF000000"/>
        <rFont val="WenQuanYi Zen Hei"/>
        <family val="2"/>
      </rPr>
      <t xml:space="preserve">月</t>
    </r>
  </si>
  <si>
    <t xml:space="preserve">GBP</t>
  </si>
  <si>
    <t xml:space="preserve">銀行振込</t>
  </si>
  <si>
    <t xml:space="preserve">JPY</t>
  </si>
  <si>
    <t xml:space="preserve">PayPal</t>
  </si>
  <si>
    <t xml:space="preserve">USD</t>
  </si>
  <si>
    <t xml:space="preserve">Wise</t>
  </si>
  <si>
    <t xml:space="preserve">Stripe</t>
  </si>
  <si>
    <t xml:space="preserve">現金</t>
  </si>
  <si>
    <t xml:space="preserve">カード</t>
  </si>
  <si>
    <t xml:space="preserve">その他</t>
  </si>
  <si>
    <r>
      <rPr>
        <sz val="11"/>
        <color theme="1"/>
        <rFont val="WenQuanYi Zen Hei"/>
        <family val="2"/>
      </rPr>
      <t xml:space="preserve">機材（資本的支出・</t>
    </r>
    <r>
      <rPr>
        <sz val="11"/>
        <color theme="1"/>
        <rFont val="Calibri"/>
        <family val="2"/>
        <charset val="1"/>
      </rPr>
      <t xml:space="preserve">AIA</t>
    </r>
    <r>
      <rPr>
        <sz val="11"/>
        <color theme="1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</si>
</sst>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/mm/dd"/>
    <numFmt numFmtId="166" formatCode="#,##0.00"/>
    <numFmt numFmtId="167" formatCode="0.0000"/>
    <numFmt numFmtId="168" formatCode="\£#,##0.00;&quot;-£&quot;#,##0.00;\-"/>
    <numFmt numFmtId="169" formatCode="0"/>
    <numFmt numFmtId="170" formatCode="#,##0.0000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4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808080"/>
      <name val="Arial"/>
      <family val="0"/>
      <charset val="1"/>
    </font>
    <font>
      <sz val="10"/>
      <color rgb="FF80808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Arial"/>
      <family val="0"/>
      <charset val="1"/>
    </font>
    <font>
      <sz val="11"/>
      <color theme="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  <c r="B5" s="4" t="s">
        <v>4</v>
      </c>
    </row>
    <row r="6" customFormat="false" ht="15" hidden="false" customHeight="false" outlineLevel="0" collapsed="false">
      <c r="A6" s="2" t="s">
        <v>5</v>
      </c>
      <c r="B6" s="5" t="s">
        <v>6</v>
      </c>
    </row>
    <row r="7" customFormat="false" ht="15" hidden="false" customHeight="false" outlineLevel="0" collapsed="false">
      <c r="A7" s="2" t="s">
        <v>7</v>
      </c>
      <c r="B7" s="5" t="s">
        <v>8</v>
      </c>
    </row>
    <row r="8" customFormat="false" ht="15" hidden="false" customHeight="false" outlineLevel="0" collapsed="false">
      <c r="A8" s="2" t="s">
        <v>9</v>
      </c>
      <c r="B8" s="4" t="s">
        <v>10</v>
      </c>
    </row>
    <row r="9" customFormat="false" ht="15" hidden="false" customHeight="false" outlineLevel="0" collapsed="false">
      <c r="A9" s="6" t="s">
        <v>11</v>
      </c>
      <c r="B9" s="4" t="s">
        <v>12</v>
      </c>
    </row>
    <row r="11" customFormat="false" ht="15" hidden="false" customHeight="false" outlineLevel="0" collapsed="false">
      <c r="A11" s="3" t="s">
        <v>13</v>
      </c>
    </row>
    <row r="12" customFormat="false" ht="26.85" hidden="false" customHeight="false" outlineLevel="0" collapsed="false">
      <c r="A12" s="2" t="s">
        <v>14</v>
      </c>
      <c r="B12" s="5" t="s">
        <v>15</v>
      </c>
    </row>
    <row r="13" customFormat="false" ht="15" hidden="false" customHeight="false" outlineLevel="0" collapsed="false">
      <c r="A13" s="6" t="s">
        <v>16</v>
      </c>
      <c r="B13" s="5" t="s">
        <v>17</v>
      </c>
    </row>
    <row r="14" customFormat="false" ht="15" hidden="false" customHeight="false" outlineLevel="0" collapsed="false">
      <c r="A14" s="6" t="s">
        <v>18</v>
      </c>
      <c r="B14" s="5" t="s">
        <v>19</v>
      </c>
    </row>
    <row r="16" customFormat="false" ht="15" hidden="false" customHeight="false" outlineLevel="0" collapsed="false">
      <c r="A16" s="3" t="s">
        <v>20</v>
      </c>
    </row>
    <row r="17" customFormat="false" ht="15" hidden="false" customHeight="false" outlineLevel="0" collapsed="false">
      <c r="A17" s="6" t="s">
        <v>21</v>
      </c>
      <c r="B17" s="4" t="s">
        <v>22</v>
      </c>
    </row>
    <row r="18" customFormat="false" ht="15" hidden="false" customHeight="false" outlineLevel="0" collapsed="false">
      <c r="A18" s="6" t="s">
        <v>23</v>
      </c>
      <c r="B18" s="4" t="s">
        <v>24</v>
      </c>
    </row>
    <row r="19" customFormat="false" ht="15" hidden="false" customHeight="false" outlineLevel="0" collapsed="false">
      <c r="A19" s="2" t="s">
        <v>25</v>
      </c>
      <c r="B19" s="4" t="s">
        <v>26</v>
      </c>
    </row>
    <row r="20" customFormat="false" ht="15" hidden="false" customHeight="false" outlineLevel="0" collapsed="false">
      <c r="A20" s="2" t="s">
        <v>27</v>
      </c>
      <c r="B20" s="4" t="s">
        <v>28</v>
      </c>
    </row>
    <row r="21" customFormat="false" ht="15" hidden="false" customHeight="false" outlineLevel="0" collapsed="false">
      <c r="A21" s="2" t="s">
        <v>29</v>
      </c>
      <c r="B21" s="4" t="s">
        <v>30</v>
      </c>
    </row>
    <row r="23" customFormat="false" ht="15" hidden="false" customHeight="false" outlineLevel="0" collapsed="false">
      <c r="A23" s="3" t="s">
        <v>31</v>
      </c>
    </row>
    <row r="24" customFormat="false" ht="15" hidden="false" customHeight="false" outlineLevel="0" collapsed="false">
      <c r="A24" s="2" t="s">
        <v>32</v>
      </c>
      <c r="B24" s="5" t="s">
        <v>33</v>
      </c>
    </row>
    <row r="25" customFormat="false" ht="26.85" hidden="false" customHeight="false" outlineLevel="0" collapsed="false">
      <c r="A25" s="2" t="s">
        <v>34</v>
      </c>
      <c r="B25" s="5" t="s">
        <v>35</v>
      </c>
    </row>
    <row r="26" customFormat="false" ht="15" hidden="false" customHeight="false" outlineLevel="0" collapsed="false">
      <c r="A26" s="2" t="s">
        <v>36</v>
      </c>
      <c r="B26" s="4" t="s">
        <v>37</v>
      </c>
    </row>
    <row r="27" customFormat="false" ht="15" hidden="false" customHeight="false" outlineLevel="0" collapsed="false">
      <c r="A27" s="2" t="s">
        <v>38</v>
      </c>
      <c r="B27" s="4" t="s">
        <v>39</v>
      </c>
    </row>
    <row r="28" customFormat="false" ht="15" hidden="false" customHeight="false" outlineLevel="0" collapsed="false">
      <c r="A28" s="2" t="s">
        <v>40</v>
      </c>
      <c r="B28" s="4" t="s">
        <v>41</v>
      </c>
    </row>
    <row r="29" customFormat="false" ht="15" hidden="false" customHeight="false" outlineLevel="0" collapsed="false">
      <c r="A29" s="2" t="s">
        <v>42</v>
      </c>
      <c r="B29" s="4" t="s">
        <v>43</v>
      </c>
    </row>
    <row r="30" customFormat="false" ht="15" hidden="false" customHeight="false" outlineLevel="0" collapsed="false">
      <c r="A30" s="2" t="s">
        <v>44</v>
      </c>
      <c r="B30" s="4" t="s">
        <v>45</v>
      </c>
    </row>
    <row r="31" customFormat="false" ht="26.85" hidden="false" customHeight="false" outlineLevel="0" collapsed="false">
      <c r="A31" s="2" t="s">
        <v>46</v>
      </c>
      <c r="B31" s="5" t="s">
        <v>47</v>
      </c>
    </row>
    <row r="32" customFormat="false" ht="26.85" hidden="false" customHeight="false" outlineLevel="0" collapsed="false">
      <c r="A32" s="2" t="s">
        <v>48</v>
      </c>
      <c r="B32" s="4" t="s">
        <v>49</v>
      </c>
    </row>
    <row r="34" customFormat="false" ht="15" hidden="false" customHeight="false" outlineLevel="0" collapsed="false">
      <c r="A34" s="3" t="s">
        <v>50</v>
      </c>
    </row>
    <row r="35" customFormat="false" ht="15" hidden="false" customHeight="false" outlineLevel="0" collapsed="false">
      <c r="A35" s="2" t="s">
        <v>51</v>
      </c>
      <c r="B35" s="5" t="s">
        <v>52</v>
      </c>
    </row>
    <row r="36" customFormat="false" ht="15" hidden="false" customHeight="false" outlineLevel="0" collapsed="false">
      <c r="A36" s="2" t="s">
        <v>53</v>
      </c>
      <c r="B36" s="5" t="s">
        <v>54</v>
      </c>
    </row>
    <row r="37" customFormat="false" ht="15" hidden="false" customHeight="false" outlineLevel="0" collapsed="false">
      <c r="A37" s="2" t="s">
        <v>55</v>
      </c>
      <c r="B37" s="5" t="s">
        <v>56</v>
      </c>
    </row>
    <row r="38" customFormat="false" ht="15" hidden="false" customHeight="false" outlineLevel="0" collapsed="false">
      <c r="A38" s="2" t="s">
        <v>57</v>
      </c>
      <c r="B38" s="5" t="s">
        <v>58</v>
      </c>
    </row>
    <row r="39" customFormat="false" ht="15" hidden="false" customHeight="false" outlineLevel="0" collapsed="false">
      <c r="A39" s="2" t="s">
        <v>59</v>
      </c>
      <c r="B39" s="5" t="s">
        <v>60</v>
      </c>
    </row>
    <row r="40" customFormat="false" ht="15" hidden="false" customHeight="false" outlineLevel="0" collapsed="false">
      <c r="A40" s="2" t="s">
        <v>61</v>
      </c>
      <c r="B40" s="5" t="s">
        <v>62</v>
      </c>
    </row>
    <row r="41" customFormat="false" ht="15" hidden="false" customHeight="false" outlineLevel="0" collapsed="false">
      <c r="A41" s="2" t="s">
        <v>63</v>
      </c>
      <c r="B41" s="5" t="s">
        <v>64</v>
      </c>
    </row>
    <row r="42" customFormat="false" ht="15" hidden="false" customHeight="false" outlineLevel="0" collapsed="false">
      <c r="A42" s="2" t="s">
        <v>65</v>
      </c>
      <c r="B42" s="5" t="s">
        <v>66</v>
      </c>
    </row>
    <row r="43" customFormat="false" ht="15" hidden="false" customHeight="false" outlineLevel="0" collapsed="false">
      <c r="A43" s="2" t="s">
        <v>67</v>
      </c>
      <c r="B43" s="5" t="s">
        <v>68</v>
      </c>
    </row>
    <row r="44" customFormat="false" ht="15" hidden="false" customHeight="false" outlineLevel="0" collapsed="false">
      <c r="A44" s="2" t="s">
        <v>69</v>
      </c>
      <c r="B44" s="5" t="s">
        <v>70</v>
      </c>
    </row>
    <row r="45" customFormat="false" ht="15" hidden="false" customHeight="false" outlineLevel="0" collapsed="false">
      <c r="A45" s="2" t="s">
        <v>71</v>
      </c>
      <c r="B45" s="5" t="s">
        <v>72</v>
      </c>
    </row>
    <row r="46" customFormat="false" ht="15" hidden="false" customHeight="false" outlineLevel="0" collapsed="false">
      <c r="A46" s="2" t="s">
        <v>73</v>
      </c>
      <c r="B46" s="5" t="s">
        <v>72</v>
      </c>
    </row>
    <row r="47" customFormat="false" ht="15" hidden="false" customHeight="false" outlineLevel="0" collapsed="false">
      <c r="A47" s="2" t="s">
        <v>74</v>
      </c>
      <c r="B47" s="5" t="s">
        <v>75</v>
      </c>
    </row>
    <row r="49" customFormat="false" ht="15" hidden="false" customHeight="false" outlineLevel="0" collapsed="false">
      <c r="A49" s="3" t="s">
        <v>76</v>
      </c>
    </row>
    <row r="50" customFormat="false" ht="15" hidden="false" customHeight="false" outlineLevel="0" collapsed="false">
      <c r="A50" s="2" t="s">
        <v>77</v>
      </c>
      <c r="B50" s="4" t="s">
        <v>78</v>
      </c>
    </row>
    <row r="51" customFormat="false" ht="15" hidden="false" customHeight="false" outlineLevel="0" collapsed="false">
      <c r="A51" s="2" t="s">
        <v>79</v>
      </c>
      <c r="B51" s="4" t="s">
        <v>80</v>
      </c>
    </row>
    <row r="52" customFormat="false" ht="15" hidden="false" customHeight="false" outlineLevel="0" collapsed="false">
      <c r="A52" s="2" t="s">
        <v>81</v>
      </c>
      <c r="B52" s="4" t="s">
        <v>82</v>
      </c>
    </row>
    <row r="54" customFormat="false" ht="15" hidden="false" customHeight="false" outlineLevel="0" collapsed="false">
      <c r="A54" s="7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4" min="3" style="0" width="1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8" t="s">
        <v>84</v>
      </c>
    </row>
    <row r="2" customFormat="false" ht="15" hidden="false" customHeight="false" outlineLevel="0" collapsed="false">
      <c r="A2" s="2" t="s">
        <v>85</v>
      </c>
    </row>
    <row r="4" customFormat="false" ht="30" hidden="false" customHeight="true" outlineLevel="0" collapsed="false">
      <c r="A4" s="9" t="s">
        <v>86</v>
      </c>
      <c r="B4" s="9" t="s">
        <v>87</v>
      </c>
      <c r="C4" s="10" t="s">
        <v>88</v>
      </c>
      <c r="D4" s="10" t="s">
        <v>89</v>
      </c>
      <c r="E4" s="9" t="s">
        <v>90</v>
      </c>
    </row>
    <row r="5" customFormat="false" ht="15" hidden="false" customHeight="false" outlineLevel="0" collapsed="false">
      <c r="A5" s="11" t="n">
        <v>45748</v>
      </c>
      <c r="B5" s="12" t="s">
        <v>91</v>
      </c>
      <c r="C5" s="13"/>
      <c r="D5" s="14"/>
      <c r="E5" s="15"/>
    </row>
    <row r="6" customFormat="false" ht="15" hidden="false" customHeight="false" outlineLevel="0" collapsed="false">
      <c r="A6" s="11" t="n">
        <v>45749</v>
      </c>
      <c r="B6" s="12" t="s">
        <v>92</v>
      </c>
      <c r="C6" s="13"/>
      <c r="D6" s="14"/>
      <c r="E6" s="15"/>
    </row>
    <row r="7" customFormat="false" ht="15" hidden="false" customHeight="false" outlineLevel="0" collapsed="false">
      <c r="A7" s="11" t="n">
        <v>45750</v>
      </c>
      <c r="B7" s="12" t="s">
        <v>93</v>
      </c>
      <c r="C7" s="13"/>
      <c r="D7" s="14"/>
      <c r="E7" s="15"/>
    </row>
    <row r="8" customFormat="false" ht="15" hidden="false" customHeight="false" outlineLevel="0" collapsed="false">
      <c r="A8" s="11" t="n">
        <v>45751</v>
      </c>
      <c r="B8" s="12" t="s">
        <v>94</v>
      </c>
      <c r="C8" s="13"/>
      <c r="D8" s="14"/>
      <c r="E8" s="15"/>
    </row>
    <row r="9" customFormat="false" ht="15" hidden="false" customHeight="false" outlineLevel="0" collapsed="false">
      <c r="A9" s="16" t="n">
        <v>45752</v>
      </c>
      <c r="B9" s="17" t="s">
        <v>95</v>
      </c>
      <c r="C9" s="13"/>
      <c r="D9" s="14"/>
      <c r="E9" s="15"/>
    </row>
    <row r="10" customFormat="false" ht="15" hidden="false" customHeight="false" outlineLevel="0" collapsed="false">
      <c r="A10" s="16" t="n">
        <v>45753</v>
      </c>
      <c r="B10" s="17" t="s">
        <v>96</v>
      </c>
      <c r="C10" s="13"/>
      <c r="D10" s="14"/>
      <c r="E10" s="15"/>
    </row>
    <row r="11" customFormat="false" ht="15" hidden="false" customHeight="false" outlineLevel="0" collapsed="false">
      <c r="A11" s="11" t="n">
        <v>45754</v>
      </c>
      <c r="B11" s="12" t="s">
        <v>97</v>
      </c>
      <c r="C11" s="13"/>
      <c r="D11" s="14"/>
      <c r="E11" s="15"/>
    </row>
    <row r="12" customFormat="false" ht="15" hidden="false" customHeight="false" outlineLevel="0" collapsed="false">
      <c r="A12" s="11" t="n">
        <v>45755</v>
      </c>
      <c r="B12" s="12" t="s">
        <v>91</v>
      </c>
      <c r="C12" s="13"/>
      <c r="D12" s="14"/>
      <c r="E12" s="15"/>
    </row>
    <row r="13" customFormat="false" ht="15" hidden="false" customHeight="false" outlineLevel="0" collapsed="false">
      <c r="A13" s="11" t="n">
        <v>45756</v>
      </c>
      <c r="B13" s="12" t="s">
        <v>92</v>
      </c>
      <c r="C13" s="13"/>
      <c r="D13" s="14"/>
      <c r="E13" s="15"/>
    </row>
    <row r="14" customFormat="false" ht="15" hidden="false" customHeight="false" outlineLevel="0" collapsed="false">
      <c r="A14" s="11" t="n">
        <v>45757</v>
      </c>
      <c r="B14" s="12" t="s">
        <v>93</v>
      </c>
      <c r="C14" s="13"/>
      <c r="D14" s="14"/>
      <c r="E14" s="15"/>
    </row>
    <row r="15" customFormat="false" ht="15" hidden="false" customHeight="false" outlineLevel="0" collapsed="false">
      <c r="A15" s="11" t="n">
        <v>45758</v>
      </c>
      <c r="B15" s="12" t="s">
        <v>94</v>
      </c>
      <c r="C15" s="13"/>
      <c r="D15" s="14"/>
      <c r="E15" s="15"/>
    </row>
    <row r="16" customFormat="false" ht="15" hidden="false" customHeight="false" outlineLevel="0" collapsed="false">
      <c r="A16" s="16" t="n">
        <v>45759</v>
      </c>
      <c r="B16" s="17" t="s">
        <v>95</v>
      </c>
      <c r="C16" s="13"/>
      <c r="D16" s="14"/>
      <c r="E16" s="15"/>
    </row>
    <row r="17" customFormat="false" ht="15" hidden="false" customHeight="false" outlineLevel="0" collapsed="false">
      <c r="A17" s="16" t="n">
        <v>45760</v>
      </c>
      <c r="B17" s="17" t="s">
        <v>96</v>
      </c>
      <c r="C17" s="13"/>
      <c r="D17" s="14"/>
      <c r="E17" s="15"/>
    </row>
    <row r="18" customFormat="false" ht="15" hidden="false" customHeight="false" outlineLevel="0" collapsed="false">
      <c r="A18" s="11" t="n">
        <v>45761</v>
      </c>
      <c r="B18" s="12" t="s">
        <v>97</v>
      </c>
      <c r="C18" s="13"/>
      <c r="D18" s="14"/>
      <c r="E18" s="15"/>
    </row>
    <row r="19" customFormat="false" ht="15" hidden="false" customHeight="false" outlineLevel="0" collapsed="false">
      <c r="A19" s="11" t="n">
        <v>45762</v>
      </c>
      <c r="B19" s="12" t="s">
        <v>91</v>
      </c>
      <c r="C19" s="13"/>
      <c r="D19" s="14"/>
      <c r="E19" s="15"/>
    </row>
    <row r="20" customFormat="false" ht="15" hidden="false" customHeight="false" outlineLevel="0" collapsed="false">
      <c r="A20" s="11" t="n">
        <v>45763</v>
      </c>
      <c r="B20" s="12" t="s">
        <v>92</v>
      </c>
      <c r="C20" s="13"/>
      <c r="D20" s="14"/>
      <c r="E20" s="15"/>
    </row>
    <row r="21" customFormat="false" ht="15" hidden="false" customHeight="false" outlineLevel="0" collapsed="false">
      <c r="A21" s="11" t="n">
        <v>45764</v>
      </c>
      <c r="B21" s="12" t="s">
        <v>93</v>
      </c>
      <c r="C21" s="13"/>
      <c r="D21" s="14"/>
      <c r="E21" s="15"/>
    </row>
    <row r="22" customFormat="false" ht="15" hidden="false" customHeight="false" outlineLevel="0" collapsed="false">
      <c r="A22" s="11" t="n">
        <v>45765</v>
      </c>
      <c r="B22" s="12" t="s">
        <v>94</v>
      </c>
      <c r="C22" s="13"/>
      <c r="D22" s="14"/>
      <c r="E22" s="15"/>
    </row>
    <row r="23" customFormat="false" ht="15" hidden="false" customHeight="false" outlineLevel="0" collapsed="false">
      <c r="A23" s="16" t="n">
        <v>45766</v>
      </c>
      <c r="B23" s="17" t="s">
        <v>95</v>
      </c>
      <c r="C23" s="13"/>
      <c r="D23" s="14"/>
      <c r="E23" s="15"/>
    </row>
    <row r="24" customFormat="false" ht="15" hidden="false" customHeight="false" outlineLevel="0" collapsed="false">
      <c r="A24" s="16" t="n">
        <v>45767</v>
      </c>
      <c r="B24" s="17" t="s">
        <v>96</v>
      </c>
      <c r="C24" s="13"/>
      <c r="D24" s="14"/>
      <c r="E24" s="15"/>
    </row>
    <row r="25" customFormat="false" ht="15" hidden="false" customHeight="false" outlineLevel="0" collapsed="false">
      <c r="A25" s="11" t="n">
        <v>45768</v>
      </c>
      <c r="B25" s="12" t="s">
        <v>97</v>
      </c>
      <c r="C25" s="13"/>
      <c r="D25" s="14"/>
      <c r="E25" s="15"/>
    </row>
    <row r="26" customFormat="false" ht="15" hidden="false" customHeight="false" outlineLevel="0" collapsed="false">
      <c r="A26" s="11" t="n">
        <v>45769</v>
      </c>
      <c r="B26" s="12" t="s">
        <v>91</v>
      </c>
      <c r="C26" s="13"/>
      <c r="D26" s="14"/>
      <c r="E26" s="15"/>
    </row>
    <row r="27" customFormat="false" ht="15" hidden="false" customHeight="false" outlineLevel="0" collapsed="false">
      <c r="A27" s="11" t="n">
        <v>45770</v>
      </c>
      <c r="B27" s="12" t="s">
        <v>92</v>
      </c>
      <c r="C27" s="13"/>
      <c r="D27" s="14"/>
      <c r="E27" s="15"/>
    </row>
    <row r="28" customFormat="false" ht="15" hidden="false" customHeight="false" outlineLevel="0" collapsed="false">
      <c r="A28" s="11" t="n">
        <v>45771</v>
      </c>
      <c r="B28" s="12" t="s">
        <v>93</v>
      </c>
      <c r="C28" s="13"/>
      <c r="D28" s="14"/>
      <c r="E28" s="15"/>
    </row>
    <row r="29" customFormat="false" ht="15" hidden="false" customHeight="false" outlineLevel="0" collapsed="false">
      <c r="A29" s="11" t="n">
        <v>45772</v>
      </c>
      <c r="B29" s="12" t="s">
        <v>94</v>
      </c>
      <c r="C29" s="13"/>
      <c r="D29" s="14"/>
      <c r="E29" s="15"/>
    </row>
    <row r="30" customFormat="false" ht="15" hidden="false" customHeight="false" outlineLevel="0" collapsed="false">
      <c r="A30" s="16" t="n">
        <v>45773</v>
      </c>
      <c r="B30" s="17" t="s">
        <v>95</v>
      </c>
      <c r="C30" s="13"/>
      <c r="D30" s="14"/>
      <c r="E30" s="15"/>
    </row>
    <row r="31" customFormat="false" ht="15" hidden="false" customHeight="false" outlineLevel="0" collapsed="false">
      <c r="A31" s="16" t="n">
        <v>45774</v>
      </c>
      <c r="B31" s="17" t="s">
        <v>96</v>
      </c>
      <c r="C31" s="13"/>
      <c r="D31" s="14"/>
      <c r="E31" s="15"/>
    </row>
    <row r="32" customFormat="false" ht="15" hidden="false" customHeight="false" outlineLevel="0" collapsed="false">
      <c r="A32" s="11" t="n">
        <v>45775</v>
      </c>
      <c r="B32" s="12" t="s">
        <v>97</v>
      </c>
      <c r="C32" s="13"/>
      <c r="D32" s="14"/>
      <c r="E32" s="15"/>
    </row>
    <row r="33" customFormat="false" ht="15" hidden="false" customHeight="false" outlineLevel="0" collapsed="false">
      <c r="A33" s="11" t="n">
        <v>45776</v>
      </c>
      <c r="B33" s="12" t="s">
        <v>91</v>
      </c>
      <c r="C33" s="13"/>
      <c r="D33" s="14"/>
      <c r="E33" s="15"/>
    </row>
    <row r="34" customFormat="false" ht="15" hidden="false" customHeight="false" outlineLevel="0" collapsed="false">
      <c r="A34" s="11" t="n">
        <v>45777</v>
      </c>
      <c r="B34" s="12" t="s">
        <v>92</v>
      </c>
      <c r="C34" s="13"/>
      <c r="D34" s="14"/>
      <c r="E34" s="15"/>
    </row>
    <row r="35" customFormat="false" ht="15" hidden="false" customHeight="false" outlineLevel="0" collapsed="false">
      <c r="A35" s="11" t="n">
        <v>45778</v>
      </c>
      <c r="B35" s="12" t="s">
        <v>93</v>
      </c>
      <c r="C35" s="13"/>
      <c r="D35" s="14"/>
      <c r="E35" s="15"/>
    </row>
    <row r="36" customFormat="false" ht="15" hidden="false" customHeight="false" outlineLevel="0" collapsed="false">
      <c r="A36" s="11" t="n">
        <v>45779</v>
      </c>
      <c r="B36" s="12" t="s">
        <v>94</v>
      </c>
      <c r="C36" s="13"/>
      <c r="D36" s="14"/>
      <c r="E36" s="15"/>
    </row>
    <row r="37" customFormat="false" ht="15" hidden="false" customHeight="false" outlineLevel="0" collapsed="false">
      <c r="A37" s="16" t="n">
        <v>45780</v>
      </c>
      <c r="B37" s="17" t="s">
        <v>95</v>
      </c>
      <c r="C37" s="13"/>
      <c r="D37" s="14"/>
      <c r="E37" s="15"/>
    </row>
    <row r="38" customFormat="false" ht="15" hidden="false" customHeight="false" outlineLevel="0" collapsed="false">
      <c r="A38" s="16" t="n">
        <v>45781</v>
      </c>
      <c r="B38" s="17" t="s">
        <v>96</v>
      </c>
      <c r="C38" s="13"/>
      <c r="D38" s="14"/>
      <c r="E38" s="15"/>
    </row>
    <row r="39" customFormat="false" ht="15" hidden="false" customHeight="false" outlineLevel="0" collapsed="false">
      <c r="A39" s="11" t="n">
        <v>45782</v>
      </c>
      <c r="B39" s="12" t="s">
        <v>97</v>
      </c>
      <c r="C39" s="13"/>
      <c r="D39" s="14"/>
      <c r="E39" s="15"/>
    </row>
    <row r="40" customFormat="false" ht="15" hidden="false" customHeight="false" outlineLevel="0" collapsed="false">
      <c r="A40" s="11" t="n">
        <v>45783</v>
      </c>
      <c r="B40" s="12" t="s">
        <v>91</v>
      </c>
      <c r="C40" s="13"/>
      <c r="D40" s="14"/>
      <c r="E40" s="15"/>
    </row>
    <row r="41" customFormat="false" ht="15" hidden="false" customHeight="false" outlineLevel="0" collapsed="false">
      <c r="A41" s="11" t="n">
        <v>45784</v>
      </c>
      <c r="B41" s="12" t="s">
        <v>92</v>
      </c>
      <c r="C41" s="13"/>
      <c r="D41" s="14"/>
      <c r="E41" s="15"/>
    </row>
    <row r="42" customFormat="false" ht="15" hidden="false" customHeight="false" outlineLevel="0" collapsed="false">
      <c r="A42" s="11" t="n">
        <v>45785</v>
      </c>
      <c r="B42" s="12" t="s">
        <v>93</v>
      </c>
      <c r="C42" s="13"/>
      <c r="D42" s="14"/>
      <c r="E42" s="15"/>
    </row>
    <row r="43" customFormat="false" ht="15" hidden="false" customHeight="false" outlineLevel="0" collapsed="false">
      <c r="A43" s="11" t="n">
        <v>45786</v>
      </c>
      <c r="B43" s="12" t="s">
        <v>94</v>
      </c>
      <c r="C43" s="13"/>
      <c r="D43" s="14"/>
      <c r="E43" s="15"/>
    </row>
    <row r="44" customFormat="false" ht="15" hidden="false" customHeight="false" outlineLevel="0" collapsed="false">
      <c r="A44" s="16" t="n">
        <v>45787</v>
      </c>
      <c r="B44" s="17" t="s">
        <v>95</v>
      </c>
      <c r="C44" s="13"/>
      <c r="D44" s="14"/>
      <c r="E44" s="15"/>
    </row>
    <row r="45" customFormat="false" ht="15" hidden="false" customHeight="false" outlineLevel="0" collapsed="false">
      <c r="A45" s="16" t="n">
        <v>45788</v>
      </c>
      <c r="B45" s="17" t="s">
        <v>96</v>
      </c>
      <c r="C45" s="13"/>
      <c r="D45" s="14"/>
      <c r="E45" s="15"/>
    </row>
    <row r="46" customFormat="false" ht="15" hidden="false" customHeight="false" outlineLevel="0" collapsed="false">
      <c r="A46" s="11" t="n">
        <v>45789</v>
      </c>
      <c r="B46" s="12" t="s">
        <v>97</v>
      </c>
      <c r="C46" s="13"/>
      <c r="D46" s="14"/>
      <c r="E46" s="15"/>
    </row>
    <row r="47" customFormat="false" ht="15" hidden="false" customHeight="false" outlineLevel="0" collapsed="false">
      <c r="A47" s="11" t="n">
        <v>45790</v>
      </c>
      <c r="B47" s="12" t="s">
        <v>91</v>
      </c>
      <c r="C47" s="13"/>
      <c r="D47" s="14"/>
      <c r="E47" s="15"/>
    </row>
    <row r="48" customFormat="false" ht="15" hidden="false" customHeight="false" outlineLevel="0" collapsed="false">
      <c r="A48" s="11" t="n">
        <v>45791</v>
      </c>
      <c r="B48" s="12" t="s">
        <v>92</v>
      </c>
      <c r="C48" s="13"/>
      <c r="D48" s="14"/>
      <c r="E48" s="15"/>
    </row>
    <row r="49" customFormat="false" ht="15" hidden="false" customHeight="false" outlineLevel="0" collapsed="false">
      <c r="A49" s="11" t="n">
        <v>45792</v>
      </c>
      <c r="B49" s="12" t="s">
        <v>93</v>
      </c>
      <c r="C49" s="13"/>
      <c r="D49" s="14"/>
      <c r="E49" s="15"/>
    </row>
    <row r="50" customFormat="false" ht="15" hidden="false" customHeight="false" outlineLevel="0" collapsed="false">
      <c r="A50" s="11" t="n">
        <v>45793</v>
      </c>
      <c r="B50" s="12" t="s">
        <v>94</v>
      </c>
      <c r="C50" s="13"/>
      <c r="D50" s="14"/>
      <c r="E50" s="15"/>
    </row>
    <row r="51" customFormat="false" ht="15" hidden="false" customHeight="false" outlineLevel="0" collapsed="false">
      <c r="A51" s="16" t="n">
        <v>45794</v>
      </c>
      <c r="B51" s="17" t="s">
        <v>95</v>
      </c>
      <c r="C51" s="13"/>
      <c r="D51" s="14"/>
      <c r="E51" s="15"/>
    </row>
    <row r="52" customFormat="false" ht="15" hidden="false" customHeight="false" outlineLevel="0" collapsed="false">
      <c r="A52" s="16" t="n">
        <v>45795</v>
      </c>
      <c r="B52" s="17" t="s">
        <v>96</v>
      </c>
      <c r="C52" s="13"/>
      <c r="D52" s="14"/>
      <c r="E52" s="15"/>
    </row>
    <row r="53" customFormat="false" ht="15" hidden="false" customHeight="false" outlineLevel="0" collapsed="false">
      <c r="A53" s="11" t="n">
        <v>45796</v>
      </c>
      <c r="B53" s="12" t="s">
        <v>97</v>
      </c>
      <c r="C53" s="13"/>
      <c r="D53" s="14"/>
      <c r="E53" s="15"/>
    </row>
    <row r="54" customFormat="false" ht="15" hidden="false" customHeight="false" outlineLevel="0" collapsed="false">
      <c r="A54" s="11" t="n">
        <v>45797</v>
      </c>
      <c r="B54" s="12" t="s">
        <v>91</v>
      </c>
      <c r="C54" s="13"/>
      <c r="D54" s="14"/>
      <c r="E54" s="15"/>
    </row>
    <row r="55" customFormat="false" ht="15" hidden="false" customHeight="false" outlineLevel="0" collapsed="false">
      <c r="A55" s="11" t="n">
        <v>45798</v>
      </c>
      <c r="B55" s="12" t="s">
        <v>92</v>
      </c>
      <c r="C55" s="13"/>
      <c r="D55" s="14"/>
      <c r="E55" s="15"/>
    </row>
    <row r="56" customFormat="false" ht="15" hidden="false" customHeight="false" outlineLevel="0" collapsed="false">
      <c r="A56" s="11" t="n">
        <v>45799</v>
      </c>
      <c r="B56" s="12" t="s">
        <v>93</v>
      </c>
      <c r="C56" s="13"/>
      <c r="D56" s="14"/>
      <c r="E56" s="15"/>
    </row>
    <row r="57" customFormat="false" ht="15" hidden="false" customHeight="false" outlineLevel="0" collapsed="false">
      <c r="A57" s="11" t="n">
        <v>45800</v>
      </c>
      <c r="B57" s="12" t="s">
        <v>94</v>
      </c>
      <c r="C57" s="13"/>
      <c r="D57" s="14"/>
      <c r="E57" s="15"/>
    </row>
    <row r="58" customFormat="false" ht="15" hidden="false" customHeight="false" outlineLevel="0" collapsed="false">
      <c r="A58" s="16" t="n">
        <v>45801</v>
      </c>
      <c r="B58" s="17" t="s">
        <v>95</v>
      </c>
      <c r="C58" s="13"/>
      <c r="D58" s="14"/>
      <c r="E58" s="15"/>
    </row>
    <row r="59" customFormat="false" ht="15" hidden="false" customHeight="false" outlineLevel="0" collapsed="false">
      <c r="A59" s="16" t="n">
        <v>45802</v>
      </c>
      <c r="B59" s="17" t="s">
        <v>96</v>
      </c>
      <c r="C59" s="13"/>
      <c r="D59" s="14"/>
      <c r="E59" s="15"/>
    </row>
    <row r="60" customFormat="false" ht="15" hidden="false" customHeight="false" outlineLevel="0" collapsed="false">
      <c r="A60" s="11" t="n">
        <v>45803</v>
      </c>
      <c r="B60" s="12" t="s">
        <v>97</v>
      </c>
      <c r="C60" s="13"/>
      <c r="D60" s="14"/>
      <c r="E60" s="15"/>
    </row>
    <row r="61" customFormat="false" ht="15" hidden="false" customHeight="false" outlineLevel="0" collapsed="false">
      <c r="A61" s="11" t="n">
        <v>45804</v>
      </c>
      <c r="B61" s="12" t="s">
        <v>91</v>
      </c>
      <c r="C61" s="13"/>
      <c r="D61" s="14"/>
      <c r="E61" s="15"/>
    </row>
    <row r="62" customFormat="false" ht="15" hidden="false" customHeight="false" outlineLevel="0" collapsed="false">
      <c r="A62" s="11" t="n">
        <v>45805</v>
      </c>
      <c r="B62" s="12" t="s">
        <v>92</v>
      </c>
      <c r="C62" s="13"/>
      <c r="D62" s="14"/>
      <c r="E62" s="15"/>
    </row>
    <row r="63" customFormat="false" ht="15" hidden="false" customHeight="false" outlineLevel="0" collapsed="false">
      <c r="A63" s="11" t="n">
        <v>45806</v>
      </c>
      <c r="B63" s="12" t="s">
        <v>93</v>
      </c>
      <c r="C63" s="13"/>
      <c r="D63" s="14"/>
      <c r="E63" s="15"/>
    </row>
    <row r="64" customFormat="false" ht="15" hidden="false" customHeight="false" outlineLevel="0" collapsed="false">
      <c r="A64" s="11" t="n">
        <v>45807</v>
      </c>
      <c r="B64" s="12" t="s">
        <v>94</v>
      </c>
      <c r="C64" s="13"/>
      <c r="D64" s="14"/>
      <c r="E64" s="15"/>
    </row>
    <row r="65" customFormat="false" ht="15" hidden="false" customHeight="false" outlineLevel="0" collapsed="false">
      <c r="A65" s="16" t="n">
        <v>45808</v>
      </c>
      <c r="B65" s="17" t="s">
        <v>95</v>
      </c>
      <c r="C65" s="13"/>
      <c r="D65" s="14"/>
      <c r="E65" s="15"/>
    </row>
    <row r="66" customFormat="false" ht="15" hidden="false" customHeight="false" outlineLevel="0" collapsed="false">
      <c r="A66" s="16" t="n">
        <v>45809</v>
      </c>
      <c r="B66" s="17" t="s">
        <v>96</v>
      </c>
      <c r="C66" s="13"/>
      <c r="D66" s="14"/>
      <c r="E66" s="15"/>
    </row>
    <row r="67" customFormat="false" ht="15" hidden="false" customHeight="false" outlineLevel="0" collapsed="false">
      <c r="A67" s="11" t="n">
        <v>45810</v>
      </c>
      <c r="B67" s="12" t="s">
        <v>97</v>
      </c>
      <c r="C67" s="13"/>
      <c r="D67" s="14"/>
      <c r="E67" s="15"/>
    </row>
    <row r="68" customFormat="false" ht="15" hidden="false" customHeight="false" outlineLevel="0" collapsed="false">
      <c r="A68" s="11" t="n">
        <v>45811</v>
      </c>
      <c r="B68" s="12" t="s">
        <v>91</v>
      </c>
      <c r="C68" s="13"/>
      <c r="D68" s="14"/>
      <c r="E68" s="15"/>
    </row>
    <row r="69" customFormat="false" ht="15" hidden="false" customHeight="false" outlineLevel="0" collapsed="false">
      <c r="A69" s="11" t="n">
        <v>45812</v>
      </c>
      <c r="B69" s="12" t="s">
        <v>92</v>
      </c>
      <c r="C69" s="13"/>
      <c r="D69" s="14"/>
      <c r="E69" s="15"/>
    </row>
    <row r="70" customFormat="false" ht="15" hidden="false" customHeight="false" outlineLevel="0" collapsed="false">
      <c r="A70" s="11" t="n">
        <v>45813</v>
      </c>
      <c r="B70" s="12" t="s">
        <v>93</v>
      </c>
      <c r="C70" s="13"/>
      <c r="D70" s="14"/>
      <c r="E70" s="15"/>
    </row>
    <row r="71" customFormat="false" ht="15" hidden="false" customHeight="false" outlineLevel="0" collapsed="false">
      <c r="A71" s="11" t="n">
        <v>45814</v>
      </c>
      <c r="B71" s="12" t="s">
        <v>94</v>
      </c>
      <c r="C71" s="13"/>
      <c r="D71" s="14"/>
      <c r="E71" s="15"/>
    </row>
    <row r="72" customFormat="false" ht="15" hidden="false" customHeight="false" outlineLevel="0" collapsed="false">
      <c r="A72" s="16" t="n">
        <v>45815</v>
      </c>
      <c r="B72" s="17" t="s">
        <v>95</v>
      </c>
      <c r="C72" s="13"/>
      <c r="D72" s="14"/>
      <c r="E72" s="15"/>
    </row>
    <row r="73" customFormat="false" ht="15" hidden="false" customHeight="false" outlineLevel="0" collapsed="false">
      <c r="A73" s="16" t="n">
        <v>45816</v>
      </c>
      <c r="B73" s="17" t="s">
        <v>96</v>
      </c>
      <c r="C73" s="13"/>
      <c r="D73" s="14"/>
      <c r="E73" s="15"/>
    </row>
    <row r="74" customFormat="false" ht="15" hidden="false" customHeight="false" outlineLevel="0" collapsed="false">
      <c r="A74" s="11" t="n">
        <v>45817</v>
      </c>
      <c r="B74" s="12" t="s">
        <v>97</v>
      </c>
      <c r="C74" s="13"/>
      <c r="D74" s="14"/>
      <c r="E74" s="15"/>
    </row>
    <row r="75" customFormat="false" ht="15" hidden="false" customHeight="false" outlineLevel="0" collapsed="false">
      <c r="A75" s="11" t="n">
        <v>45818</v>
      </c>
      <c r="B75" s="12" t="s">
        <v>91</v>
      </c>
      <c r="C75" s="13"/>
      <c r="D75" s="14"/>
      <c r="E75" s="15"/>
    </row>
    <row r="76" customFormat="false" ht="15" hidden="false" customHeight="false" outlineLevel="0" collapsed="false">
      <c r="A76" s="11" t="n">
        <v>45819</v>
      </c>
      <c r="B76" s="12" t="s">
        <v>92</v>
      </c>
      <c r="C76" s="13"/>
      <c r="D76" s="14"/>
      <c r="E76" s="15"/>
    </row>
    <row r="77" customFormat="false" ht="15" hidden="false" customHeight="false" outlineLevel="0" collapsed="false">
      <c r="A77" s="11" t="n">
        <v>45820</v>
      </c>
      <c r="B77" s="12" t="s">
        <v>93</v>
      </c>
      <c r="C77" s="13"/>
      <c r="D77" s="14"/>
      <c r="E77" s="15"/>
    </row>
    <row r="78" customFormat="false" ht="15" hidden="false" customHeight="false" outlineLevel="0" collapsed="false">
      <c r="A78" s="11" t="n">
        <v>45821</v>
      </c>
      <c r="B78" s="12" t="s">
        <v>94</v>
      </c>
      <c r="C78" s="13"/>
      <c r="D78" s="14"/>
      <c r="E78" s="15"/>
    </row>
    <row r="79" customFormat="false" ht="15" hidden="false" customHeight="false" outlineLevel="0" collapsed="false">
      <c r="A79" s="16" t="n">
        <v>45822</v>
      </c>
      <c r="B79" s="17" t="s">
        <v>95</v>
      </c>
      <c r="C79" s="13"/>
      <c r="D79" s="14"/>
      <c r="E79" s="15"/>
    </row>
    <row r="80" customFormat="false" ht="15" hidden="false" customHeight="false" outlineLevel="0" collapsed="false">
      <c r="A80" s="16" t="n">
        <v>45823</v>
      </c>
      <c r="B80" s="17" t="s">
        <v>96</v>
      </c>
      <c r="C80" s="13"/>
      <c r="D80" s="14"/>
      <c r="E80" s="15"/>
    </row>
    <row r="81" customFormat="false" ht="15" hidden="false" customHeight="false" outlineLevel="0" collapsed="false">
      <c r="A81" s="11" t="n">
        <v>45824</v>
      </c>
      <c r="B81" s="12" t="s">
        <v>97</v>
      </c>
      <c r="C81" s="13"/>
      <c r="D81" s="14"/>
      <c r="E81" s="15"/>
    </row>
    <row r="82" customFormat="false" ht="15" hidden="false" customHeight="false" outlineLevel="0" collapsed="false">
      <c r="A82" s="11" t="n">
        <v>45825</v>
      </c>
      <c r="B82" s="12" t="s">
        <v>91</v>
      </c>
      <c r="C82" s="13"/>
      <c r="D82" s="14"/>
      <c r="E82" s="15"/>
    </row>
    <row r="83" customFormat="false" ht="15" hidden="false" customHeight="false" outlineLevel="0" collapsed="false">
      <c r="A83" s="11" t="n">
        <v>45826</v>
      </c>
      <c r="B83" s="12" t="s">
        <v>92</v>
      </c>
      <c r="C83" s="13"/>
      <c r="D83" s="14"/>
      <c r="E83" s="15"/>
    </row>
    <row r="84" customFormat="false" ht="15" hidden="false" customHeight="false" outlineLevel="0" collapsed="false">
      <c r="A84" s="11" t="n">
        <v>45827</v>
      </c>
      <c r="B84" s="12" t="s">
        <v>93</v>
      </c>
      <c r="C84" s="13"/>
      <c r="D84" s="14"/>
      <c r="E84" s="15"/>
    </row>
    <row r="85" customFormat="false" ht="15" hidden="false" customHeight="false" outlineLevel="0" collapsed="false">
      <c r="A85" s="11" t="n">
        <v>45828</v>
      </c>
      <c r="B85" s="12" t="s">
        <v>94</v>
      </c>
      <c r="C85" s="13"/>
      <c r="D85" s="14"/>
      <c r="E85" s="15"/>
    </row>
    <row r="86" customFormat="false" ht="15" hidden="false" customHeight="false" outlineLevel="0" collapsed="false">
      <c r="A86" s="16" t="n">
        <v>45829</v>
      </c>
      <c r="B86" s="17" t="s">
        <v>95</v>
      </c>
      <c r="C86" s="13"/>
      <c r="D86" s="14"/>
      <c r="E86" s="15"/>
    </row>
    <row r="87" customFormat="false" ht="15" hidden="false" customHeight="false" outlineLevel="0" collapsed="false">
      <c r="A87" s="16" t="n">
        <v>45830</v>
      </c>
      <c r="B87" s="17" t="s">
        <v>96</v>
      </c>
      <c r="C87" s="13"/>
      <c r="D87" s="14"/>
      <c r="E87" s="15"/>
    </row>
    <row r="88" customFormat="false" ht="15" hidden="false" customHeight="false" outlineLevel="0" collapsed="false">
      <c r="A88" s="11" t="n">
        <v>45831</v>
      </c>
      <c r="B88" s="12" t="s">
        <v>97</v>
      </c>
      <c r="C88" s="13"/>
      <c r="D88" s="14"/>
      <c r="E88" s="15"/>
    </row>
    <row r="89" customFormat="false" ht="15" hidden="false" customHeight="false" outlineLevel="0" collapsed="false">
      <c r="A89" s="11" t="n">
        <v>45832</v>
      </c>
      <c r="B89" s="12" t="s">
        <v>91</v>
      </c>
      <c r="C89" s="13"/>
      <c r="D89" s="14"/>
      <c r="E89" s="15"/>
    </row>
    <row r="90" customFormat="false" ht="15" hidden="false" customHeight="false" outlineLevel="0" collapsed="false">
      <c r="A90" s="11" t="n">
        <v>45833</v>
      </c>
      <c r="B90" s="12" t="s">
        <v>92</v>
      </c>
      <c r="C90" s="13"/>
      <c r="D90" s="14"/>
      <c r="E90" s="15"/>
    </row>
    <row r="91" customFormat="false" ht="15" hidden="false" customHeight="false" outlineLevel="0" collapsed="false">
      <c r="A91" s="11" t="n">
        <v>45834</v>
      </c>
      <c r="B91" s="12" t="s">
        <v>93</v>
      </c>
      <c r="C91" s="13"/>
      <c r="D91" s="14"/>
      <c r="E91" s="15"/>
    </row>
    <row r="92" customFormat="false" ht="15" hidden="false" customHeight="false" outlineLevel="0" collapsed="false">
      <c r="A92" s="11" t="n">
        <v>45835</v>
      </c>
      <c r="B92" s="12" t="s">
        <v>94</v>
      </c>
      <c r="C92" s="13"/>
      <c r="D92" s="14"/>
      <c r="E92" s="15"/>
    </row>
    <row r="93" customFormat="false" ht="15" hidden="false" customHeight="false" outlineLevel="0" collapsed="false">
      <c r="A93" s="16" t="n">
        <v>45836</v>
      </c>
      <c r="B93" s="17" t="s">
        <v>95</v>
      </c>
      <c r="C93" s="13"/>
      <c r="D93" s="14"/>
      <c r="E93" s="15"/>
    </row>
    <row r="94" customFormat="false" ht="15" hidden="false" customHeight="false" outlineLevel="0" collapsed="false">
      <c r="A94" s="16" t="n">
        <v>45837</v>
      </c>
      <c r="B94" s="17" t="s">
        <v>96</v>
      </c>
      <c r="C94" s="13"/>
      <c r="D94" s="14"/>
      <c r="E94" s="15"/>
    </row>
    <row r="95" customFormat="false" ht="15" hidden="false" customHeight="false" outlineLevel="0" collapsed="false">
      <c r="A95" s="11" t="n">
        <v>45838</v>
      </c>
      <c r="B95" s="12" t="s">
        <v>97</v>
      </c>
      <c r="C95" s="13"/>
      <c r="D95" s="14"/>
      <c r="E95" s="15"/>
    </row>
    <row r="96" customFormat="false" ht="15" hidden="false" customHeight="false" outlineLevel="0" collapsed="false">
      <c r="A96" s="11" t="n">
        <v>45839</v>
      </c>
      <c r="B96" s="12" t="s">
        <v>91</v>
      </c>
      <c r="C96" s="13"/>
      <c r="D96" s="14"/>
      <c r="E96" s="15"/>
    </row>
    <row r="97" customFormat="false" ht="15" hidden="false" customHeight="false" outlineLevel="0" collapsed="false">
      <c r="A97" s="11" t="n">
        <v>45840</v>
      </c>
      <c r="B97" s="12" t="s">
        <v>92</v>
      </c>
      <c r="C97" s="13"/>
      <c r="D97" s="14"/>
      <c r="E97" s="15"/>
    </row>
    <row r="98" customFormat="false" ht="15" hidden="false" customHeight="false" outlineLevel="0" collapsed="false">
      <c r="A98" s="11" t="n">
        <v>45841</v>
      </c>
      <c r="B98" s="12" t="s">
        <v>93</v>
      </c>
      <c r="C98" s="13"/>
      <c r="D98" s="14"/>
      <c r="E98" s="15"/>
    </row>
    <row r="99" customFormat="false" ht="15" hidden="false" customHeight="false" outlineLevel="0" collapsed="false">
      <c r="A99" s="11" t="n">
        <v>45842</v>
      </c>
      <c r="B99" s="12" t="s">
        <v>94</v>
      </c>
      <c r="C99" s="13"/>
      <c r="D99" s="14"/>
      <c r="E99" s="15"/>
    </row>
    <row r="100" customFormat="false" ht="15" hidden="false" customHeight="false" outlineLevel="0" collapsed="false">
      <c r="A100" s="16" t="n">
        <v>45843</v>
      </c>
      <c r="B100" s="17" t="s">
        <v>95</v>
      </c>
      <c r="C100" s="13"/>
      <c r="D100" s="14"/>
      <c r="E100" s="15"/>
    </row>
    <row r="101" customFormat="false" ht="15" hidden="false" customHeight="false" outlineLevel="0" collapsed="false">
      <c r="A101" s="16" t="n">
        <v>45844</v>
      </c>
      <c r="B101" s="17" t="s">
        <v>96</v>
      </c>
      <c r="C101" s="13"/>
      <c r="D101" s="14"/>
      <c r="E101" s="15"/>
    </row>
    <row r="102" customFormat="false" ht="15" hidden="false" customHeight="false" outlineLevel="0" collapsed="false">
      <c r="A102" s="11" t="n">
        <v>45845</v>
      </c>
      <c r="B102" s="12" t="s">
        <v>97</v>
      </c>
      <c r="C102" s="13"/>
      <c r="D102" s="14"/>
      <c r="E102" s="15"/>
    </row>
    <row r="103" customFormat="false" ht="15" hidden="false" customHeight="false" outlineLevel="0" collapsed="false">
      <c r="A103" s="11" t="n">
        <v>45846</v>
      </c>
      <c r="B103" s="12" t="s">
        <v>91</v>
      </c>
      <c r="C103" s="13"/>
      <c r="D103" s="14"/>
      <c r="E103" s="15"/>
    </row>
    <row r="104" customFormat="false" ht="15" hidden="false" customHeight="false" outlineLevel="0" collapsed="false">
      <c r="A104" s="11" t="n">
        <v>45847</v>
      </c>
      <c r="B104" s="12" t="s">
        <v>92</v>
      </c>
      <c r="C104" s="13"/>
      <c r="D104" s="14"/>
      <c r="E104" s="15"/>
    </row>
    <row r="105" customFormat="false" ht="15" hidden="false" customHeight="false" outlineLevel="0" collapsed="false">
      <c r="A105" s="11" t="n">
        <v>45848</v>
      </c>
      <c r="B105" s="12" t="s">
        <v>93</v>
      </c>
      <c r="C105" s="13"/>
      <c r="D105" s="14"/>
      <c r="E105" s="15"/>
    </row>
    <row r="106" customFormat="false" ht="15" hidden="false" customHeight="false" outlineLevel="0" collapsed="false">
      <c r="A106" s="11" t="n">
        <v>45849</v>
      </c>
      <c r="B106" s="12" t="s">
        <v>94</v>
      </c>
      <c r="C106" s="13"/>
      <c r="D106" s="14"/>
      <c r="E106" s="15"/>
    </row>
    <row r="107" customFormat="false" ht="15" hidden="false" customHeight="false" outlineLevel="0" collapsed="false">
      <c r="A107" s="16" t="n">
        <v>45850</v>
      </c>
      <c r="B107" s="17" t="s">
        <v>95</v>
      </c>
      <c r="C107" s="13"/>
      <c r="D107" s="14"/>
      <c r="E107" s="15"/>
    </row>
    <row r="108" customFormat="false" ht="15" hidden="false" customHeight="false" outlineLevel="0" collapsed="false">
      <c r="A108" s="16" t="n">
        <v>45851</v>
      </c>
      <c r="B108" s="17" t="s">
        <v>96</v>
      </c>
      <c r="C108" s="13"/>
      <c r="D108" s="14"/>
      <c r="E108" s="15"/>
    </row>
    <row r="109" customFormat="false" ht="15" hidden="false" customHeight="false" outlineLevel="0" collapsed="false">
      <c r="A109" s="11" t="n">
        <v>45852</v>
      </c>
      <c r="B109" s="12" t="s">
        <v>97</v>
      </c>
      <c r="C109" s="13"/>
      <c r="D109" s="14"/>
      <c r="E109" s="15"/>
    </row>
    <row r="110" customFormat="false" ht="15" hidden="false" customHeight="false" outlineLevel="0" collapsed="false">
      <c r="A110" s="11" t="n">
        <v>45853</v>
      </c>
      <c r="B110" s="12" t="s">
        <v>91</v>
      </c>
      <c r="C110" s="13"/>
      <c r="D110" s="14"/>
      <c r="E110" s="15"/>
    </row>
    <row r="111" customFormat="false" ht="15" hidden="false" customHeight="false" outlineLevel="0" collapsed="false">
      <c r="A111" s="11" t="n">
        <v>45854</v>
      </c>
      <c r="B111" s="12" t="s">
        <v>92</v>
      </c>
      <c r="C111" s="13"/>
      <c r="D111" s="14"/>
      <c r="E111" s="15"/>
    </row>
    <row r="112" customFormat="false" ht="15" hidden="false" customHeight="false" outlineLevel="0" collapsed="false">
      <c r="A112" s="11" t="n">
        <v>45855</v>
      </c>
      <c r="B112" s="12" t="s">
        <v>93</v>
      </c>
      <c r="C112" s="13"/>
      <c r="D112" s="14"/>
      <c r="E112" s="15"/>
    </row>
    <row r="113" customFormat="false" ht="15" hidden="false" customHeight="false" outlineLevel="0" collapsed="false">
      <c r="A113" s="11" t="n">
        <v>45856</v>
      </c>
      <c r="B113" s="12" t="s">
        <v>94</v>
      </c>
      <c r="C113" s="13"/>
      <c r="D113" s="14"/>
      <c r="E113" s="15"/>
    </row>
    <row r="114" customFormat="false" ht="15" hidden="false" customHeight="false" outlineLevel="0" collapsed="false">
      <c r="A114" s="16" t="n">
        <v>45857</v>
      </c>
      <c r="B114" s="17" t="s">
        <v>95</v>
      </c>
      <c r="C114" s="13"/>
      <c r="D114" s="14"/>
      <c r="E114" s="15"/>
    </row>
    <row r="115" customFormat="false" ht="15" hidden="false" customHeight="false" outlineLevel="0" collapsed="false">
      <c r="A115" s="16" t="n">
        <v>45858</v>
      </c>
      <c r="B115" s="17" t="s">
        <v>96</v>
      </c>
      <c r="C115" s="13"/>
      <c r="D115" s="14"/>
      <c r="E115" s="15"/>
    </row>
    <row r="116" customFormat="false" ht="15" hidden="false" customHeight="false" outlineLevel="0" collapsed="false">
      <c r="A116" s="11" t="n">
        <v>45859</v>
      </c>
      <c r="B116" s="12" t="s">
        <v>97</v>
      </c>
      <c r="C116" s="13"/>
      <c r="D116" s="14"/>
      <c r="E116" s="15"/>
    </row>
    <row r="117" customFormat="false" ht="15" hidden="false" customHeight="false" outlineLevel="0" collapsed="false">
      <c r="A117" s="11" t="n">
        <v>45860</v>
      </c>
      <c r="B117" s="12" t="s">
        <v>91</v>
      </c>
      <c r="C117" s="13"/>
      <c r="D117" s="14"/>
      <c r="E117" s="15"/>
    </row>
    <row r="118" customFormat="false" ht="15" hidden="false" customHeight="false" outlineLevel="0" collapsed="false">
      <c r="A118" s="11" t="n">
        <v>45861</v>
      </c>
      <c r="B118" s="12" t="s">
        <v>92</v>
      </c>
      <c r="C118" s="13"/>
      <c r="D118" s="14"/>
      <c r="E118" s="15"/>
    </row>
    <row r="119" customFormat="false" ht="15" hidden="false" customHeight="false" outlineLevel="0" collapsed="false">
      <c r="A119" s="11" t="n">
        <v>45862</v>
      </c>
      <c r="B119" s="12" t="s">
        <v>93</v>
      </c>
      <c r="C119" s="13"/>
      <c r="D119" s="14"/>
      <c r="E119" s="15"/>
    </row>
    <row r="120" customFormat="false" ht="15" hidden="false" customHeight="false" outlineLevel="0" collapsed="false">
      <c r="A120" s="11" t="n">
        <v>45863</v>
      </c>
      <c r="B120" s="12" t="s">
        <v>94</v>
      </c>
      <c r="C120" s="13"/>
      <c r="D120" s="14"/>
      <c r="E120" s="15"/>
    </row>
    <row r="121" customFormat="false" ht="15" hidden="false" customHeight="false" outlineLevel="0" collapsed="false">
      <c r="A121" s="16" t="n">
        <v>45864</v>
      </c>
      <c r="B121" s="17" t="s">
        <v>95</v>
      </c>
      <c r="C121" s="13"/>
      <c r="D121" s="14"/>
      <c r="E121" s="15"/>
    </row>
    <row r="122" customFormat="false" ht="15" hidden="false" customHeight="false" outlineLevel="0" collapsed="false">
      <c r="A122" s="16" t="n">
        <v>45865</v>
      </c>
      <c r="B122" s="17" t="s">
        <v>96</v>
      </c>
      <c r="C122" s="13"/>
      <c r="D122" s="14"/>
      <c r="E122" s="15"/>
    </row>
    <row r="123" customFormat="false" ht="15" hidden="false" customHeight="false" outlineLevel="0" collapsed="false">
      <c r="A123" s="11" t="n">
        <v>45866</v>
      </c>
      <c r="B123" s="12" t="s">
        <v>97</v>
      </c>
      <c r="C123" s="13"/>
      <c r="D123" s="14"/>
      <c r="E123" s="15"/>
    </row>
    <row r="124" customFormat="false" ht="15" hidden="false" customHeight="false" outlineLevel="0" collapsed="false">
      <c r="A124" s="11" t="n">
        <v>45867</v>
      </c>
      <c r="B124" s="12" t="s">
        <v>91</v>
      </c>
      <c r="C124" s="13"/>
      <c r="D124" s="14"/>
      <c r="E124" s="15"/>
    </row>
    <row r="125" customFormat="false" ht="15" hidden="false" customHeight="false" outlineLevel="0" collapsed="false">
      <c r="A125" s="11" t="n">
        <v>45868</v>
      </c>
      <c r="B125" s="12" t="s">
        <v>92</v>
      </c>
      <c r="C125" s="13"/>
      <c r="D125" s="14"/>
      <c r="E125" s="15"/>
    </row>
    <row r="126" customFormat="false" ht="15" hidden="false" customHeight="false" outlineLevel="0" collapsed="false">
      <c r="A126" s="11" t="n">
        <v>45869</v>
      </c>
      <c r="B126" s="12" t="s">
        <v>93</v>
      </c>
      <c r="C126" s="13"/>
      <c r="D126" s="14"/>
      <c r="E126" s="15"/>
    </row>
    <row r="127" customFormat="false" ht="15" hidden="false" customHeight="false" outlineLevel="0" collapsed="false">
      <c r="A127" s="11" t="n">
        <v>45870</v>
      </c>
      <c r="B127" s="12" t="s">
        <v>94</v>
      </c>
      <c r="C127" s="13"/>
      <c r="D127" s="14"/>
      <c r="E127" s="15"/>
    </row>
    <row r="128" customFormat="false" ht="15" hidden="false" customHeight="false" outlineLevel="0" collapsed="false">
      <c r="A128" s="16" t="n">
        <v>45871</v>
      </c>
      <c r="B128" s="17" t="s">
        <v>95</v>
      </c>
      <c r="C128" s="13"/>
      <c r="D128" s="14"/>
      <c r="E128" s="15"/>
    </row>
    <row r="129" customFormat="false" ht="15" hidden="false" customHeight="false" outlineLevel="0" collapsed="false">
      <c r="A129" s="16" t="n">
        <v>45872</v>
      </c>
      <c r="B129" s="17" t="s">
        <v>96</v>
      </c>
      <c r="C129" s="13"/>
      <c r="D129" s="14"/>
      <c r="E129" s="15"/>
    </row>
    <row r="130" customFormat="false" ht="15" hidden="false" customHeight="false" outlineLevel="0" collapsed="false">
      <c r="A130" s="11" t="n">
        <v>45873</v>
      </c>
      <c r="B130" s="12" t="s">
        <v>97</v>
      </c>
      <c r="C130" s="13"/>
      <c r="D130" s="14"/>
      <c r="E130" s="15"/>
    </row>
    <row r="131" customFormat="false" ht="15" hidden="false" customHeight="false" outlineLevel="0" collapsed="false">
      <c r="A131" s="11" t="n">
        <v>45874</v>
      </c>
      <c r="B131" s="12" t="s">
        <v>91</v>
      </c>
      <c r="C131" s="13"/>
      <c r="D131" s="14"/>
      <c r="E131" s="15"/>
    </row>
    <row r="132" customFormat="false" ht="15" hidden="false" customHeight="false" outlineLevel="0" collapsed="false">
      <c r="A132" s="11" t="n">
        <v>45875</v>
      </c>
      <c r="B132" s="12" t="s">
        <v>92</v>
      </c>
      <c r="C132" s="13"/>
      <c r="D132" s="14"/>
      <c r="E132" s="15"/>
    </row>
    <row r="133" customFormat="false" ht="15" hidden="false" customHeight="false" outlineLevel="0" collapsed="false">
      <c r="A133" s="11" t="n">
        <v>45876</v>
      </c>
      <c r="B133" s="12" t="s">
        <v>93</v>
      </c>
      <c r="C133" s="13"/>
      <c r="D133" s="14"/>
      <c r="E133" s="15"/>
    </row>
    <row r="134" customFormat="false" ht="15" hidden="false" customHeight="false" outlineLevel="0" collapsed="false">
      <c r="A134" s="11" t="n">
        <v>45877</v>
      </c>
      <c r="B134" s="12" t="s">
        <v>94</v>
      </c>
      <c r="C134" s="13"/>
      <c r="D134" s="14"/>
      <c r="E134" s="15"/>
    </row>
    <row r="135" customFormat="false" ht="15" hidden="false" customHeight="false" outlineLevel="0" collapsed="false">
      <c r="A135" s="16" t="n">
        <v>45878</v>
      </c>
      <c r="B135" s="17" t="s">
        <v>95</v>
      </c>
      <c r="C135" s="13"/>
      <c r="D135" s="14"/>
      <c r="E135" s="15"/>
    </row>
    <row r="136" customFormat="false" ht="15" hidden="false" customHeight="false" outlineLevel="0" collapsed="false">
      <c r="A136" s="16" t="n">
        <v>45879</v>
      </c>
      <c r="B136" s="17" t="s">
        <v>96</v>
      </c>
      <c r="C136" s="13"/>
      <c r="D136" s="14"/>
      <c r="E136" s="15"/>
    </row>
    <row r="137" customFormat="false" ht="15" hidden="false" customHeight="false" outlineLevel="0" collapsed="false">
      <c r="A137" s="11" t="n">
        <v>45880</v>
      </c>
      <c r="B137" s="12" t="s">
        <v>97</v>
      </c>
      <c r="C137" s="13"/>
      <c r="D137" s="14"/>
      <c r="E137" s="15"/>
    </row>
    <row r="138" customFormat="false" ht="15" hidden="false" customHeight="false" outlineLevel="0" collapsed="false">
      <c r="A138" s="11" t="n">
        <v>45881</v>
      </c>
      <c r="B138" s="12" t="s">
        <v>91</v>
      </c>
      <c r="C138" s="13"/>
      <c r="D138" s="14"/>
      <c r="E138" s="15"/>
    </row>
    <row r="139" customFormat="false" ht="15" hidden="false" customHeight="false" outlineLevel="0" collapsed="false">
      <c r="A139" s="11" t="n">
        <v>45882</v>
      </c>
      <c r="B139" s="12" t="s">
        <v>92</v>
      </c>
      <c r="C139" s="13"/>
      <c r="D139" s="14"/>
      <c r="E139" s="15"/>
    </row>
    <row r="140" customFormat="false" ht="15" hidden="false" customHeight="false" outlineLevel="0" collapsed="false">
      <c r="A140" s="11" t="n">
        <v>45883</v>
      </c>
      <c r="B140" s="12" t="s">
        <v>93</v>
      </c>
      <c r="C140" s="13"/>
      <c r="D140" s="14"/>
      <c r="E140" s="15"/>
    </row>
    <row r="141" customFormat="false" ht="15" hidden="false" customHeight="false" outlineLevel="0" collapsed="false">
      <c r="A141" s="11" t="n">
        <v>45884</v>
      </c>
      <c r="B141" s="12" t="s">
        <v>94</v>
      </c>
      <c r="C141" s="13"/>
      <c r="D141" s="14"/>
      <c r="E141" s="15"/>
    </row>
    <row r="142" customFormat="false" ht="15" hidden="false" customHeight="false" outlineLevel="0" collapsed="false">
      <c r="A142" s="16" t="n">
        <v>45885</v>
      </c>
      <c r="B142" s="17" t="s">
        <v>95</v>
      </c>
      <c r="C142" s="13"/>
      <c r="D142" s="14"/>
      <c r="E142" s="15"/>
    </row>
    <row r="143" customFormat="false" ht="15" hidden="false" customHeight="false" outlineLevel="0" collapsed="false">
      <c r="A143" s="16" t="n">
        <v>45886</v>
      </c>
      <c r="B143" s="17" t="s">
        <v>96</v>
      </c>
      <c r="C143" s="13"/>
      <c r="D143" s="14"/>
      <c r="E143" s="15"/>
    </row>
    <row r="144" customFormat="false" ht="15" hidden="false" customHeight="false" outlineLevel="0" collapsed="false">
      <c r="A144" s="11" t="n">
        <v>45887</v>
      </c>
      <c r="B144" s="12" t="s">
        <v>97</v>
      </c>
      <c r="C144" s="13"/>
      <c r="D144" s="14"/>
      <c r="E144" s="15"/>
    </row>
    <row r="145" customFormat="false" ht="15" hidden="false" customHeight="false" outlineLevel="0" collapsed="false">
      <c r="A145" s="11" t="n">
        <v>45888</v>
      </c>
      <c r="B145" s="12" t="s">
        <v>91</v>
      </c>
      <c r="C145" s="13"/>
      <c r="D145" s="14"/>
      <c r="E145" s="15"/>
    </row>
    <row r="146" customFormat="false" ht="15" hidden="false" customHeight="false" outlineLevel="0" collapsed="false">
      <c r="A146" s="11" t="n">
        <v>45889</v>
      </c>
      <c r="B146" s="12" t="s">
        <v>92</v>
      </c>
      <c r="C146" s="13"/>
      <c r="D146" s="14"/>
      <c r="E146" s="15"/>
    </row>
    <row r="147" customFormat="false" ht="15" hidden="false" customHeight="false" outlineLevel="0" collapsed="false">
      <c r="A147" s="11" t="n">
        <v>45890</v>
      </c>
      <c r="B147" s="12" t="s">
        <v>93</v>
      </c>
      <c r="C147" s="13"/>
      <c r="D147" s="14"/>
      <c r="E147" s="15"/>
    </row>
    <row r="148" customFormat="false" ht="15" hidden="false" customHeight="false" outlineLevel="0" collapsed="false">
      <c r="A148" s="11" t="n">
        <v>45891</v>
      </c>
      <c r="B148" s="12" t="s">
        <v>94</v>
      </c>
      <c r="C148" s="13"/>
      <c r="D148" s="14"/>
      <c r="E148" s="15"/>
    </row>
    <row r="149" customFormat="false" ht="15" hidden="false" customHeight="false" outlineLevel="0" collapsed="false">
      <c r="A149" s="16" t="n">
        <v>45892</v>
      </c>
      <c r="B149" s="17" t="s">
        <v>95</v>
      </c>
      <c r="C149" s="13"/>
      <c r="D149" s="14"/>
      <c r="E149" s="15"/>
    </row>
    <row r="150" customFormat="false" ht="15" hidden="false" customHeight="false" outlineLevel="0" collapsed="false">
      <c r="A150" s="16" t="n">
        <v>45893</v>
      </c>
      <c r="B150" s="17" t="s">
        <v>96</v>
      </c>
      <c r="C150" s="13"/>
      <c r="D150" s="14"/>
      <c r="E150" s="15"/>
    </row>
    <row r="151" customFormat="false" ht="15" hidden="false" customHeight="false" outlineLevel="0" collapsed="false">
      <c r="A151" s="11" t="n">
        <v>45894</v>
      </c>
      <c r="B151" s="12" t="s">
        <v>97</v>
      </c>
      <c r="C151" s="13"/>
      <c r="D151" s="14"/>
      <c r="E151" s="15"/>
    </row>
    <row r="152" customFormat="false" ht="15" hidden="false" customHeight="false" outlineLevel="0" collapsed="false">
      <c r="A152" s="11" t="n">
        <v>45895</v>
      </c>
      <c r="B152" s="12" t="s">
        <v>91</v>
      </c>
      <c r="C152" s="13"/>
      <c r="D152" s="14"/>
      <c r="E152" s="15"/>
    </row>
    <row r="153" customFormat="false" ht="15" hidden="false" customHeight="false" outlineLevel="0" collapsed="false">
      <c r="A153" s="11" t="n">
        <v>45896</v>
      </c>
      <c r="B153" s="12" t="s">
        <v>92</v>
      </c>
      <c r="C153" s="13"/>
      <c r="D153" s="14"/>
      <c r="E153" s="15"/>
    </row>
    <row r="154" customFormat="false" ht="15" hidden="false" customHeight="false" outlineLevel="0" collapsed="false">
      <c r="A154" s="11" t="n">
        <v>45897</v>
      </c>
      <c r="B154" s="12" t="s">
        <v>93</v>
      </c>
      <c r="C154" s="13"/>
      <c r="D154" s="14"/>
      <c r="E154" s="15"/>
    </row>
    <row r="155" customFormat="false" ht="15" hidden="false" customHeight="false" outlineLevel="0" collapsed="false">
      <c r="A155" s="11" t="n">
        <v>45898</v>
      </c>
      <c r="B155" s="12" t="s">
        <v>94</v>
      </c>
      <c r="C155" s="13"/>
      <c r="D155" s="14"/>
      <c r="E155" s="15"/>
    </row>
    <row r="156" customFormat="false" ht="15" hidden="false" customHeight="false" outlineLevel="0" collapsed="false">
      <c r="A156" s="16" t="n">
        <v>45899</v>
      </c>
      <c r="B156" s="17" t="s">
        <v>95</v>
      </c>
      <c r="C156" s="13"/>
      <c r="D156" s="14"/>
      <c r="E156" s="15"/>
    </row>
    <row r="157" customFormat="false" ht="15" hidden="false" customHeight="false" outlineLevel="0" collapsed="false">
      <c r="A157" s="16" t="n">
        <v>45900</v>
      </c>
      <c r="B157" s="17" t="s">
        <v>96</v>
      </c>
      <c r="C157" s="13"/>
      <c r="D157" s="14"/>
      <c r="E157" s="15"/>
    </row>
    <row r="158" customFormat="false" ht="15" hidden="false" customHeight="false" outlineLevel="0" collapsed="false">
      <c r="A158" s="11" t="n">
        <v>45901</v>
      </c>
      <c r="B158" s="12" t="s">
        <v>97</v>
      </c>
      <c r="C158" s="13"/>
      <c r="D158" s="14"/>
      <c r="E158" s="15"/>
    </row>
    <row r="159" customFormat="false" ht="15" hidden="false" customHeight="false" outlineLevel="0" collapsed="false">
      <c r="A159" s="11" t="n">
        <v>45902</v>
      </c>
      <c r="B159" s="12" t="s">
        <v>91</v>
      </c>
      <c r="C159" s="13"/>
      <c r="D159" s="14"/>
      <c r="E159" s="15"/>
    </row>
    <row r="160" customFormat="false" ht="15" hidden="false" customHeight="false" outlineLevel="0" collapsed="false">
      <c r="A160" s="11" t="n">
        <v>45903</v>
      </c>
      <c r="B160" s="12" t="s">
        <v>92</v>
      </c>
      <c r="C160" s="13"/>
      <c r="D160" s="14"/>
      <c r="E160" s="15"/>
    </row>
    <row r="161" customFormat="false" ht="15" hidden="false" customHeight="false" outlineLevel="0" collapsed="false">
      <c r="A161" s="11" t="n">
        <v>45904</v>
      </c>
      <c r="B161" s="12" t="s">
        <v>93</v>
      </c>
      <c r="C161" s="13"/>
      <c r="D161" s="14"/>
      <c r="E161" s="15"/>
    </row>
    <row r="162" customFormat="false" ht="15" hidden="false" customHeight="false" outlineLevel="0" collapsed="false">
      <c r="A162" s="11" t="n">
        <v>45905</v>
      </c>
      <c r="B162" s="12" t="s">
        <v>94</v>
      </c>
      <c r="C162" s="13"/>
      <c r="D162" s="14"/>
      <c r="E162" s="15"/>
    </row>
    <row r="163" customFormat="false" ht="15" hidden="false" customHeight="false" outlineLevel="0" collapsed="false">
      <c r="A163" s="16" t="n">
        <v>45906</v>
      </c>
      <c r="B163" s="17" t="s">
        <v>95</v>
      </c>
      <c r="C163" s="13"/>
      <c r="D163" s="14"/>
      <c r="E163" s="15"/>
    </row>
    <row r="164" customFormat="false" ht="15" hidden="false" customHeight="false" outlineLevel="0" collapsed="false">
      <c r="A164" s="16" t="n">
        <v>45907</v>
      </c>
      <c r="B164" s="17" t="s">
        <v>96</v>
      </c>
      <c r="C164" s="13"/>
      <c r="D164" s="14"/>
      <c r="E164" s="15"/>
    </row>
    <row r="165" customFormat="false" ht="15" hidden="false" customHeight="false" outlineLevel="0" collapsed="false">
      <c r="A165" s="11" t="n">
        <v>45908</v>
      </c>
      <c r="B165" s="12" t="s">
        <v>97</v>
      </c>
      <c r="C165" s="13"/>
      <c r="D165" s="14"/>
      <c r="E165" s="15"/>
    </row>
    <row r="166" customFormat="false" ht="15" hidden="false" customHeight="false" outlineLevel="0" collapsed="false">
      <c r="A166" s="11" t="n">
        <v>45909</v>
      </c>
      <c r="B166" s="12" t="s">
        <v>91</v>
      </c>
      <c r="C166" s="13"/>
      <c r="D166" s="14"/>
      <c r="E166" s="15"/>
    </row>
    <row r="167" customFormat="false" ht="15" hidden="false" customHeight="false" outlineLevel="0" collapsed="false">
      <c r="A167" s="11" t="n">
        <v>45910</v>
      </c>
      <c r="B167" s="12" t="s">
        <v>92</v>
      </c>
      <c r="C167" s="13"/>
      <c r="D167" s="14"/>
      <c r="E167" s="15"/>
    </row>
    <row r="168" customFormat="false" ht="15" hidden="false" customHeight="false" outlineLevel="0" collapsed="false">
      <c r="A168" s="11" t="n">
        <v>45911</v>
      </c>
      <c r="B168" s="12" t="s">
        <v>93</v>
      </c>
      <c r="C168" s="13"/>
      <c r="D168" s="14"/>
      <c r="E168" s="15"/>
    </row>
    <row r="169" customFormat="false" ht="15" hidden="false" customHeight="false" outlineLevel="0" collapsed="false">
      <c r="A169" s="11" t="n">
        <v>45912</v>
      </c>
      <c r="B169" s="12" t="s">
        <v>94</v>
      </c>
      <c r="C169" s="13"/>
      <c r="D169" s="14"/>
      <c r="E169" s="15"/>
    </row>
    <row r="170" customFormat="false" ht="15" hidden="false" customHeight="false" outlineLevel="0" collapsed="false">
      <c r="A170" s="16" t="n">
        <v>45913</v>
      </c>
      <c r="B170" s="17" t="s">
        <v>95</v>
      </c>
      <c r="C170" s="13"/>
      <c r="D170" s="14"/>
      <c r="E170" s="15"/>
    </row>
    <row r="171" customFormat="false" ht="15" hidden="false" customHeight="false" outlineLevel="0" collapsed="false">
      <c r="A171" s="16" t="n">
        <v>45914</v>
      </c>
      <c r="B171" s="17" t="s">
        <v>96</v>
      </c>
      <c r="C171" s="13"/>
      <c r="D171" s="14"/>
      <c r="E171" s="15"/>
    </row>
    <row r="172" customFormat="false" ht="15" hidden="false" customHeight="false" outlineLevel="0" collapsed="false">
      <c r="A172" s="11" t="n">
        <v>45915</v>
      </c>
      <c r="B172" s="12" t="s">
        <v>97</v>
      </c>
      <c r="C172" s="13"/>
      <c r="D172" s="14"/>
      <c r="E172" s="15"/>
    </row>
    <row r="173" customFormat="false" ht="15" hidden="false" customHeight="false" outlineLevel="0" collapsed="false">
      <c r="A173" s="11" t="n">
        <v>45916</v>
      </c>
      <c r="B173" s="12" t="s">
        <v>91</v>
      </c>
      <c r="C173" s="13"/>
      <c r="D173" s="14"/>
      <c r="E173" s="15"/>
    </row>
    <row r="174" customFormat="false" ht="15" hidden="false" customHeight="false" outlineLevel="0" collapsed="false">
      <c r="A174" s="11" t="n">
        <v>45917</v>
      </c>
      <c r="B174" s="12" t="s">
        <v>92</v>
      </c>
      <c r="C174" s="13"/>
      <c r="D174" s="14"/>
      <c r="E174" s="15"/>
    </row>
    <row r="175" customFormat="false" ht="15" hidden="false" customHeight="false" outlineLevel="0" collapsed="false">
      <c r="A175" s="11" t="n">
        <v>45918</v>
      </c>
      <c r="B175" s="12" t="s">
        <v>93</v>
      </c>
      <c r="C175" s="13"/>
      <c r="D175" s="14"/>
      <c r="E175" s="15"/>
    </row>
    <row r="176" customFormat="false" ht="15" hidden="false" customHeight="false" outlineLevel="0" collapsed="false">
      <c r="A176" s="11" t="n">
        <v>45919</v>
      </c>
      <c r="B176" s="12" t="s">
        <v>94</v>
      </c>
      <c r="C176" s="13"/>
      <c r="D176" s="14"/>
      <c r="E176" s="15"/>
    </row>
    <row r="177" customFormat="false" ht="15" hidden="false" customHeight="false" outlineLevel="0" collapsed="false">
      <c r="A177" s="16" t="n">
        <v>45920</v>
      </c>
      <c r="B177" s="17" t="s">
        <v>95</v>
      </c>
      <c r="C177" s="13"/>
      <c r="D177" s="14"/>
      <c r="E177" s="15"/>
    </row>
    <row r="178" customFormat="false" ht="15" hidden="false" customHeight="false" outlineLevel="0" collapsed="false">
      <c r="A178" s="16" t="n">
        <v>45921</v>
      </c>
      <c r="B178" s="17" t="s">
        <v>96</v>
      </c>
      <c r="C178" s="13"/>
      <c r="D178" s="14"/>
      <c r="E178" s="15"/>
    </row>
    <row r="179" customFormat="false" ht="15" hidden="false" customHeight="false" outlineLevel="0" collapsed="false">
      <c r="A179" s="11" t="n">
        <v>45922</v>
      </c>
      <c r="B179" s="12" t="s">
        <v>97</v>
      </c>
      <c r="C179" s="13"/>
      <c r="D179" s="14"/>
      <c r="E179" s="15"/>
    </row>
    <row r="180" customFormat="false" ht="15" hidden="false" customHeight="false" outlineLevel="0" collapsed="false">
      <c r="A180" s="11" t="n">
        <v>45923</v>
      </c>
      <c r="B180" s="12" t="s">
        <v>91</v>
      </c>
      <c r="C180" s="13"/>
      <c r="D180" s="14"/>
      <c r="E180" s="15"/>
    </row>
    <row r="181" customFormat="false" ht="15" hidden="false" customHeight="false" outlineLevel="0" collapsed="false">
      <c r="A181" s="11" t="n">
        <v>45924</v>
      </c>
      <c r="B181" s="12" t="s">
        <v>92</v>
      </c>
      <c r="C181" s="13"/>
      <c r="D181" s="14"/>
      <c r="E181" s="15"/>
    </row>
    <row r="182" customFormat="false" ht="15" hidden="false" customHeight="false" outlineLevel="0" collapsed="false">
      <c r="A182" s="11" t="n">
        <v>45925</v>
      </c>
      <c r="B182" s="12" t="s">
        <v>93</v>
      </c>
      <c r="C182" s="13"/>
      <c r="D182" s="14"/>
      <c r="E182" s="15"/>
    </row>
    <row r="183" customFormat="false" ht="15" hidden="false" customHeight="false" outlineLevel="0" collapsed="false">
      <c r="A183" s="11" t="n">
        <v>45926</v>
      </c>
      <c r="B183" s="12" t="s">
        <v>94</v>
      </c>
      <c r="C183" s="13"/>
      <c r="D183" s="14"/>
      <c r="E183" s="15"/>
    </row>
    <row r="184" customFormat="false" ht="15" hidden="false" customHeight="false" outlineLevel="0" collapsed="false">
      <c r="A184" s="16" t="n">
        <v>45927</v>
      </c>
      <c r="B184" s="17" t="s">
        <v>95</v>
      </c>
      <c r="C184" s="13"/>
      <c r="D184" s="14"/>
      <c r="E184" s="15"/>
    </row>
    <row r="185" customFormat="false" ht="15" hidden="false" customHeight="false" outlineLevel="0" collapsed="false">
      <c r="A185" s="16" t="n">
        <v>45928</v>
      </c>
      <c r="B185" s="17" t="s">
        <v>96</v>
      </c>
      <c r="C185" s="13"/>
      <c r="D185" s="14"/>
      <c r="E185" s="15"/>
    </row>
    <row r="186" customFormat="false" ht="15" hidden="false" customHeight="false" outlineLevel="0" collapsed="false">
      <c r="A186" s="11" t="n">
        <v>45929</v>
      </c>
      <c r="B186" s="12" t="s">
        <v>97</v>
      </c>
      <c r="C186" s="13"/>
      <c r="D186" s="14"/>
      <c r="E186" s="15"/>
    </row>
    <row r="187" customFormat="false" ht="15" hidden="false" customHeight="false" outlineLevel="0" collapsed="false">
      <c r="A187" s="11" t="n">
        <v>45930</v>
      </c>
      <c r="B187" s="12" t="s">
        <v>91</v>
      </c>
      <c r="C187" s="13"/>
      <c r="D187" s="14"/>
      <c r="E187" s="15"/>
    </row>
    <row r="188" customFormat="false" ht="15" hidden="false" customHeight="false" outlineLevel="0" collapsed="false">
      <c r="A188" s="11" t="n">
        <v>45931</v>
      </c>
      <c r="B188" s="12" t="s">
        <v>92</v>
      </c>
      <c r="C188" s="13"/>
      <c r="D188" s="14"/>
      <c r="E188" s="15"/>
    </row>
    <row r="189" customFormat="false" ht="15" hidden="false" customHeight="false" outlineLevel="0" collapsed="false">
      <c r="A189" s="11" t="n">
        <v>45932</v>
      </c>
      <c r="B189" s="12" t="s">
        <v>93</v>
      </c>
      <c r="C189" s="13"/>
      <c r="D189" s="14"/>
      <c r="E189" s="15"/>
    </row>
    <row r="190" customFormat="false" ht="15" hidden="false" customHeight="false" outlineLevel="0" collapsed="false">
      <c r="A190" s="11" t="n">
        <v>45933</v>
      </c>
      <c r="B190" s="12" t="s">
        <v>94</v>
      </c>
      <c r="C190" s="13"/>
      <c r="D190" s="14"/>
      <c r="E190" s="15"/>
    </row>
    <row r="191" customFormat="false" ht="15" hidden="false" customHeight="false" outlineLevel="0" collapsed="false">
      <c r="A191" s="16" t="n">
        <v>45934</v>
      </c>
      <c r="B191" s="17" t="s">
        <v>95</v>
      </c>
      <c r="C191" s="13"/>
      <c r="D191" s="14"/>
      <c r="E191" s="15"/>
    </row>
    <row r="192" customFormat="false" ht="15" hidden="false" customHeight="false" outlineLevel="0" collapsed="false">
      <c r="A192" s="16" t="n">
        <v>45935</v>
      </c>
      <c r="B192" s="17" t="s">
        <v>96</v>
      </c>
      <c r="C192" s="13"/>
      <c r="D192" s="14"/>
      <c r="E192" s="15"/>
    </row>
    <row r="193" customFormat="false" ht="15" hidden="false" customHeight="false" outlineLevel="0" collapsed="false">
      <c r="A193" s="11" t="n">
        <v>45936</v>
      </c>
      <c r="B193" s="12" t="s">
        <v>97</v>
      </c>
      <c r="C193" s="13"/>
      <c r="D193" s="14"/>
      <c r="E193" s="15"/>
    </row>
    <row r="194" customFormat="false" ht="15" hidden="false" customHeight="false" outlineLevel="0" collapsed="false">
      <c r="A194" s="11" t="n">
        <v>45937</v>
      </c>
      <c r="B194" s="12" t="s">
        <v>91</v>
      </c>
      <c r="C194" s="13"/>
      <c r="D194" s="14"/>
      <c r="E194" s="15"/>
    </row>
    <row r="195" customFormat="false" ht="15" hidden="false" customHeight="false" outlineLevel="0" collapsed="false">
      <c r="A195" s="11" t="n">
        <v>45938</v>
      </c>
      <c r="B195" s="12" t="s">
        <v>92</v>
      </c>
      <c r="C195" s="13"/>
      <c r="D195" s="14"/>
      <c r="E195" s="15"/>
    </row>
    <row r="196" customFormat="false" ht="15" hidden="false" customHeight="false" outlineLevel="0" collapsed="false">
      <c r="A196" s="11" t="n">
        <v>45939</v>
      </c>
      <c r="B196" s="12" t="s">
        <v>93</v>
      </c>
      <c r="C196" s="13"/>
      <c r="D196" s="14"/>
      <c r="E196" s="15"/>
    </row>
    <row r="197" customFormat="false" ht="15" hidden="false" customHeight="false" outlineLevel="0" collapsed="false">
      <c r="A197" s="11" t="n">
        <v>45940</v>
      </c>
      <c r="B197" s="12" t="s">
        <v>94</v>
      </c>
      <c r="C197" s="13"/>
      <c r="D197" s="14"/>
      <c r="E197" s="15"/>
    </row>
    <row r="198" customFormat="false" ht="15" hidden="false" customHeight="false" outlineLevel="0" collapsed="false">
      <c r="A198" s="16" t="n">
        <v>45941</v>
      </c>
      <c r="B198" s="17" t="s">
        <v>95</v>
      </c>
      <c r="C198" s="13"/>
      <c r="D198" s="14"/>
      <c r="E198" s="15"/>
    </row>
    <row r="199" customFormat="false" ht="15" hidden="false" customHeight="false" outlineLevel="0" collapsed="false">
      <c r="A199" s="16" t="n">
        <v>45942</v>
      </c>
      <c r="B199" s="17" t="s">
        <v>96</v>
      </c>
      <c r="C199" s="13"/>
      <c r="D199" s="14"/>
      <c r="E199" s="15"/>
    </row>
    <row r="200" customFormat="false" ht="15" hidden="false" customHeight="false" outlineLevel="0" collapsed="false">
      <c r="A200" s="11" t="n">
        <v>45943</v>
      </c>
      <c r="B200" s="12" t="s">
        <v>97</v>
      </c>
      <c r="C200" s="13"/>
      <c r="D200" s="14"/>
      <c r="E200" s="15"/>
    </row>
    <row r="201" customFormat="false" ht="15" hidden="false" customHeight="false" outlineLevel="0" collapsed="false">
      <c r="A201" s="11" t="n">
        <v>45944</v>
      </c>
      <c r="B201" s="12" t="s">
        <v>91</v>
      </c>
      <c r="C201" s="13"/>
      <c r="D201" s="14"/>
      <c r="E201" s="15"/>
    </row>
    <row r="202" customFormat="false" ht="15" hidden="false" customHeight="false" outlineLevel="0" collapsed="false">
      <c r="A202" s="11" t="n">
        <v>45945</v>
      </c>
      <c r="B202" s="12" t="s">
        <v>92</v>
      </c>
      <c r="C202" s="13"/>
      <c r="D202" s="14"/>
      <c r="E202" s="15"/>
    </row>
    <row r="203" customFormat="false" ht="15" hidden="false" customHeight="false" outlineLevel="0" collapsed="false">
      <c r="A203" s="11" t="n">
        <v>45946</v>
      </c>
      <c r="B203" s="12" t="s">
        <v>93</v>
      </c>
      <c r="C203" s="13"/>
      <c r="D203" s="14"/>
      <c r="E203" s="15"/>
    </row>
    <row r="204" customFormat="false" ht="15" hidden="false" customHeight="false" outlineLevel="0" collapsed="false">
      <c r="A204" s="11" t="n">
        <v>45947</v>
      </c>
      <c r="B204" s="12" t="s">
        <v>94</v>
      </c>
      <c r="C204" s="13"/>
      <c r="D204" s="14"/>
      <c r="E204" s="15"/>
    </row>
    <row r="205" customFormat="false" ht="15" hidden="false" customHeight="false" outlineLevel="0" collapsed="false">
      <c r="A205" s="16" t="n">
        <v>45948</v>
      </c>
      <c r="B205" s="17" t="s">
        <v>95</v>
      </c>
      <c r="C205" s="13"/>
      <c r="D205" s="14"/>
      <c r="E205" s="15"/>
    </row>
    <row r="206" customFormat="false" ht="15" hidden="false" customHeight="false" outlineLevel="0" collapsed="false">
      <c r="A206" s="16" t="n">
        <v>45949</v>
      </c>
      <c r="B206" s="17" t="s">
        <v>96</v>
      </c>
      <c r="C206" s="13"/>
      <c r="D206" s="14"/>
      <c r="E206" s="15"/>
    </row>
    <row r="207" customFormat="false" ht="15" hidden="false" customHeight="false" outlineLevel="0" collapsed="false">
      <c r="A207" s="11" t="n">
        <v>45950</v>
      </c>
      <c r="B207" s="12" t="s">
        <v>97</v>
      </c>
      <c r="C207" s="13"/>
      <c r="D207" s="14"/>
      <c r="E207" s="15"/>
    </row>
    <row r="208" customFormat="false" ht="15" hidden="false" customHeight="false" outlineLevel="0" collapsed="false">
      <c r="A208" s="11" t="n">
        <v>45951</v>
      </c>
      <c r="B208" s="12" t="s">
        <v>91</v>
      </c>
      <c r="C208" s="13"/>
      <c r="D208" s="14"/>
      <c r="E208" s="15"/>
    </row>
    <row r="209" customFormat="false" ht="15" hidden="false" customHeight="false" outlineLevel="0" collapsed="false">
      <c r="A209" s="11" t="n">
        <v>45952</v>
      </c>
      <c r="B209" s="12" t="s">
        <v>92</v>
      </c>
      <c r="C209" s="13"/>
      <c r="D209" s="14"/>
      <c r="E209" s="15"/>
    </row>
    <row r="210" customFormat="false" ht="15" hidden="false" customHeight="false" outlineLevel="0" collapsed="false">
      <c r="A210" s="11" t="n">
        <v>45953</v>
      </c>
      <c r="B210" s="12" t="s">
        <v>93</v>
      </c>
      <c r="C210" s="13"/>
      <c r="D210" s="14"/>
      <c r="E210" s="15"/>
    </row>
    <row r="211" customFormat="false" ht="15" hidden="false" customHeight="false" outlineLevel="0" collapsed="false">
      <c r="A211" s="11" t="n">
        <v>45954</v>
      </c>
      <c r="B211" s="12" t="s">
        <v>94</v>
      </c>
      <c r="C211" s="13"/>
      <c r="D211" s="14"/>
      <c r="E211" s="15"/>
    </row>
    <row r="212" customFormat="false" ht="15" hidden="false" customHeight="false" outlineLevel="0" collapsed="false">
      <c r="A212" s="16" t="n">
        <v>45955</v>
      </c>
      <c r="B212" s="17" t="s">
        <v>95</v>
      </c>
      <c r="C212" s="13"/>
      <c r="D212" s="14"/>
      <c r="E212" s="15"/>
    </row>
    <row r="213" customFormat="false" ht="15" hidden="false" customHeight="false" outlineLevel="0" collapsed="false">
      <c r="A213" s="16" t="n">
        <v>45956</v>
      </c>
      <c r="B213" s="17" t="s">
        <v>96</v>
      </c>
      <c r="C213" s="13"/>
      <c r="D213" s="14"/>
      <c r="E213" s="15"/>
    </row>
    <row r="214" customFormat="false" ht="15" hidden="false" customHeight="false" outlineLevel="0" collapsed="false">
      <c r="A214" s="11" t="n">
        <v>45957</v>
      </c>
      <c r="B214" s="12" t="s">
        <v>97</v>
      </c>
      <c r="C214" s="13"/>
      <c r="D214" s="14"/>
      <c r="E214" s="15"/>
    </row>
    <row r="215" customFormat="false" ht="15" hidden="false" customHeight="false" outlineLevel="0" collapsed="false">
      <c r="A215" s="11" t="n">
        <v>45958</v>
      </c>
      <c r="B215" s="12" t="s">
        <v>91</v>
      </c>
      <c r="C215" s="13"/>
      <c r="D215" s="14"/>
      <c r="E215" s="15"/>
    </row>
    <row r="216" customFormat="false" ht="15" hidden="false" customHeight="false" outlineLevel="0" collapsed="false">
      <c r="A216" s="11" t="n">
        <v>45959</v>
      </c>
      <c r="B216" s="12" t="s">
        <v>92</v>
      </c>
      <c r="C216" s="13"/>
      <c r="D216" s="14"/>
      <c r="E216" s="15"/>
    </row>
    <row r="217" customFormat="false" ht="15" hidden="false" customHeight="false" outlineLevel="0" collapsed="false">
      <c r="A217" s="11" t="n">
        <v>45960</v>
      </c>
      <c r="B217" s="12" t="s">
        <v>93</v>
      </c>
      <c r="C217" s="13"/>
      <c r="D217" s="14"/>
      <c r="E217" s="15"/>
    </row>
    <row r="218" customFormat="false" ht="15" hidden="false" customHeight="false" outlineLevel="0" collapsed="false">
      <c r="A218" s="11" t="n">
        <v>45961</v>
      </c>
      <c r="B218" s="12" t="s">
        <v>94</v>
      </c>
      <c r="C218" s="13"/>
      <c r="D218" s="14"/>
      <c r="E218" s="15"/>
    </row>
    <row r="219" customFormat="false" ht="15" hidden="false" customHeight="false" outlineLevel="0" collapsed="false">
      <c r="A219" s="16" t="n">
        <v>45962</v>
      </c>
      <c r="B219" s="17" t="s">
        <v>95</v>
      </c>
      <c r="C219" s="13"/>
      <c r="D219" s="14"/>
      <c r="E219" s="15"/>
    </row>
    <row r="220" customFormat="false" ht="15" hidden="false" customHeight="false" outlineLevel="0" collapsed="false">
      <c r="A220" s="16" t="n">
        <v>45963</v>
      </c>
      <c r="B220" s="17" t="s">
        <v>96</v>
      </c>
      <c r="C220" s="13"/>
      <c r="D220" s="14"/>
      <c r="E220" s="15"/>
    </row>
    <row r="221" customFormat="false" ht="15" hidden="false" customHeight="false" outlineLevel="0" collapsed="false">
      <c r="A221" s="11" t="n">
        <v>45964</v>
      </c>
      <c r="B221" s="12" t="s">
        <v>97</v>
      </c>
      <c r="C221" s="13"/>
      <c r="D221" s="14"/>
      <c r="E221" s="15"/>
    </row>
    <row r="222" customFormat="false" ht="15" hidden="false" customHeight="false" outlineLevel="0" collapsed="false">
      <c r="A222" s="11" t="n">
        <v>45965</v>
      </c>
      <c r="B222" s="12" t="s">
        <v>91</v>
      </c>
      <c r="C222" s="13"/>
      <c r="D222" s="14"/>
      <c r="E222" s="15"/>
    </row>
    <row r="223" customFormat="false" ht="15" hidden="false" customHeight="false" outlineLevel="0" collapsed="false">
      <c r="A223" s="11" t="n">
        <v>45966</v>
      </c>
      <c r="B223" s="12" t="s">
        <v>92</v>
      </c>
      <c r="C223" s="13"/>
      <c r="D223" s="14"/>
      <c r="E223" s="15"/>
    </row>
    <row r="224" customFormat="false" ht="15" hidden="false" customHeight="false" outlineLevel="0" collapsed="false">
      <c r="A224" s="11" t="n">
        <v>45967</v>
      </c>
      <c r="B224" s="12" t="s">
        <v>93</v>
      </c>
      <c r="C224" s="13"/>
      <c r="D224" s="14"/>
      <c r="E224" s="15"/>
    </row>
    <row r="225" customFormat="false" ht="15" hidden="false" customHeight="false" outlineLevel="0" collapsed="false">
      <c r="A225" s="11" t="n">
        <v>45968</v>
      </c>
      <c r="B225" s="12" t="s">
        <v>94</v>
      </c>
      <c r="C225" s="13"/>
      <c r="D225" s="14"/>
      <c r="E225" s="15"/>
    </row>
    <row r="226" customFormat="false" ht="15" hidden="false" customHeight="false" outlineLevel="0" collapsed="false">
      <c r="A226" s="16" t="n">
        <v>45969</v>
      </c>
      <c r="B226" s="17" t="s">
        <v>95</v>
      </c>
      <c r="C226" s="13"/>
      <c r="D226" s="14"/>
      <c r="E226" s="15"/>
    </row>
    <row r="227" customFormat="false" ht="15" hidden="false" customHeight="false" outlineLevel="0" collapsed="false">
      <c r="A227" s="16" t="n">
        <v>45970</v>
      </c>
      <c r="B227" s="17" t="s">
        <v>96</v>
      </c>
      <c r="C227" s="13"/>
      <c r="D227" s="14"/>
      <c r="E227" s="15"/>
    </row>
    <row r="228" customFormat="false" ht="15" hidden="false" customHeight="false" outlineLevel="0" collapsed="false">
      <c r="A228" s="11" t="n">
        <v>45971</v>
      </c>
      <c r="B228" s="12" t="s">
        <v>97</v>
      </c>
      <c r="C228" s="13"/>
      <c r="D228" s="14"/>
      <c r="E228" s="15"/>
    </row>
    <row r="229" customFormat="false" ht="15" hidden="false" customHeight="false" outlineLevel="0" collapsed="false">
      <c r="A229" s="11" t="n">
        <v>45972</v>
      </c>
      <c r="B229" s="12" t="s">
        <v>91</v>
      </c>
      <c r="C229" s="13"/>
      <c r="D229" s="14"/>
      <c r="E229" s="15"/>
    </row>
    <row r="230" customFormat="false" ht="15" hidden="false" customHeight="false" outlineLevel="0" collapsed="false">
      <c r="A230" s="11" t="n">
        <v>45973</v>
      </c>
      <c r="B230" s="12" t="s">
        <v>92</v>
      </c>
      <c r="C230" s="13"/>
      <c r="D230" s="14"/>
      <c r="E230" s="15"/>
    </row>
    <row r="231" customFormat="false" ht="15" hidden="false" customHeight="false" outlineLevel="0" collapsed="false">
      <c r="A231" s="11" t="n">
        <v>45974</v>
      </c>
      <c r="B231" s="12" t="s">
        <v>93</v>
      </c>
      <c r="C231" s="13"/>
      <c r="D231" s="14"/>
      <c r="E231" s="15"/>
    </row>
    <row r="232" customFormat="false" ht="15" hidden="false" customHeight="false" outlineLevel="0" collapsed="false">
      <c r="A232" s="11" t="n">
        <v>45975</v>
      </c>
      <c r="B232" s="12" t="s">
        <v>94</v>
      </c>
      <c r="C232" s="13"/>
      <c r="D232" s="14"/>
      <c r="E232" s="15"/>
    </row>
    <row r="233" customFormat="false" ht="15" hidden="false" customHeight="false" outlineLevel="0" collapsed="false">
      <c r="A233" s="16" t="n">
        <v>45976</v>
      </c>
      <c r="B233" s="17" t="s">
        <v>95</v>
      </c>
      <c r="C233" s="13"/>
      <c r="D233" s="14"/>
      <c r="E233" s="15"/>
    </row>
    <row r="234" customFormat="false" ht="15" hidden="false" customHeight="false" outlineLevel="0" collapsed="false">
      <c r="A234" s="16" t="n">
        <v>45977</v>
      </c>
      <c r="B234" s="17" t="s">
        <v>96</v>
      </c>
      <c r="C234" s="13"/>
      <c r="D234" s="14"/>
      <c r="E234" s="15"/>
    </row>
    <row r="235" customFormat="false" ht="15" hidden="false" customHeight="false" outlineLevel="0" collapsed="false">
      <c r="A235" s="11" t="n">
        <v>45978</v>
      </c>
      <c r="B235" s="12" t="s">
        <v>97</v>
      </c>
      <c r="C235" s="13"/>
      <c r="D235" s="14"/>
      <c r="E235" s="15"/>
    </row>
    <row r="236" customFormat="false" ht="15" hidden="false" customHeight="false" outlineLevel="0" collapsed="false">
      <c r="A236" s="11" t="n">
        <v>45979</v>
      </c>
      <c r="B236" s="12" t="s">
        <v>91</v>
      </c>
      <c r="C236" s="13"/>
      <c r="D236" s="14"/>
      <c r="E236" s="15"/>
    </row>
    <row r="237" customFormat="false" ht="15" hidden="false" customHeight="false" outlineLevel="0" collapsed="false">
      <c r="A237" s="11" t="n">
        <v>45980</v>
      </c>
      <c r="B237" s="12" t="s">
        <v>92</v>
      </c>
      <c r="C237" s="13"/>
      <c r="D237" s="14"/>
      <c r="E237" s="15"/>
    </row>
    <row r="238" customFormat="false" ht="15" hidden="false" customHeight="false" outlineLevel="0" collapsed="false">
      <c r="A238" s="11" t="n">
        <v>45981</v>
      </c>
      <c r="B238" s="12" t="s">
        <v>93</v>
      </c>
      <c r="C238" s="13"/>
      <c r="D238" s="14"/>
      <c r="E238" s="15"/>
    </row>
    <row r="239" customFormat="false" ht="15" hidden="false" customHeight="false" outlineLevel="0" collapsed="false">
      <c r="A239" s="11" t="n">
        <v>45982</v>
      </c>
      <c r="B239" s="12" t="s">
        <v>94</v>
      </c>
      <c r="C239" s="13"/>
      <c r="D239" s="14"/>
      <c r="E239" s="15"/>
    </row>
    <row r="240" customFormat="false" ht="15" hidden="false" customHeight="false" outlineLevel="0" collapsed="false">
      <c r="A240" s="16" t="n">
        <v>45983</v>
      </c>
      <c r="B240" s="17" t="s">
        <v>95</v>
      </c>
      <c r="C240" s="13"/>
      <c r="D240" s="14"/>
      <c r="E240" s="15"/>
    </row>
    <row r="241" customFormat="false" ht="15" hidden="false" customHeight="false" outlineLevel="0" collapsed="false">
      <c r="A241" s="16" t="n">
        <v>45984</v>
      </c>
      <c r="B241" s="17" t="s">
        <v>96</v>
      </c>
      <c r="C241" s="13"/>
      <c r="D241" s="14"/>
      <c r="E241" s="15"/>
    </row>
    <row r="242" customFormat="false" ht="15" hidden="false" customHeight="false" outlineLevel="0" collapsed="false">
      <c r="A242" s="11" t="n">
        <v>45985</v>
      </c>
      <c r="B242" s="12" t="s">
        <v>97</v>
      </c>
      <c r="C242" s="13"/>
      <c r="D242" s="14"/>
      <c r="E242" s="15"/>
    </row>
    <row r="243" customFormat="false" ht="15" hidden="false" customHeight="false" outlineLevel="0" collapsed="false">
      <c r="A243" s="11" t="n">
        <v>45986</v>
      </c>
      <c r="B243" s="12" t="s">
        <v>91</v>
      </c>
      <c r="C243" s="13"/>
      <c r="D243" s="14"/>
      <c r="E243" s="15"/>
    </row>
    <row r="244" customFormat="false" ht="15" hidden="false" customHeight="false" outlineLevel="0" collapsed="false">
      <c r="A244" s="11" t="n">
        <v>45987</v>
      </c>
      <c r="B244" s="12" t="s">
        <v>92</v>
      </c>
      <c r="C244" s="13"/>
      <c r="D244" s="14"/>
      <c r="E244" s="15"/>
    </row>
    <row r="245" customFormat="false" ht="15" hidden="false" customHeight="false" outlineLevel="0" collapsed="false">
      <c r="A245" s="11" t="n">
        <v>45988</v>
      </c>
      <c r="B245" s="12" t="s">
        <v>93</v>
      </c>
      <c r="C245" s="13"/>
      <c r="D245" s="14"/>
      <c r="E245" s="15"/>
    </row>
    <row r="246" customFormat="false" ht="15" hidden="false" customHeight="false" outlineLevel="0" collapsed="false">
      <c r="A246" s="11" t="n">
        <v>45989</v>
      </c>
      <c r="B246" s="12" t="s">
        <v>94</v>
      </c>
      <c r="C246" s="13"/>
      <c r="D246" s="14"/>
      <c r="E246" s="15"/>
    </row>
    <row r="247" customFormat="false" ht="15" hidden="false" customHeight="false" outlineLevel="0" collapsed="false">
      <c r="A247" s="16" t="n">
        <v>45990</v>
      </c>
      <c r="B247" s="17" t="s">
        <v>95</v>
      </c>
      <c r="C247" s="13"/>
      <c r="D247" s="14"/>
      <c r="E247" s="15"/>
    </row>
    <row r="248" customFormat="false" ht="15" hidden="false" customHeight="false" outlineLevel="0" collapsed="false">
      <c r="A248" s="16" t="n">
        <v>45991</v>
      </c>
      <c r="B248" s="17" t="s">
        <v>96</v>
      </c>
      <c r="C248" s="13"/>
      <c r="D248" s="14"/>
      <c r="E248" s="15"/>
    </row>
    <row r="249" customFormat="false" ht="15" hidden="false" customHeight="false" outlineLevel="0" collapsed="false">
      <c r="A249" s="11" t="n">
        <v>45992</v>
      </c>
      <c r="B249" s="12" t="s">
        <v>97</v>
      </c>
      <c r="C249" s="13"/>
      <c r="D249" s="14"/>
      <c r="E249" s="15"/>
    </row>
    <row r="250" customFormat="false" ht="15" hidden="false" customHeight="false" outlineLevel="0" collapsed="false">
      <c r="A250" s="11" t="n">
        <v>45993</v>
      </c>
      <c r="B250" s="12" t="s">
        <v>91</v>
      </c>
      <c r="C250" s="13"/>
      <c r="D250" s="14"/>
      <c r="E250" s="15"/>
    </row>
    <row r="251" customFormat="false" ht="15" hidden="false" customHeight="false" outlineLevel="0" collapsed="false">
      <c r="A251" s="11" t="n">
        <v>45994</v>
      </c>
      <c r="B251" s="12" t="s">
        <v>92</v>
      </c>
      <c r="C251" s="13"/>
      <c r="D251" s="14"/>
      <c r="E251" s="15"/>
    </row>
    <row r="252" customFormat="false" ht="15" hidden="false" customHeight="false" outlineLevel="0" collapsed="false">
      <c r="A252" s="11" t="n">
        <v>45995</v>
      </c>
      <c r="B252" s="12" t="s">
        <v>93</v>
      </c>
      <c r="C252" s="13"/>
      <c r="D252" s="14"/>
      <c r="E252" s="15"/>
    </row>
    <row r="253" customFormat="false" ht="15" hidden="false" customHeight="false" outlineLevel="0" collapsed="false">
      <c r="A253" s="11" t="n">
        <v>45996</v>
      </c>
      <c r="B253" s="12" t="s">
        <v>94</v>
      </c>
      <c r="C253" s="13"/>
      <c r="D253" s="14"/>
      <c r="E253" s="15"/>
    </row>
    <row r="254" customFormat="false" ht="15" hidden="false" customHeight="false" outlineLevel="0" collapsed="false">
      <c r="A254" s="16" t="n">
        <v>45997</v>
      </c>
      <c r="B254" s="17" t="s">
        <v>95</v>
      </c>
      <c r="C254" s="13"/>
      <c r="D254" s="14"/>
      <c r="E254" s="15"/>
    </row>
    <row r="255" customFormat="false" ht="15" hidden="false" customHeight="false" outlineLevel="0" collapsed="false">
      <c r="A255" s="16" t="n">
        <v>45998</v>
      </c>
      <c r="B255" s="17" t="s">
        <v>96</v>
      </c>
      <c r="C255" s="13"/>
      <c r="D255" s="14"/>
      <c r="E255" s="15"/>
    </row>
    <row r="256" customFormat="false" ht="15" hidden="false" customHeight="false" outlineLevel="0" collapsed="false">
      <c r="A256" s="11" t="n">
        <v>45999</v>
      </c>
      <c r="B256" s="12" t="s">
        <v>97</v>
      </c>
      <c r="C256" s="13"/>
      <c r="D256" s="14"/>
      <c r="E256" s="15"/>
    </row>
    <row r="257" customFormat="false" ht="15" hidden="false" customHeight="false" outlineLevel="0" collapsed="false">
      <c r="A257" s="11" t="n">
        <v>46000</v>
      </c>
      <c r="B257" s="12" t="s">
        <v>91</v>
      </c>
      <c r="C257" s="13"/>
      <c r="D257" s="14"/>
      <c r="E257" s="15"/>
    </row>
    <row r="258" customFormat="false" ht="15" hidden="false" customHeight="false" outlineLevel="0" collapsed="false">
      <c r="A258" s="11" t="n">
        <v>46001</v>
      </c>
      <c r="B258" s="12" t="s">
        <v>92</v>
      </c>
      <c r="C258" s="13"/>
      <c r="D258" s="14"/>
      <c r="E258" s="15"/>
    </row>
    <row r="259" customFormat="false" ht="15" hidden="false" customHeight="false" outlineLevel="0" collapsed="false">
      <c r="A259" s="11" t="n">
        <v>46002</v>
      </c>
      <c r="B259" s="12" t="s">
        <v>93</v>
      </c>
      <c r="C259" s="13"/>
      <c r="D259" s="14"/>
      <c r="E259" s="15"/>
    </row>
    <row r="260" customFormat="false" ht="15" hidden="false" customHeight="false" outlineLevel="0" collapsed="false">
      <c r="A260" s="11" t="n">
        <v>46003</v>
      </c>
      <c r="B260" s="12" t="s">
        <v>94</v>
      </c>
      <c r="C260" s="13"/>
      <c r="D260" s="14"/>
      <c r="E260" s="15"/>
    </row>
    <row r="261" customFormat="false" ht="15" hidden="false" customHeight="false" outlineLevel="0" collapsed="false">
      <c r="A261" s="16" t="n">
        <v>46004</v>
      </c>
      <c r="B261" s="17" t="s">
        <v>95</v>
      </c>
      <c r="C261" s="13"/>
      <c r="D261" s="14"/>
      <c r="E261" s="15"/>
    </row>
    <row r="262" customFormat="false" ht="15" hidden="false" customHeight="false" outlineLevel="0" collapsed="false">
      <c r="A262" s="16" t="n">
        <v>46005</v>
      </c>
      <c r="B262" s="17" t="s">
        <v>96</v>
      </c>
      <c r="C262" s="13"/>
      <c r="D262" s="14"/>
      <c r="E262" s="15"/>
    </row>
    <row r="263" customFormat="false" ht="15" hidden="false" customHeight="false" outlineLevel="0" collapsed="false">
      <c r="A263" s="11" t="n">
        <v>46006</v>
      </c>
      <c r="B263" s="12" t="s">
        <v>97</v>
      </c>
      <c r="C263" s="13"/>
      <c r="D263" s="14"/>
      <c r="E263" s="15"/>
    </row>
    <row r="264" customFormat="false" ht="15" hidden="false" customHeight="false" outlineLevel="0" collapsed="false">
      <c r="A264" s="11" t="n">
        <v>46007</v>
      </c>
      <c r="B264" s="12" t="s">
        <v>91</v>
      </c>
      <c r="C264" s="13"/>
      <c r="D264" s="14"/>
      <c r="E264" s="15"/>
    </row>
    <row r="265" customFormat="false" ht="15" hidden="false" customHeight="false" outlineLevel="0" collapsed="false">
      <c r="A265" s="11" t="n">
        <v>46008</v>
      </c>
      <c r="B265" s="12" t="s">
        <v>92</v>
      </c>
      <c r="C265" s="13"/>
      <c r="D265" s="14"/>
      <c r="E265" s="15"/>
    </row>
    <row r="266" customFormat="false" ht="15" hidden="false" customHeight="false" outlineLevel="0" collapsed="false">
      <c r="A266" s="11" t="n">
        <v>46009</v>
      </c>
      <c r="B266" s="12" t="s">
        <v>93</v>
      </c>
      <c r="C266" s="13"/>
      <c r="D266" s="14"/>
      <c r="E266" s="15"/>
    </row>
    <row r="267" customFormat="false" ht="15" hidden="false" customHeight="false" outlineLevel="0" collapsed="false">
      <c r="A267" s="11" t="n">
        <v>46010</v>
      </c>
      <c r="B267" s="12" t="s">
        <v>94</v>
      </c>
      <c r="C267" s="13"/>
      <c r="D267" s="14"/>
      <c r="E267" s="15"/>
    </row>
    <row r="268" customFormat="false" ht="15" hidden="false" customHeight="false" outlineLevel="0" collapsed="false">
      <c r="A268" s="16" t="n">
        <v>46011</v>
      </c>
      <c r="B268" s="17" t="s">
        <v>95</v>
      </c>
      <c r="C268" s="13"/>
      <c r="D268" s="14"/>
      <c r="E268" s="15"/>
    </row>
    <row r="269" customFormat="false" ht="15" hidden="false" customHeight="false" outlineLevel="0" collapsed="false">
      <c r="A269" s="16" t="n">
        <v>46012</v>
      </c>
      <c r="B269" s="17" t="s">
        <v>96</v>
      </c>
      <c r="C269" s="13"/>
      <c r="D269" s="14"/>
      <c r="E269" s="15"/>
    </row>
    <row r="270" customFormat="false" ht="15" hidden="false" customHeight="false" outlineLevel="0" collapsed="false">
      <c r="A270" s="11" t="n">
        <v>46013</v>
      </c>
      <c r="B270" s="12" t="s">
        <v>97</v>
      </c>
      <c r="C270" s="13"/>
      <c r="D270" s="14"/>
      <c r="E270" s="15"/>
    </row>
    <row r="271" customFormat="false" ht="15" hidden="false" customHeight="false" outlineLevel="0" collapsed="false">
      <c r="A271" s="11" t="n">
        <v>46014</v>
      </c>
      <c r="B271" s="12" t="s">
        <v>91</v>
      </c>
      <c r="C271" s="13"/>
      <c r="D271" s="14"/>
      <c r="E271" s="15"/>
    </row>
    <row r="272" customFormat="false" ht="15" hidden="false" customHeight="false" outlineLevel="0" collapsed="false">
      <c r="A272" s="11" t="n">
        <v>46015</v>
      </c>
      <c r="B272" s="12" t="s">
        <v>92</v>
      </c>
      <c r="C272" s="13"/>
      <c r="D272" s="14"/>
      <c r="E272" s="15"/>
    </row>
    <row r="273" customFormat="false" ht="15" hidden="false" customHeight="false" outlineLevel="0" collapsed="false">
      <c r="A273" s="11" t="n">
        <v>46016</v>
      </c>
      <c r="B273" s="12" t="s">
        <v>93</v>
      </c>
      <c r="C273" s="13"/>
      <c r="D273" s="14"/>
      <c r="E273" s="15"/>
    </row>
    <row r="274" customFormat="false" ht="15" hidden="false" customHeight="false" outlineLevel="0" collapsed="false">
      <c r="A274" s="11" t="n">
        <v>46017</v>
      </c>
      <c r="B274" s="12" t="s">
        <v>94</v>
      </c>
      <c r="C274" s="13"/>
      <c r="D274" s="14"/>
      <c r="E274" s="15"/>
    </row>
    <row r="275" customFormat="false" ht="15" hidden="false" customHeight="false" outlineLevel="0" collapsed="false">
      <c r="A275" s="16" t="n">
        <v>46018</v>
      </c>
      <c r="B275" s="17" t="s">
        <v>95</v>
      </c>
      <c r="C275" s="13"/>
      <c r="D275" s="14"/>
      <c r="E275" s="15"/>
    </row>
    <row r="276" customFormat="false" ht="15" hidden="false" customHeight="false" outlineLevel="0" collapsed="false">
      <c r="A276" s="16" t="n">
        <v>46019</v>
      </c>
      <c r="B276" s="17" t="s">
        <v>96</v>
      </c>
      <c r="C276" s="13"/>
      <c r="D276" s="14"/>
      <c r="E276" s="15"/>
    </row>
    <row r="277" customFormat="false" ht="15" hidden="false" customHeight="false" outlineLevel="0" collapsed="false">
      <c r="A277" s="11" t="n">
        <v>46020</v>
      </c>
      <c r="B277" s="12" t="s">
        <v>97</v>
      </c>
      <c r="C277" s="13"/>
      <c r="D277" s="14"/>
      <c r="E277" s="15"/>
    </row>
    <row r="278" customFormat="false" ht="15" hidden="false" customHeight="false" outlineLevel="0" collapsed="false">
      <c r="A278" s="11" t="n">
        <v>46021</v>
      </c>
      <c r="B278" s="12" t="s">
        <v>91</v>
      </c>
      <c r="C278" s="13"/>
      <c r="D278" s="14"/>
      <c r="E278" s="15"/>
    </row>
    <row r="279" customFormat="false" ht="15" hidden="false" customHeight="false" outlineLevel="0" collapsed="false">
      <c r="A279" s="11" t="n">
        <v>46022</v>
      </c>
      <c r="B279" s="12" t="s">
        <v>92</v>
      </c>
      <c r="C279" s="13"/>
      <c r="D279" s="14"/>
      <c r="E279" s="15"/>
    </row>
    <row r="280" customFormat="false" ht="15" hidden="false" customHeight="false" outlineLevel="0" collapsed="false">
      <c r="A280" s="11" t="n">
        <v>46023</v>
      </c>
      <c r="B280" s="12" t="s">
        <v>93</v>
      </c>
      <c r="C280" s="13"/>
      <c r="D280" s="14"/>
      <c r="E280" s="15"/>
    </row>
    <row r="281" customFormat="false" ht="15" hidden="false" customHeight="false" outlineLevel="0" collapsed="false">
      <c r="A281" s="11" t="n">
        <v>46024</v>
      </c>
      <c r="B281" s="12" t="s">
        <v>94</v>
      </c>
      <c r="C281" s="13"/>
      <c r="D281" s="14"/>
      <c r="E281" s="15"/>
    </row>
    <row r="282" customFormat="false" ht="15" hidden="false" customHeight="false" outlineLevel="0" collapsed="false">
      <c r="A282" s="16" t="n">
        <v>46025</v>
      </c>
      <c r="B282" s="17" t="s">
        <v>95</v>
      </c>
      <c r="C282" s="13"/>
      <c r="D282" s="14"/>
      <c r="E282" s="15"/>
    </row>
    <row r="283" customFormat="false" ht="15" hidden="false" customHeight="false" outlineLevel="0" collapsed="false">
      <c r="A283" s="16" t="n">
        <v>46026</v>
      </c>
      <c r="B283" s="17" t="s">
        <v>96</v>
      </c>
      <c r="C283" s="13"/>
      <c r="D283" s="14"/>
      <c r="E283" s="15"/>
    </row>
    <row r="284" customFormat="false" ht="15" hidden="false" customHeight="false" outlineLevel="0" collapsed="false">
      <c r="A284" s="11" t="n">
        <v>46027</v>
      </c>
      <c r="B284" s="12" t="s">
        <v>97</v>
      </c>
      <c r="C284" s="13"/>
      <c r="D284" s="14"/>
      <c r="E284" s="15"/>
    </row>
    <row r="285" customFormat="false" ht="15" hidden="false" customHeight="false" outlineLevel="0" collapsed="false">
      <c r="A285" s="11" t="n">
        <v>46028</v>
      </c>
      <c r="B285" s="12" t="s">
        <v>91</v>
      </c>
      <c r="C285" s="13"/>
      <c r="D285" s="14"/>
      <c r="E285" s="15"/>
    </row>
    <row r="286" customFormat="false" ht="15" hidden="false" customHeight="false" outlineLevel="0" collapsed="false">
      <c r="A286" s="11" t="n">
        <v>46029</v>
      </c>
      <c r="B286" s="12" t="s">
        <v>92</v>
      </c>
      <c r="C286" s="13"/>
      <c r="D286" s="14"/>
      <c r="E286" s="15"/>
    </row>
    <row r="287" customFormat="false" ht="15" hidden="false" customHeight="false" outlineLevel="0" collapsed="false">
      <c r="A287" s="11" t="n">
        <v>46030</v>
      </c>
      <c r="B287" s="12" t="s">
        <v>93</v>
      </c>
      <c r="C287" s="13"/>
      <c r="D287" s="14"/>
      <c r="E287" s="15"/>
    </row>
    <row r="288" customFormat="false" ht="15" hidden="false" customHeight="false" outlineLevel="0" collapsed="false">
      <c r="A288" s="11" t="n">
        <v>46031</v>
      </c>
      <c r="B288" s="12" t="s">
        <v>94</v>
      </c>
      <c r="C288" s="13"/>
      <c r="D288" s="14"/>
      <c r="E288" s="15"/>
    </row>
    <row r="289" customFormat="false" ht="15" hidden="false" customHeight="false" outlineLevel="0" collapsed="false">
      <c r="A289" s="16" t="n">
        <v>46032</v>
      </c>
      <c r="B289" s="17" t="s">
        <v>95</v>
      </c>
      <c r="C289" s="13"/>
      <c r="D289" s="14"/>
      <c r="E289" s="15"/>
    </row>
    <row r="290" customFormat="false" ht="15" hidden="false" customHeight="false" outlineLevel="0" collapsed="false">
      <c r="A290" s="16" t="n">
        <v>46033</v>
      </c>
      <c r="B290" s="17" t="s">
        <v>96</v>
      </c>
      <c r="C290" s="13"/>
      <c r="D290" s="14"/>
      <c r="E290" s="15"/>
    </row>
    <row r="291" customFormat="false" ht="15" hidden="false" customHeight="false" outlineLevel="0" collapsed="false">
      <c r="A291" s="11" t="n">
        <v>46034</v>
      </c>
      <c r="B291" s="12" t="s">
        <v>97</v>
      </c>
      <c r="C291" s="13"/>
      <c r="D291" s="14"/>
      <c r="E291" s="15"/>
    </row>
    <row r="292" customFormat="false" ht="15" hidden="false" customHeight="false" outlineLevel="0" collapsed="false">
      <c r="A292" s="11" t="n">
        <v>46035</v>
      </c>
      <c r="B292" s="12" t="s">
        <v>91</v>
      </c>
      <c r="C292" s="13"/>
      <c r="D292" s="14"/>
      <c r="E292" s="15"/>
    </row>
    <row r="293" customFormat="false" ht="15" hidden="false" customHeight="false" outlineLevel="0" collapsed="false">
      <c r="A293" s="11" t="n">
        <v>46036</v>
      </c>
      <c r="B293" s="12" t="s">
        <v>92</v>
      </c>
      <c r="C293" s="13"/>
      <c r="D293" s="14"/>
      <c r="E293" s="15"/>
    </row>
    <row r="294" customFormat="false" ht="15" hidden="false" customHeight="false" outlineLevel="0" collapsed="false">
      <c r="A294" s="11" t="n">
        <v>46037</v>
      </c>
      <c r="B294" s="12" t="s">
        <v>93</v>
      </c>
      <c r="C294" s="13"/>
      <c r="D294" s="14"/>
      <c r="E294" s="15"/>
    </row>
    <row r="295" customFormat="false" ht="15" hidden="false" customHeight="false" outlineLevel="0" collapsed="false">
      <c r="A295" s="11" t="n">
        <v>46038</v>
      </c>
      <c r="B295" s="12" t="s">
        <v>94</v>
      </c>
      <c r="C295" s="13"/>
      <c r="D295" s="14"/>
      <c r="E295" s="15"/>
    </row>
    <row r="296" customFormat="false" ht="15" hidden="false" customHeight="false" outlineLevel="0" collapsed="false">
      <c r="A296" s="16" t="n">
        <v>46039</v>
      </c>
      <c r="B296" s="17" t="s">
        <v>95</v>
      </c>
      <c r="C296" s="13"/>
      <c r="D296" s="14"/>
      <c r="E296" s="15"/>
    </row>
    <row r="297" customFormat="false" ht="15" hidden="false" customHeight="false" outlineLevel="0" collapsed="false">
      <c r="A297" s="16" t="n">
        <v>46040</v>
      </c>
      <c r="B297" s="17" t="s">
        <v>96</v>
      </c>
      <c r="C297" s="13"/>
      <c r="D297" s="14"/>
      <c r="E297" s="15"/>
    </row>
    <row r="298" customFormat="false" ht="15" hidden="false" customHeight="false" outlineLevel="0" collapsed="false">
      <c r="A298" s="11" t="n">
        <v>46041</v>
      </c>
      <c r="B298" s="12" t="s">
        <v>97</v>
      </c>
      <c r="C298" s="13"/>
      <c r="D298" s="14"/>
      <c r="E298" s="15"/>
    </row>
    <row r="299" customFormat="false" ht="15" hidden="false" customHeight="false" outlineLevel="0" collapsed="false">
      <c r="A299" s="11" t="n">
        <v>46042</v>
      </c>
      <c r="B299" s="12" t="s">
        <v>91</v>
      </c>
      <c r="C299" s="13"/>
      <c r="D299" s="14"/>
      <c r="E299" s="15"/>
    </row>
    <row r="300" customFormat="false" ht="15" hidden="false" customHeight="false" outlineLevel="0" collapsed="false">
      <c r="A300" s="11" t="n">
        <v>46043</v>
      </c>
      <c r="B300" s="12" t="s">
        <v>92</v>
      </c>
      <c r="C300" s="13"/>
      <c r="D300" s="14"/>
      <c r="E300" s="15"/>
    </row>
    <row r="301" customFormat="false" ht="15" hidden="false" customHeight="false" outlineLevel="0" collapsed="false">
      <c r="A301" s="11" t="n">
        <v>46044</v>
      </c>
      <c r="B301" s="12" t="s">
        <v>93</v>
      </c>
      <c r="C301" s="13"/>
      <c r="D301" s="14"/>
      <c r="E301" s="15"/>
    </row>
    <row r="302" customFormat="false" ht="15" hidden="false" customHeight="false" outlineLevel="0" collapsed="false">
      <c r="A302" s="11" t="n">
        <v>46045</v>
      </c>
      <c r="B302" s="12" t="s">
        <v>94</v>
      </c>
      <c r="C302" s="13"/>
      <c r="D302" s="14"/>
      <c r="E302" s="15"/>
    </row>
    <row r="303" customFormat="false" ht="15" hidden="false" customHeight="false" outlineLevel="0" collapsed="false">
      <c r="A303" s="16" t="n">
        <v>46046</v>
      </c>
      <c r="B303" s="17" t="s">
        <v>95</v>
      </c>
      <c r="C303" s="13"/>
      <c r="D303" s="14"/>
      <c r="E303" s="15"/>
    </row>
    <row r="304" customFormat="false" ht="15" hidden="false" customHeight="false" outlineLevel="0" collapsed="false">
      <c r="A304" s="16" t="n">
        <v>46047</v>
      </c>
      <c r="B304" s="17" t="s">
        <v>96</v>
      </c>
      <c r="C304" s="13"/>
      <c r="D304" s="14"/>
      <c r="E304" s="15"/>
    </row>
    <row r="305" customFormat="false" ht="15" hidden="false" customHeight="false" outlineLevel="0" collapsed="false">
      <c r="A305" s="11" t="n">
        <v>46048</v>
      </c>
      <c r="B305" s="12" t="s">
        <v>97</v>
      </c>
      <c r="C305" s="13"/>
      <c r="D305" s="14"/>
      <c r="E305" s="15"/>
    </row>
    <row r="306" customFormat="false" ht="15" hidden="false" customHeight="false" outlineLevel="0" collapsed="false">
      <c r="A306" s="11" t="n">
        <v>46049</v>
      </c>
      <c r="B306" s="12" t="s">
        <v>91</v>
      </c>
      <c r="C306" s="13"/>
      <c r="D306" s="14"/>
      <c r="E306" s="15"/>
    </row>
    <row r="307" customFormat="false" ht="15" hidden="false" customHeight="false" outlineLevel="0" collapsed="false">
      <c r="A307" s="11" t="n">
        <v>46050</v>
      </c>
      <c r="B307" s="12" t="s">
        <v>92</v>
      </c>
      <c r="C307" s="13"/>
      <c r="D307" s="14"/>
      <c r="E307" s="15"/>
    </row>
    <row r="308" customFormat="false" ht="15" hidden="false" customHeight="false" outlineLevel="0" collapsed="false">
      <c r="A308" s="11" t="n">
        <v>46051</v>
      </c>
      <c r="B308" s="12" t="s">
        <v>93</v>
      </c>
      <c r="C308" s="13"/>
      <c r="D308" s="14"/>
      <c r="E308" s="15"/>
    </row>
    <row r="309" customFormat="false" ht="15" hidden="false" customHeight="false" outlineLevel="0" collapsed="false">
      <c r="A309" s="11" t="n">
        <v>46052</v>
      </c>
      <c r="B309" s="12" t="s">
        <v>94</v>
      </c>
      <c r="C309" s="13"/>
      <c r="D309" s="14"/>
      <c r="E309" s="15"/>
    </row>
    <row r="310" customFormat="false" ht="15" hidden="false" customHeight="false" outlineLevel="0" collapsed="false">
      <c r="A310" s="16" t="n">
        <v>46053</v>
      </c>
      <c r="B310" s="17" t="s">
        <v>95</v>
      </c>
      <c r="C310" s="13"/>
      <c r="D310" s="14"/>
      <c r="E310" s="15"/>
    </row>
    <row r="311" customFormat="false" ht="15" hidden="false" customHeight="false" outlineLevel="0" collapsed="false">
      <c r="A311" s="16" t="n">
        <v>46054</v>
      </c>
      <c r="B311" s="17" t="s">
        <v>96</v>
      </c>
      <c r="C311" s="13"/>
      <c r="D311" s="14"/>
      <c r="E311" s="15"/>
    </row>
    <row r="312" customFormat="false" ht="15" hidden="false" customHeight="false" outlineLevel="0" collapsed="false">
      <c r="A312" s="11" t="n">
        <v>46055</v>
      </c>
      <c r="B312" s="12" t="s">
        <v>97</v>
      </c>
      <c r="C312" s="13"/>
      <c r="D312" s="14"/>
      <c r="E312" s="15"/>
    </row>
    <row r="313" customFormat="false" ht="15" hidden="false" customHeight="false" outlineLevel="0" collapsed="false">
      <c r="A313" s="11" t="n">
        <v>46056</v>
      </c>
      <c r="B313" s="12" t="s">
        <v>91</v>
      </c>
      <c r="C313" s="13"/>
      <c r="D313" s="14"/>
      <c r="E313" s="15"/>
    </row>
    <row r="314" customFormat="false" ht="15" hidden="false" customHeight="false" outlineLevel="0" collapsed="false">
      <c r="A314" s="11" t="n">
        <v>46057</v>
      </c>
      <c r="B314" s="12" t="s">
        <v>92</v>
      </c>
      <c r="C314" s="13"/>
      <c r="D314" s="14"/>
      <c r="E314" s="15"/>
    </row>
    <row r="315" customFormat="false" ht="15" hidden="false" customHeight="false" outlineLevel="0" collapsed="false">
      <c r="A315" s="11" t="n">
        <v>46058</v>
      </c>
      <c r="B315" s="12" t="s">
        <v>93</v>
      </c>
      <c r="C315" s="13"/>
      <c r="D315" s="14"/>
      <c r="E315" s="15"/>
    </row>
    <row r="316" customFormat="false" ht="15" hidden="false" customHeight="false" outlineLevel="0" collapsed="false">
      <c r="A316" s="11" t="n">
        <v>46059</v>
      </c>
      <c r="B316" s="12" t="s">
        <v>94</v>
      </c>
      <c r="C316" s="13"/>
      <c r="D316" s="14"/>
      <c r="E316" s="15"/>
    </row>
    <row r="317" customFormat="false" ht="15" hidden="false" customHeight="false" outlineLevel="0" collapsed="false">
      <c r="A317" s="16" t="n">
        <v>46060</v>
      </c>
      <c r="B317" s="17" t="s">
        <v>95</v>
      </c>
      <c r="C317" s="13"/>
      <c r="D317" s="14"/>
      <c r="E317" s="15"/>
    </row>
    <row r="318" customFormat="false" ht="15" hidden="false" customHeight="false" outlineLevel="0" collapsed="false">
      <c r="A318" s="16" t="n">
        <v>46061</v>
      </c>
      <c r="B318" s="17" t="s">
        <v>96</v>
      </c>
      <c r="C318" s="13"/>
      <c r="D318" s="14"/>
      <c r="E318" s="15"/>
    </row>
    <row r="319" customFormat="false" ht="15" hidden="false" customHeight="false" outlineLevel="0" collapsed="false">
      <c r="A319" s="11" t="n">
        <v>46062</v>
      </c>
      <c r="B319" s="12" t="s">
        <v>97</v>
      </c>
      <c r="C319" s="13"/>
      <c r="D319" s="14"/>
      <c r="E319" s="15"/>
    </row>
    <row r="320" customFormat="false" ht="15" hidden="false" customHeight="false" outlineLevel="0" collapsed="false">
      <c r="A320" s="11" t="n">
        <v>46063</v>
      </c>
      <c r="B320" s="12" t="s">
        <v>91</v>
      </c>
      <c r="C320" s="13"/>
      <c r="D320" s="14"/>
      <c r="E320" s="15"/>
    </row>
    <row r="321" customFormat="false" ht="15" hidden="false" customHeight="false" outlineLevel="0" collapsed="false">
      <c r="A321" s="11" t="n">
        <v>46064</v>
      </c>
      <c r="B321" s="12" t="s">
        <v>92</v>
      </c>
      <c r="C321" s="13"/>
      <c r="D321" s="14"/>
      <c r="E321" s="15"/>
    </row>
    <row r="322" customFormat="false" ht="15" hidden="false" customHeight="false" outlineLevel="0" collapsed="false">
      <c r="A322" s="11" t="n">
        <v>46065</v>
      </c>
      <c r="B322" s="12" t="s">
        <v>93</v>
      </c>
      <c r="C322" s="13"/>
      <c r="D322" s="14"/>
      <c r="E322" s="15"/>
    </row>
    <row r="323" customFormat="false" ht="15" hidden="false" customHeight="false" outlineLevel="0" collapsed="false">
      <c r="A323" s="11" t="n">
        <v>46066</v>
      </c>
      <c r="B323" s="12" t="s">
        <v>94</v>
      </c>
      <c r="C323" s="13"/>
      <c r="D323" s="14"/>
      <c r="E323" s="15"/>
    </row>
    <row r="324" customFormat="false" ht="15" hidden="false" customHeight="false" outlineLevel="0" collapsed="false">
      <c r="A324" s="16" t="n">
        <v>46067</v>
      </c>
      <c r="B324" s="17" t="s">
        <v>95</v>
      </c>
      <c r="C324" s="13"/>
      <c r="D324" s="14"/>
      <c r="E324" s="15"/>
    </row>
    <row r="325" customFormat="false" ht="15" hidden="false" customHeight="false" outlineLevel="0" collapsed="false">
      <c r="A325" s="16" t="n">
        <v>46068</v>
      </c>
      <c r="B325" s="17" t="s">
        <v>96</v>
      </c>
      <c r="C325" s="13"/>
      <c r="D325" s="14"/>
      <c r="E325" s="15"/>
    </row>
    <row r="326" customFormat="false" ht="15" hidden="false" customHeight="false" outlineLevel="0" collapsed="false">
      <c r="A326" s="11" t="n">
        <v>46069</v>
      </c>
      <c r="B326" s="12" t="s">
        <v>97</v>
      </c>
      <c r="C326" s="13"/>
      <c r="D326" s="14"/>
      <c r="E326" s="15"/>
    </row>
    <row r="327" customFormat="false" ht="15" hidden="false" customHeight="false" outlineLevel="0" collapsed="false">
      <c r="A327" s="11" t="n">
        <v>46070</v>
      </c>
      <c r="B327" s="12" t="s">
        <v>91</v>
      </c>
      <c r="C327" s="13"/>
      <c r="D327" s="14"/>
      <c r="E327" s="15"/>
    </row>
    <row r="328" customFormat="false" ht="15" hidden="false" customHeight="false" outlineLevel="0" collapsed="false">
      <c r="A328" s="11" t="n">
        <v>46071</v>
      </c>
      <c r="B328" s="12" t="s">
        <v>92</v>
      </c>
      <c r="C328" s="13"/>
      <c r="D328" s="14"/>
      <c r="E328" s="15"/>
    </row>
    <row r="329" customFormat="false" ht="15" hidden="false" customHeight="false" outlineLevel="0" collapsed="false">
      <c r="A329" s="11" t="n">
        <v>46072</v>
      </c>
      <c r="B329" s="12" t="s">
        <v>93</v>
      </c>
      <c r="C329" s="13"/>
      <c r="D329" s="14"/>
      <c r="E329" s="15"/>
    </row>
    <row r="330" customFormat="false" ht="15" hidden="false" customHeight="false" outlineLevel="0" collapsed="false">
      <c r="A330" s="11" t="n">
        <v>46073</v>
      </c>
      <c r="B330" s="12" t="s">
        <v>94</v>
      </c>
      <c r="C330" s="13"/>
      <c r="D330" s="14"/>
      <c r="E330" s="15"/>
    </row>
    <row r="331" customFormat="false" ht="15" hidden="false" customHeight="false" outlineLevel="0" collapsed="false">
      <c r="A331" s="16" t="n">
        <v>46074</v>
      </c>
      <c r="B331" s="17" t="s">
        <v>95</v>
      </c>
      <c r="C331" s="13"/>
      <c r="D331" s="14"/>
      <c r="E331" s="15"/>
    </row>
    <row r="332" customFormat="false" ht="15" hidden="false" customHeight="false" outlineLevel="0" collapsed="false">
      <c r="A332" s="16" t="n">
        <v>46075</v>
      </c>
      <c r="B332" s="17" t="s">
        <v>96</v>
      </c>
      <c r="C332" s="13"/>
      <c r="D332" s="14"/>
      <c r="E332" s="15"/>
    </row>
    <row r="333" customFormat="false" ht="15" hidden="false" customHeight="false" outlineLevel="0" collapsed="false">
      <c r="A333" s="11" t="n">
        <v>46076</v>
      </c>
      <c r="B333" s="12" t="s">
        <v>97</v>
      </c>
      <c r="C333" s="13"/>
      <c r="D333" s="14"/>
      <c r="E333" s="15"/>
    </row>
    <row r="334" customFormat="false" ht="15" hidden="false" customHeight="false" outlineLevel="0" collapsed="false">
      <c r="A334" s="11" t="n">
        <v>46077</v>
      </c>
      <c r="B334" s="12" t="s">
        <v>91</v>
      </c>
      <c r="C334" s="13"/>
      <c r="D334" s="14"/>
      <c r="E334" s="15"/>
    </row>
    <row r="335" customFormat="false" ht="15" hidden="false" customHeight="false" outlineLevel="0" collapsed="false">
      <c r="A335" s="11" t="n">
        <v>46078</v>
      </c>
      <c r="B335" s="12" t="s">
        <v>92</v>
      </c>
      <c r="C335" s="13"/>
      <c r="D335" s="14"/>
      <c r="E335" s="15"/>
    </row>
    <row r="336" customFormat="false" ht="15" hidden="false" customHeight="false" outlineLevel="0" collapsed="false">
      <c r="A336" s="11" t="n">
        <v>46079</v>
      </c>
      <c r="B336" s="12" t="s">
        <v>93</v>
      </c>
      <c r="C336" s="13"/>
      <c r="D336" s="14"/>
      <c r="E336" s="15"/>
    </row>
    <row r="337" customFormat="false" ht="15" hidden="false" customHeight="false" outlineLevel="0" collapsed="false">
      <c r="A337" s="11" t="n">
        <v>46080</v>
      </c>
      <c r="B337" s="12" t="s">
        <v>94</v>
      </c>
      <c r="C337" s="13"/>
      <c r="D337" s="14"/>
      <c r="E337" s="15"/>
    </row>
    <row r="338" customFormat="false" ht="15" hidden="false" customHeight="false" outlineLevel="0" collapsed="false">
      <c r="A338" s="16" t="n">
        <v>46081</v>
      </c>
      <c r="B338" s="17" t="s">
        <v>95</v>
      </c>
      <c r="C338" s="13"/>
      <c r="D338" s="14"/>
      <c r="E338" s="15"/>
    </row>
    <row r="339" customFormat="false" ht="15" hidden="false" customHeight="false" outlineLevel="0" collapsed="false">
      <c r="A339" s="16" t="n">
        <v>46082</v>
      </c>
      <c r="B339" s="17" t="s">
        <v>96</v>
      </c>
      <c r="C339" s="13"/>
      <c r="D339" s="14"/>
      <c r="E339" s="15"/>
    </row>
    <row r="340" customFormat="false" ht="15" hidden="false" customHeight="false" outlineLevel="0" collapsed="false">
      <c r="A340" s="11" t="n">
        <v>46083</v>
      </c>
      <c r="B340" s="12" t="s">
        <v>97</v>
      </c>
      <c r="C340" s="13"/>
      <c r="D340" s="14"/>
      <c r="E340" s="15"/>
    </row>
    <row r="341" customFormat="false" ht="15" hidden="false" customHeight="false" outlineLevel="0" collapsed="false">
      <c r="A341" s="11" t="n">
        <v>46084</v>
      </c>
      <c r="B341" s="12" t="s">
        <v>91</v>
      </c>
      <c r="C341" s="13"/>
      <c r="D341" s="14"/>
      <c r="E341" s="15"/>
    </row>
    <row r="342" customFormat="false" ht="15" hidden="false" customHeight="false" outlineLevel="0" collapsed="false">
      <c r="A342" s="11" t="n">
        <v>46085</v>
      </c>
      <c r="B342" s="12" t="s">
        <v>92</v>
      </c>
      <c r="C342" s="13"/>
      <c r="D342" s="14"/>
      <c r="E342" s="15"/>
    </row>
    <row r="343" customFormat="false" ht="15" hidden="false" customHeight="false" outlineLevel="0" collapsed="false">
      <c r="A343" s="11" t="n">
        <v>46086</v>
      </c>
      <c r="B343" s="12" t="s">
        <v>93</v>
      </c>
      <c r="C343" s="13"/>
      <c r="D343" s="14"/>
      <c r="E343" s="15"/>
    </row>
    <row r="344" customFormat="false" ht="15" hidden="false" customHeight="false" outlineLevel="0" collapsed="false">
      <c r="A344" s="11" t="n">
        <v>46087</v>
      </c>
      <c r="B344" s="12" t="s">
        <v>94</v>
      </c>
      <c r="C344" s="13"/>
      <c r="D344" s="14"/>
      <c r="E344" s="15"/>
    </row>
    <row r="345" customFormat="false" ht="15" hidden="false" customHeight="false" outlineLevel="0" collapsed="false">
      <c r="A345" s="16" t="n">
        <v>46088</v>
      </c>
      <c r="B345" s="17" t="s">
        <v>95</v>
      </c>
      <c r="C345" s="13"/>
      <c r="D345" s="14"/>
      <c r="E345" s="15"/>
    </row>
    <row r="346" customFormat="false" ht="15" hidden="false" customHeight="false" outlineLevel="0" collapsed="false">
      <c r="A346" s="16" t="n">
        <v>46089</v>
      </c>
      <c r="B346" s="17" t="s">
        <v>96</v>
      </c>
      <c r="C346" s="13"/>
      <c r="D346" s="14"/>
      <c r="E346" s="15"/>
    </row>
    <row r="347" customFormat="false" ht="15" hidden="false" customHeight="false" outlineLevel="0" collapsed="false">
      <c r="A347" s="11" t="n">
        <v>46090</v>
      </c>
      <c r="B347" s="12" t="s">
        <v>97</v>
      </c>
      <c r="C347" s="13"/>
      <c r="D347" s="14"/>
      <c r="E347" s="15"/>
    </row>
    <row r="348" customFormat="false" ht="15" hidden="false" customHeight="false" outlineLevel="0" collapsed="false">
      <c r="A348" s="11" t="n">
        <v>46091</v>
      </c>
      <c r="B348" s="12" t="s">
        <v>91</v>
      </c>
      <c r="C348" s="13"/>
      <c r="D348" s="14"/>
      <c r="E348" s="15"/>
    </row>
    <row r="349" customFormat="false" ht="15" hidden="false" customHeight="false" outlineLevel="0" collapsed="false">
      <c r="A349" s="11" t="n">
        <v>46092</v>
      </c>
      <c r="B349" s="12" t="s">
        <v>92</v>
      </c>
      <c r="C349" s="13"/>
      <c r="D349" s="14"/>
      <c r="E349" s="15"/>
    </row>
    <row r="350" customFormat="false" ht="15" hidden="false" customHeight="false" outlineLevel="0" collapsed="false">
      <c r="A350" s="11" t="n">
        <v>46093</v>
      </c>
      <c r="B350" s="12" t="s">
        <v>93</v>
      </c>
      <c r="C350" s="13"/>
      <c r="D350" s="14"/>
      <c r="E350" s="15"/>
    </row>
    <row r="351" customFormat="false" ht="15" hidden="false" customHeight="false" outlineLevel="0" collapsed="false">
      <c r="A351" s="11" t="n">
        <v>46094</v>
      </c>
      <c r="B351" s="12" t="s">
        <v>94</v>
      </c>
      <c r="C351" s="13"/>
      <c r="D351" s="14"/>
      <c r="E351" s="15"/>
    </row>
    <row r="352" customFormat="false" ht="15" hidden="false" customHeight="false" outlineLevel="0" collapsed="false">
      <c r="A352" s="16" t="n">
        <v>46095</v>
      </c>
      <c r="B352" s="17" t="s">
        <v>95</v>
      </c>
      <c r="C352" s="13"/>
      <c r="D352" s="14"/>
      <c r="E352" s="15"/>
    </row>
    <row r="353" customFormat="false" ht="15" hidden="false" customHeight="false" outlineLevel="0" collapsed="false">
      <c r="A353" s="16" t="n">
        <v>46096</v>
      </c>
      <c r="B353" s="17" t="s">
        <v>96</v>
      </c>
      <c r="C353" s="13"/>
      <c r="D353" s="14"/>
      <c r="E353" s="15"/>
    </row>
    <row r="354" customFormat="false" ht="15" hidden="false" customHeight="false" outlineLevel="0" collapsed="false">
      <c r="A354" s="11" t="n">
        <v>46097</v>
      </c>
      <c r="B354" s="12" t="s">
        <v>97</v>
      </c>
      <c r="C354" s="13"/>
      <c r="D354" s="14"/>
      <c r="E354" s="15"/>
    </row>
    <row r="355" customFormat="false" ht="15" hidden="false" customHeight="false" outlineLevel="0" collapsed="false">
      <c r="A355" s="11" t="n">
        <v>46098</v>
      </c>
      <c r="B355" s="12" t="s">
        <v>91</v>
      </c>
      <c r="C355" s="13"/>
      <c r="D355" s="14"/>
      <c r="E355" s="15"/>
    </row>
    <row r="356" customFormat="false" ht="15" hidden="false" customHeight="false" outlineLevel="0" collapsed="false">
      <c r="A356" s="11" t="n">
        <v>46099</v>
      </c>
      <c r="B356" s="12" t="s">
        <v>92</v>
      </c>
      <c r="C356" s="13"/>
      <c r="D356" s="14"/>
      <c r="E356" s="15"/>
    </row>
    <row r="357" customFormat="false" ht="15" hidden="false" customHeight="false" outlineLevel="0" collapsed="false">
      <c r="A357" s="11" t="n">
        <v>46100</v>
      </c>
      <c r="B357" s="12" t="s">
        <v>93</v>
      </c>
      <c r="C357" s="13"/>
      <c r="D357" s="14"/>
      <c r="E357" s="15"/>
    </row>
    <row r="358" customFormat="false" ht="15" hidden="false" customHeight="false" outlineLevel="0" collapsed="false">
      <c r="A358" s="11" t="n">
        <v>46101</v>
      </c>
      <c r="B358" s="12" t="s">
        <v>94</v>
      </c>
      <c r="C358" s="13"/>
      <c r="D358" s="14"/>
      <c r="E358" s="15"/>
    </row>
    <row r="359" customFormat="false" ht="15" hidden="false" customHeight="false" outlineLevel="0" collapsed="false">
      <c r="A359" s="16" t="n">
        <v>46102</v>
      </c>
      <c r="B359" s="17" t="s">
        <v>95</v>
      </c>
      <c r="C359" s="13"/>
      <c r="D359" s="14"/>
      <c r="E359" s="15"/>
    </row>
    <row r="360" customFormat="false" ht="15" hidden="false" customHeight="false" outlineLevel="0" collapsed="false">
      <c r="A360" s="16" t="n">
        <v>46103</v>
      </c>
      <c r="B360" s="17" t="s">
        <v>96</v>
      </c>
      <c r="C360" s="13"/>
      <c r="D360" s="14"/>
      <c r="E360" s="15"/>
    </row>
    <row r="361" customFormat="false" ht="15" hidden="false" customHeight="false" outlineLevel="0" collapsed="false">
      <c r="A361" s="11" t="n">
        <v>46104</v>
      </c>
      <c r="B361" s="12" t="s">
        <v>97</v>
      </c>
      <c r="C361" s="13"/>
      <c r="D361" s="14"/>
      <c r="E361" s="15"/>
    </row>
    <row r="362" customFormat="false" ht="15" hidden="false" customHeight="false" outlineLevel="0" collapsed="false">
      <c r="A362" s="11" t="n">
        <v>46105</v>
      </c>
      <c r="B362" s="12" t="s">
        <v>91</v>
      </c>
      <c r="C362" s="13"/>
      <c r="D362" s="14"/>
      <c r="E362" s="15"/>
    </row>
    <row r="363" customFormat="false" ht="15" hidden="false" customHeight="false" outlineLevel="0" collapsed="false">
      <c r="A363" s="11" t="n">
        <v>46106</v>
      </c>
      <c r="B363" s="12" t="s">
        <v>92</v>
      </c>
      <c r="C363" s="13"/>
      <c r="D363" s="14"/>
      <c r="E363" s="15"/>
    </row>
    <row r="364" customFormat="false" ht="15" hidden="false" customHeight="false" outlineLevel="0" collapsed="false">
      <c r="A364" s="11" t="n">
        <v>46107</v>
      </c>
      <c r="B364" s="12" t="s">
        <v>93</v>
      </c>
      <c r="C364" s="13"/>
      <c r="D364" s="14"/>
      <c r="E364" s="15"/>
    </row>
    <row r="365" customFormat="false" ht="15" hidden="false" customHeight="false" outlineLevel="0" collapsed="false">
      <c r="A365" s="11" t="n">
        <v>46108</v>
      </c>
      <c r="B365" s="12" t="s">
        <v>94</v>
      </c>
      <c r="C365" s="13"/>
      <c r="D365" s="14"/>
      <c r="E365" s="15"/>
    </row>
    <row r="366" customFormat="false" ht="15" hidden="false" customHeight="false" outlineLevel="0" collapsed="false">
      <c r="A366" s="16" t="n">
        <v>46109</v>
      </c>
      <c r="B366" s="17" t="s">
        <v>95</v>
      </c>
      <c r="C366" s="13"/>
      <c r="D366" s="14"/>
      <c r="E366" s="15"/>
    </row>
    <row r="367" customFormat="false" ht="15" hidden="false" customHeight="false" outlineLevel="0" collapsed="false">
      <c r="A367" s="16" t="n">
        <v>46110</v>
      </c>
      <c r="B367" s="17" t="s">
        <v>96</v>
      </c>
      <c r="C367" s="13"/>
      <c r="D367" s="14"/>
      <c r="E367" s="15"/>
    </row>
    <row r="368" customFormat="false" ht="15" hidden="false" customHeight="false" outlineLevel="0" collapsed="false">
      <c r="A368" s="11" t="n">
        <v>46111</v>
      </c>
      <c r="B368" s="12" t="s">
        <v>97</v>
      </c>
      <c r="C368" s="13"/>
      <c r="D368" s="14"/>
      <c r="E368" s="15"/>
    </row>
    <row r="369" customFormat="false" ht="15" hidden="false" customHeight="false" outlineLevel="0" collapsed="false">
      <c r="A369" s="11" t="n">
        <v>46112</v>
      </c>
      <c r="B369" s="12" t="s">
        <v>91</v>
      </c>
      <c r="C369" s="13"/>
      <c r="D369" s="14"/>
      <c r="E369" s="15"/>
    </row>
    <row r="370" customFormat="false" ht="15" hidden="false" customHeight="false" outlineLevel="0" collapsed="false">
      <c r="A370" s="11" t="n">
        <v>46113</v>
      </c>
      <c r="B370" s="12" t="s">
        <v>92</v>
      </c>
      <c r="C370" s="13"/>
      <c r="D370" s="14"/>
      <c r="E370" s="15"/>
    </row>
    <row r="371" customFormat="false" ht="15" hidden="false" customHeight="false" outlineLevel="0" collapsed="false">
      <c r="A371" s="11" t="n">
        <v>46114</v>
      </c>
      <c r="B371" s="12" t="s">
        <v>93</v>
      </c>
      <c r="C371" s="13"/>
      <c r="D371" s="14"/>
      <c r="E371" s="15"/>
    </row>
    <row r="372" customFormat="false" ht="15" hidden="false" customHeight="false" outlineLevel="0" collapsed="false">
      <c r="A372" s="11" t="n">
        <v>46115</v>
      </c>
      <c r="B372" s="12" t="s">
        <v>94</v>
      </c>
      <c r="C372" s="13"/>
      <c r="D372" s="14"/>
      <c r="E372" s="15"/>
    </row>
    <row r="373" customFormat="false" ht="15" hidden="false" customHeight="false" outlineLevel="0" collapsed="false">
      <c r="A373" s="16" t="n">
        <v>46116</v>
      </c>
      <c r="B373" s="17" t="s">
        <v>95</v>
      </c>
      <c r="C373" s="13"/>
      <c r="D373" s="14"/>
      <c r="E373" s="15"/>
    </row>
    <row r="374" customFormat="false" ht="15" hidden="false" customHeight="false" outlineLevel="0" collapsed="false">
      <c r="A374" s="16" t="n">
        <v>46117</v>
      </c>
      <c r="B374" s="17" t="s">
        <v>96</v>
      </c>
      <c r="C374" s="13"/>
      <c r="D374" s="14"/>
      <c r="E374" s="15"/>
    </row>
    <row r="375" customFormat="false" ht="15" hidden="false" customHeight="false" outlineLevel="0" collapsed="false">
      <c r="A375" s="11" t="n">
        <v>46118</v>
      </c>
      <c r="B375" s="12" t="s">
        <v>97</v>
      </c>
      <c r="C375" s="13"/>
      <c r="D375" s="14"/>
      <c r="E375" s="15"/>
    </row>
    <row r="376" customFormat="false" ht="15" hidden="false" customHeight="false" outlineLevel="0" collapsed="false">
      <c r="A376" s="11" t="n">
        <v>46119</v>
      </c>
      <c r="B376" s="12" t="s">
        <v>91</v>
      </c>
      <c r="C376" s="13"/>
      <c r="D376" s="14"/>
      <c r="E376" s="15"/>
    </row>
    <row r="377" customFormat="false" ht="15" hidden="false" customHeight="false" outlineLevel="0" collapsed="false">
      <c r="A377" s="11" t="n">
        <v>46120</v>
      </c>
      <c r="B377" s="12" t="s">
        <v>92</v>
      </c>
      <c r="C377" s="13"/>
      <c r="D377" s="14"/>
      <c r="E377" s="15"/>
    </row>
    <row r="378" customFormat="false" ht="15" hidden="false" customHeight="false" outlineLevel="0" collapsed="false">
      <c r="A378" s="11" t="n">
        <v>46121</v>
      </c>
      <c r="B378" s="12" t="s">
        <v>93</v>
      </c>
      <c r="C378" s="13"/>
      <c r="D378" s="14"/>
      <c r="E378" s="15"/>
    </row>
    <row r="379" customFormat="false" ht="15" hidden="false" customHeight="false" outlineLevel="0" collapsed="false">
      <c r="A379" s="11" t="n">
        <v>46122</v>
      </c>
      <c r="B379" s="12" t="s">
        <v>94</v>
      </c>
      <c r="C379" s="13"/>
      <c r="D379" s="14"/>
      <c r="E379" s="15"/>
    </row>
    <row r="380" customFormat="false" ht="15" hidden="false" customHeight="false" outlineLevel="0" collapsed="false">
      <c r="A380" s="16" t="n">
        <v>46123</v>
      </c>
      <c r="B380" s="17" t="s">
        <v>95</v>
      </c>
      <c r="C380" s="13"/>
      <c r="D380" s="14"/>
      <c r="E380" s="15"/>
    </row>
    <row r="381" customFormat="false" ht="15" hidden="false" customHeight="false" outlineLevel="0" collapsed="false">
      <c r="A381" s="16" t="n">
        <v>46124</v>
      </c>
      <c r="B381" s="17" t="s">
        <v>96</v>
      </c>
      <c r="C381" s="13"/>
      <c r="D381" s="14"/>
      <c r="E381" s="15"/>
    </row>
    <row r="382" customFormat="false" ht="15" hidden="false" customHeight="false" outlineLevel="0" collapsed="false">
      <c r="A382" s="11" t="n">
        <v>46125</v>
      </c>
      <c r="B382" s="12" t="s">
        <v>97</v>
      </c>
      <c r="C382" s="13"/>
      <c r="D382" s="14"/>
      <c r="E382" s="15"/>
    </row>
    <row r="383" customFormat="false" ht="15" hidden="false" customHeight="false" outlineLevel="0" collapsed="false">
      <c r="A383" s="11" t="n">
        <v>46126</v>
      </c>
      <c r="B383" s="12" t="s">
        <v>91</v>
      </c>
      <c r="C383" s="13"/>
      <c r="D383" s="14"/>
      <c r="E383" s="15"/>
    </row>
    <row r="384" customFormat="false" ht="15" hidden="false" customHeight="false" outlineLevel="0" collapsed="false">
      <c r="A384" s="11" t="n">
        <v>46127</v>
      </c>
      <c r="B384" s="12" t="s">
        <v>92</v>
      </c>
      <c r="C384" s="13"/>
      <c r="D384" s="14"/>
      <c r="E384" s="15"/>
    </row>
    <row r="385" customFormat="false" ht="15" hidden="false" customHeight="false" outlineLevel="0" collapsed="false">
      <c r="A385" s="11" t="n">
        <v>46128</v>
      </c>
      <c r="B385" s="12" t="s">
        <v>93</v>
      </c>
      <c r="C385" s="13"/>
      <c r="D385" s="14"/>
      <c r="E385" s="15"/>
    </row>
    <row r="386" customFormat="false" ht="15" hidden="false" customHeight="false" outlineLevel="0" collapsed="false">
      <c r="A386" s="11" t="n">
        <v>46129</v>
      </c>
      <c r="B386" s="12" t="s">
        <v>94</v>
      </c>
      <c r="C386" s="13"/>
      <c r="D386" s="14"/>
      <c r="E386" s="15"/>
    </row>
    <row r="387" customFormat="false" ht="15" hidden="false" customHeight="false" outlineLevel="0" collapsed="false">
      <c r="A387" s="16" t="n">
        <v>46130</v>
      </c>
      <c r="B387" s="17" t="s">
        <v>95</v>
      </c>
      <c r="C387" s="13"/>
      <c r="D387" s="14"/>
      <c r="E387" s="15"/>
    </row>
    <row r="388" customFormat="false" ht="15" hidden="false" customHeight="false" outlineLevel="0" collapsed="false">
      <c r="A388" s="16" t="n">
        <v>46131</v>
      </c>
      <c r="B388" s="17" t="s">
        <v>96</v>
      </c>
      <c r="C388" s="13"/>
      <c r="D388" s="14"/>
      <c r="E388" s="15"/>
    </row>
    <row r="389" customFormat="false" ht="15" hidden="false" customHeight="false" outlineLevel="0" collapsed="false">
      <c r="A389" s="11" t="n">
        <v>46132</v>
      </c>
      <c r="B389" s="12" t="s">
        <v>97</v>
      </c>
      <c r="C389" s="13"/>
      <c r="D389" s="14"/>
      <c r="E389" s="15"/>
    </row>
    <row r="390" customFormat="false" ht="15" hidden="false" customHeight="false" outlineLevel="0" collapsed="false">
      <c r="A390" s="11" t="n">
        <v>46133</v>
      </c>
      <c r="B390" s="12" t="s">
        <v>91</v>
      </c>
      <c r="C390" s="13"/>
      <c r="D390" s="14"/>
      <c r="E390" s="15"/>
    </row>
    <row r="391" customFormat="false" ht="15" hidden="false" customHeight="false" outlineLevel="0" collapsed="false">
      <c r="A391" s="11" t="n">
        <v>46134</v>
      </c>
      <c r="B391" s="12" t="s">
        <v>92</v>
      </c>
      <c r="C391" s="13"/>
      <c r="D391" s="14"/>
      <c r="E391" s="15"/>
    </row>
    <row r="392" customFormat="false" ht="15" hidden="false" customHeight="false" outlineLevel="0" collapsed="false">
      <c r="A392" s="11" t="n">
        <v>46135</v>
      </c>
      <c r="B392" s="12" t="s">
        <v>93</v>
      </c>
      <c r="C392" s="13"/>
      <c r="D392" s="14"/>
      <c r="E392" s="15"/>
    </row>
    <row r="393" customFormat="false" ht="15" hidden="false" customHeight="false" outlineLevel="0" collapsed="false">
      <c r="A393" s="11" t="n">
        <v>46136</v>
      </c>
      <c r="B393" s="12" t="s">
        <v>94</v>
      </c>
      <c r="C393" s="13"/>
      <c r="D393" s="14"/>
      <c r="E393" s="15"/>
    </row>
    <row r="394" customFormat="false" ht="15" hidden="false" customHeight="false" outlineLevel="0" collapsed="false">
      <c r="A394" s="16" t="n">
        <v>46137</v>
      </c>
      <c r="B394" s="17" t="s">
        <v>95</v>
      </c>
      <c r="C394" s="13"/>
      <c r="D394" s="14"/>
      <c r="E394" s="15"/>
    </row>
    <row r="395" customFormat="false" ht="15" hidden="false" customHeight="false" outlineLevel="0" collapsed="false">
      <c r="A395" s="16" t="n">
        <v>46138</v>
      </c>
      <c r="B395" s="17" t="s">
        <v>96</v>
      </c>
      <c r="C395" s="13"/>
      <c r="D395" s="14"/>
      <c r="E395" s="15"/>
    </row>
    <row r="396" customFormat="false" ht="15" hidden="false" customHeight="false" outlineLevel="0" collapsed="false">
      <c r="A396" s="11" t="n">
        <v>46139</v>
      </c>
      <c r="B396" s="12" t="s">
        <v>97</v>
      </c>
      <c r="C396" s="13"/>
      <c r="D396" s="14"/>
      <c r="E396" s="15"/>
    </row>
    <row r="397" customFormat="false" ht="15" hidden="false" customHeight="false" outlineLevel="0" collapsed="false">
      <c r="A397" s="11" t="n">
        <v>46140</v>
      </c>
      <c r="B397" s="12" t="s">
        <v>91</v>
      </c>
      <c r="C397" s="13"/>
      <c r="D397" s="14"/>
      <c r="E397" s="15"/>
    </row>
    <row r="398" customFormat="false" ht="15" hidden="false" customHeight="false" outlineLevel="0" collapsed="false">
      <c r="A398" s="11" t="n">
        <v>46141</v>
      </c>
      <c r="B398" s="12" t="s">
        <v>92</v>
      </c>
      <c r="C398" s="13"/>
      <c r="D398" s="14"/>
      <c r="E398" s="15"/>
    </row>
    <row r="399" customFormat="false" ht="15" hidden="false" customHeight="false" outlineLevel="0" collapsed="false">
      <c r="A399" s="11" t="n">
        <v>46142</v>
      </c>
      <c r="B399" s="12" t="s">
        <v>93</v>
      </c>
      <c r="C399" s="13"/>
      <c r="D399" s="14"/>
      <c r="E399" s="15"/>
    </row>
    <row r="400" customFormat="false" ht="15" hidden="false" customHeight="false" outlineLevel="0" collapsed="false">
      <c r="A400" s="11" t="n">
        <v>46143</v>
      </c>
      <c r="B400" s="12" t="s">
        <v>94</v>
      </c>
      <c r="C400" s="13"/>
      <c r="D400" s="14"/>
      <c r="E400" s="15"/>
    </row>
    <row r="401" customFormat="false" ht="15" hidden="false" customHeight="false" outlineLevel="0" collapsed="false">
      <c r="A401" s="16" t="n">
        <v>46144</v>
      </c>
      <c r="B401" s="17" t="s">
        <v>95</v>
      </c>
      <c r="C401" s="13"/>
      <c r="D401" s="14"/>
      <c r="E401" s="15"/>
    </row>
    <row r="402" customFormat="false" ht="15" hidden="false" customHeight="false" outlineLevel="0" collapsed="false">
      <c r="A402" s="16" t="n">
        <v>46145</v>
      </c>
      <c r="B402" s="17" t="s">
        <v>96</v>
      </c>
      <c r="C402" s="13"/>
      <c r="D402" s="14"/>
      <c r="E402" s="15"/>
    </row>
    <row r="403" customFormat="false" ht="15" hidden="false" customHeight="false" outlineLevel="0" collapsed="false">
      <c r="A403" s="11" t="n">
        <v>46146</v>
      </c>
      <c r="B403" s="12" t="s">
        <v>97</v>
      </c>
      <c r="C403" s="13"/>
      <c r="D403" s="14"/>
      <c r="E403" s="15"/>
    </row>
    <row r="404" customFormat="false" ht="15" hidden="false" customHeight="false" outlineLevel="0" collapsed="false">
      <c r="A404" s="11" t="n">
        <v>46147</v>
      </c>
      <c r="B404" s="12" t="s">
        <v>91</v>
      </c>
      <c r="C404" s="13"/>
      <c r="D404" s="14"/>
      <c r="E404" s="15"/>
    </row>
    <row r="405" customFormat="false" ht="15" hidden="false" customHeight="false" outlineLevel="0" collapsed="false">
      <c r="A405" s="11" t="n">
        <v>46148</v>
      </c>
      <c r="B405" s="12" t="s">
        <v>92</v>
      </c>
      <c r="C405" s="13"/>
      <c r="D405" s="14"/>
      <c r="E405" s="15"/>
    </row>
    <row r="406" customFormat="false" ht="15" hidden="false" customHeight="false" outlineLevel="0" collapsed="false">
      <c r="A406" s="11" t="n">
        <v>46149</v>
      </c>
      <c r="B406" s="12" t="s">
        <v>93</v>
      </c>
      <c r="C406" s="13"/>
      <c r="D406" s="14"/>
      <c r="E406" s="15"/>
    </row>
    <row r="407" customFormat="false" ht="15" hidden="false" customHeight="false" outlineLevel="0" collapsed="false">
      <c r="A407" s="11" t="n">
        <v>46150</v>
      </c>
      <c r="B407" s="12" t="s">
        <v>94</v>
      </c>
      <c r="C407" s="13"/>
      <c r="D407" s="14"/>
      <c r="E407" s="15"/>
    </row>
    <row r="408" customFormat="false" ht="15" hidden="false" customHeight="false" outlineLevel="0" collapsed="false">
      <c r="A408" s="16" t="n">
        <v>46151</v>
      </c>
      <c r="B408" s="17" t="s">
        <v>95</v>
      </c>
      <c r="C408" s="13"/>
      <c r="D408" s="14"/>
      <c r="E408" s="15"/>
    </row>
    <row r="409" customFormat="false" ht="15" hidden="false" customHeight="false" outlineLevel="0" collapsed="false">
      <c r="A409" s="16" t="n">
        <v>46152</v>
      </c>
      <c r="B409" s="17" t="s">
        <v>96</v>
      </c>
      <c r="C409" s="13"/>
      <c r="D409" s="14"/>
      <c r="E409" s="15"/>
    </row>
    <row r="410" customFormat="false" ht="15" hidden="false" customHeight="false" outlineLevel="0" collapsed="false">
      <c r="A410" s="11" t="n">
        <v>46153</v>
      </c>
      <c r="B410" s="12" t="s">
        <v>97</v>
      </c>
      <c r="C410" s="13"/>
      <c r="D410" s="14"/>
      <c r="E410" s="15"/>
    </row>
    <row r="411" customFormat="false" ht="15" hidden="false" customHeight="false" outlineLevel="0" collapsed="false">
      <c r="A411" s="11" t="n">
        <v>46154</v>
      </c>
      <c r="B411" s="12" t="s">
        <v>91</v>
      </c>
      <c r="C411" s="13"/>
      <c r="D411" s="14"/>
      <c r="E411" s="15"/>
    </row>
    <row r="412" customFormat="false" ht="15" hidden="false" customHeight="false" outlineLevel="0" collapsed="false">
      <c r="A412" s="11" t="n">
        <v>46155</v>
      </c>
      <c r="B412" s="12" t="s">
        <v>92</v>
      </c>
      <c r="C412" s="13"/>
      <c r="D412" s="14"/>
      <c r="E412" s="15"/>
    </row>
    <row r="413" customFormat="false" ht="15" hidden="false" customHeight="false" outlineLevel="0" collapsed="false">
      <c r="A413" s="11" t="n">
        <v>46156</v>
      </c>
      <c r="B413" s="12" t="s">
        <v>93</v>
      </c>
      <c r="C413" s="13"/>
      <c r="D413" s="14"/>
      <c r="E413" s="15"/>
    </row>
    <row r="414" customFormat="false" ht="15" hidden="false" customHeight="false" outlineLevel="0" collapsed="false">
      <c r="A414" s="11" t="n">
        <v>46157</v>
      </c>
      <c r="B414" s="12" t="s">
        <v>94</v>
      </c>
      <c r="C414" s="13"/>
      <c r="D414" s="14"/>
      <c r="E414" s="15"/>
    </row>
    <row r="415" customFormat="false" ht="15" hidden="false" customHeight="false" outlineLevel="0" collapsed="false">
      <c r="A415" s="16" t="n">
        <v>46158</v>
      </c>
      <c r="B415" s="17" t="s">
        <v>95</v>
      </c>
      <c r="C415" s="13"/>
      <c r="D415" s="14"/>
      <c r="E415" s="15"/>
    </row>
    <row r="416" customFormat="false" ht="15" hidden="false" customHeight="false" outlineLevel="0" collapsed="false">
      <c r="A416" s="16" t="n">
        <v>46159</v>
      </c>
      <c r="B416" s="17" t="s">
        <v>96</v>
      </c>
      <c r="C416" s="13"/>
      <c r="D416" s="14"/>
      <c r="E416" s="15"/>
    </row>
    <row r="417" customFormat="false" ht="15" hidden="false" customHeight="false" outlineLevel="0" collapsed="false">
      <c r="A417" s="11" t="n">
        <v>46160</v>
      </c>
      <c r="B417" s="12" t="s">
        <v>97</v>
      </c>
      <c r="C417" s="13"/>
      <c r="D417" s="14"/>
      <c r="E417" s="15"/>
    </row>
    <row r="418" customFormat="false" ht="15" hidden="false" customHeight="false" outlineLevel="0" collapsed="false">
      <c r="A418" s="11" t="n">
        <v>46161</v>
      </c>
      <c r="B418" s="12" t="s">
        <v>91</v>
      </c>
      <c r="C418" s="13"/>
      <c r="D418" s="14"/>
      <c r="E418" s="15"/>
    </row>
    <row r="419" customFormat="false" ht="15" hidden="false" customHeight="false" outlineLevel="0" collapsed="false">
      <c r="A419" s="11" t="n">
        <v>46162</v>
      </c>
      <c r="B419" s="12" t="s">
        <v>92</v>
      </c>
      <c r="C419" s="13"/>
      <c r="D419" s="14"/>
      <c r="E419" s="15"/>
    </row>
    <row r="420" customFormat="false" ht="15" hidden="false" customHeight="false" outlineLevel="0" collapsed="false">
      <c r="A420" s="11" t="n">
        <v>46163</v>
      </c>
      <c r="B420" s="12" t="s">
        <v>93</v>
      </c>
      <c r="C420" s="13"/>
      <c r="D420" s="14"/>
      <c r="E420" s="15"/>
    </row>
    <row r="421" customFormat="false" ht="15" hidden="false" customHeight="false" outlineLevel="0" collapsed="false">
      <c r="A421" s="11" t="n">
        <v>46164</v>
      </c>
      <c r="B421" s="12" t="s">
        <v>94</v>
      </c>
      <c r="C421" s="13"/>
      <c r="D421" s="14"/>
      <c r="E421" s="15"/>
    </row>
    <row r="422" customFormat="false" ht="15" hidden="false" customHeight="false" outlineLevel="0" collapsed="false">
      <c r="A422" s="16" t="n">
        <v>46165</v>
      </c>
      <c r="B422" s="17" t="s">
        <v>95</v>
      </c>
      <c r="C422" s="13"/>
      <c r="D422" s="14"/>
      <c r="E422" s="15"/>
    </row>
    <row r="423" customFormat="false" ht="15" hidden="false" customHeight="false" outlineLevel="0" collapsed="false">
      <c r="A423" s="16" t="n">
        <v>46166</v>
      </c>
      <c r="B423" s="17" t="s">
        <v>96</v>
      </c>
      <c r="C423" s="13"/>
      <c r="D423" s="14"/>
      <c r="E423" s="15"/>
    </row>
    <row r="424" customFormat="false" ht="15" hidden="false" customHeight="false" outlineLevel="0" collapsed="false">
      <c r="A424" s="11" t="n">
        <v>46167</v>
      </c>
      <c r="B424" s="12" t="s">
        <v>97</v>
      </c>
      <c r="C424" s="13"/>
      <c r="D424" s="14"/>
      <c r="E424" s="15"/>
    </row>
    <row r="425" customFormat="false" ht="15" hidden="false" customHeight="false" outlineLevel="0" collapsed="false">
      <c r="A425" s="11" t="n">
        <v>46168</v>
      </c>
      <c r="B425" s="12" t="s">
        <v>91</v>
      </c>
      <c r="C425" s="13"/>
      <c r="D425" s="14"/>
      <c r="E425" s="15"/>
    </row>
    <row r="426" customFormat="false" ht="15" hidden="false" customHeight="false" outlineLevel="0" collapsed="false">
      <c r="A426" s="11" t="n">
        <v>46169</v>
      </c>
      <c r="B426" s="12" t="s">
        <v>92</v>
      </c>
      <c r="C426" s="13"/>
      <c r="D426" s="14"/>
      <c r="E426" s="15"/>
    </row>
    <row r="427" customFormat="false" ht="15" hidden="false" customHeight="false" outlineLevel="0" collapsed="false">
      <c r="A427" s="11" t="n">
        <v>46170</v>
      </c>
      <c r="B427" s="12" t="s">
        <v>93</v>
      </c>
      <c r="C427" s="13"/>
      <c r="D427" s="14"/>
      <c r="E427" s="15"/>
    </row>
    <row r="428" customFormat="false" ht="15" hidden="false" customHeight="false" outlineLevel="0" collapsed="false">
      <c r="A428" s="11" t="n">
        <v>46171</v>
      </c>
      <c r="B428" s="12" t="s">
        <v>94</v>
      </c>
      <c r="C428" s="13"/>
      <c r="D428" s="14"/>
      <c r="E428" s="15"/>
    </row>
    <row r="429" customFormat="false" ht="15" hidden="false" customHeight="false" outlineLevel="0" collapsed="false">
      <c r="A429" s="16" t="n">
        <v>46172</v>
      </c>
      <c r="B429" s="17" t="s">
        <v>95</v>
      </c>
      <c r="C429" s="13"/>
      <c r="D429" s="14"/>
      <c r="E429" s="15"/>
    </row>
    <row r="430" customFormat="false" ht="15" hidden="false" customHeight="false" outlineLevel="0" collapsed="false">
      <c r="A430" s="16" t="n">
        <v>46173</v>
      </c>
      <c r="B430" s="17" t="s">
        <v>96</v>
      </c>
      <c r="C430" s="13"/>
      <c r="D430" s="14"/>
      <c r="E430" s="15"/>
    </row>
    <row r="431" customFormat="false" ht="15" hidden="false" customHeight="false" outlineLevel="0" collapsed="false">
      <c r="A431" s="11" t="n">
        <v>46174</v>
      </c>
      <c r="B431" s="12" t="s">
        <v>97</v>
      </c>
      <c r="C431" s="13"/>
      <c r="D431" s="14"/>
      <c r="E431" s="15"/>
    </row>
    <row r="432" customFormat="false" ht="15" hidden="false" customHeight="false" outlineLevel="0" collapsed="false">
      <c r="A432" s="11" t="n">
        <v>46175</v>
      </c>
      <c r="B432" s="12" t="s">
        <v>91</v>
      </c>
      <c r="C432" s="13"/>
      <c r="D432" s="14"/>
      <c r="E432" s="15"/>
    </row>
    <row r="433" customFormat="false" ht="15" hidden="false" customHeight="false" outlineLevel="0" collapsed="false">
      <c r="A433" s="11" t="n">
        <v>46176</v>
      </c>
      <c r="B433" s="12" t="s">
        <v>92</v>
      </c>
      <c r="C433" s="13"/>
      <c r="D433" s="14"/>
      <c r="E433" s="15"/>
    </row>
    <row r="434" customFormat="false" ht="15" hidden="false" customHeight="false" outlineLevel="0" collapsed="false">
      <c r="A434" s="11" t="n">
        <v>46177</v>
      </c>
      <c r="B434" s="12" t="s">
        <v>93</v>
      </c>
      <c r="C434" s="13"/>
      <c r="D434" s="14"/>
      <c r="E434" s="15"/>
    </row>
    <row r="435" customFormat="false" ht="15" hidden="false" customHeight="false" outlineLevel="0" collapsed="false">
      <c r="A435" s="11" t="n">
        <v>46178</v>
      </c>
      <c r="B435" s="12" t="s">
        <v>94</v>
      </c>
      <c r="C435" s="13"/>
      <c r="D435" s="14"/>
      <c r="E435" s="15"/>
    </row>
    <row r="436" customFormat="false" ht="15" hidden="false" customHeight="false" outlineLevel="0" collapsed="false">
      <c r="A436" s="16" t="n">
        <v>46179</v>
      </c>
      <c r="B436" s="17" t="s">
        <v>95</v>
      </c>
      <c r="C436" s="13"/>
      <c r="D436" s="14"/>
      <c r="E436" s="15"/>
    </row>
    <row r="437" customFormat="false" ht="15" hidden="false" customHeight="false" outlineLevel="0" collapsed="false">
      <c r="A437" s="16" t="n">
        <v>46180</v>
      </c>
      <c r="B437" s="17" t="s">
        <v>96</v>
      </c>
      <c r="C437" s="13"/>
      <c r="D437" s="14"/>
      <c r="E437" s="15"/>
    </row>
    <row r="438" customFormat="false" ht="15" hidden="false" customHeight="false" outlineLevel="0" collapsed="false">
      <c r="A438" s="11" t="n">
        <v>46181</v>
      </c>
      <c r="B438" s="12" t="s">
        <v>97</v>
      </c>
      <c r="C438" s="13"/>
      <c r="D438" s="14"/>
      <c r="E438" s="15"/>
    </row>
    <row r="439" customFormat="false" ht="15" hidden="false" customHeight="false" outlineLevel="0" collapsed="false">
      <c r="A439" s="11" t="n">
        <v>46182</v>
      </c>
      <c r="B439" s="12" t="s">
        <v>91</v>
      </c>
      <c r="C439" s="13"/>
      <c r="D439" s="14"/>
      <c r="E439" s="15"/>
    </row>
    <row r="440" customFormat="false" ht="15" hidden="false" customHeight="false" outlineLevel="0" collapsed="false">
      <c r="A440" s="11" t="n">
        <v>46183</v>
      </c>
      <c r="B440" s="12" t="s">
        <v>92</v>
      </c>
      <c r="C440" s="13"/>
      <c r="D440" s="14"/>
      <c r="E440" s="15"/>
    </row>
    <row r="441" customFormat="false" ht="15" hidden="false" customHeight="false" outlineLevel="0" collapsed="false">
      <c r="A441" s="11" t="n">
        <v>46184</v>
      </c>
      <c r="B441" s="12" t="s">
        <v>93</v>
      </c>
      <c r="C441" s="13"/>
      <c r="D441" s="14"/>
      <c r="E441" s="15"/>
    </row>
    <row r="442" customFormat="false" ht="15" hidden="false" customHeight="false" outlineLevel="0" collapsed="false">
      <c r="A442" s="11" t="n">
        <v>46185</v>
      </c>
      <c r="B442" s="12" t="s">
        <v>94</v>
      </c>
      <c r="C442" s="13"/>
      <c r="D442" s="14"/>
      <c r="E442" s="15"/>
    </row>
    <row r="443" customFormat="false" ht="15" hidden="false" customHeight="false" outlineLevel="0" collapsed="false">
      <c r="A443" s="16" t="n">
        <v>46186</v>
      </c>
      <c r="B443" s="17" t="s">
        <v>95</v>
      </c>
      <c r="C443" s="13"/>
      <c r="D443" s="14"/>
      <c r="E443" s="15"/>
    </row>
    <row r="444" customFormat="false" ht="15" hidden="false" customHeight="false" outlineLevel="0" collapsed="false">
      <c r="A444" s="16" t="n">
        <v>46187</v>
      </c>
      <c r="B444" s="17" t="s">
        <v>96</v>
      </c>
      <c r="C444" s="13"/>
      <c r="D444" s="14"/>
      <c r="E444" s="15"/>
    </row>
    <row r="445" customFormat="false" ht="15" hidden="false" customHeight="false" outlineLevel="0" collapsed="false">
      <c r="A445" s="11" t="n">
        <v>46188</v>
      </c>
      <c r="B445" s="12" t="s">
        <v>97</v>
      </c>
      <c r="C445" s="13"/>
      <c r="D445" s="14"/>
      <c r="E445" s="15"/>
    </row>
    <row r="446" customFormat="false" ht="15" hidden="false" customHeight="false" outlineLevel="0" collapsed="false">
      <c r="A446" s="11" t="n">
        <v>46189</v>
      </c>
      <c r="B446" s="12" t="s">
        <v>91</v>
      </c>
      <c r="C446" s="13"/>
      <c r="D446" s="14"/>
      <c r="E446" s="15"/>
    </row>
    <row r="447" customFormat="false" ht="15" hidden="false" customHeight="false" outlineLevel="0" collapsed="false">
      <c r="A447" s="11" t="n">
        <v>46190</v>
      </c>
      <c r="B447" s="12" t="s">
        <v>92</v>
      </c>
      <c r="C447" s="13"/>
      <c r="D447" s="14"/>
      <c r="E447" s="15"/>
    </row>
    <row r="448" customFormat="false" ht="15" hidden="false" customHeight="false" outlineLevel="0" collapsed="false">
      <c r="A448" s="11" t="n">
        <v>46191</v>
      </c>
      <c r="B448" s="12" t="s">
        <v>93</v>
      </c>
      <c r="C448" s="13"/>
      <c r="D448" s="14"/>
      <c r="E448" s="15"/>
    </row>
    <row r="449" customFormat="false" ht="15" hidden="false" customHeight="false" outlineLevel="0" collapsed="false">
      <c r="A449" s="11" t="n">
        <v>46192</v>
      </c>
      <c r="B449" s="12" t="s">
        <v>94</v>
      </c>
      <c r="C449" s="13"/>
      <c r="D449" s="14"/>
      <c r="E449" s="15"/>
    </row>
    <row r="450" customFormat="false" ht="15" hidden="false" customHeight="false" outlineLevel="0" collapsed="false">
      <c r="A450" s="16" t="n">
        <v>46193</v>
      </c>
      <c r="B450" s="17" t="s">
        <v>95</v>
      </c>
      <c r="C450" s="13"/>
      <c r="D450" s="14"/>
      <c r="E450" s="15"/>
    </row>
    <row r="451" customFormat="false" ht="15" hidden="false" customHeight="false" outlineLevel="0" collapsed="false">
      <c r="A451" s="16" t="n">
        <v>46194</v>
      </c>
      <c r="B451" s="17" t="s">
        <v>96</v>
      </c>
      <c r="C451" s="13"/>
      <c r="D451" s="14"/>
      <c r="E451" s="15"/>
    </row>
    <row r="452" customFormat="false" ht="15" hidden="false" customHeight="false" outlineLevel="0" collapsed="false">
      <c r="A452" s="11" t="n">
        <v>46195</v>
      </c>
      <c r="B452" s="12" t="s">
        <v>97</v>
      </c>
      <c r="C452" s="13"/>
      <c r="D452" s="14"/>
      <c r="E452" s="15"/>
    </row>
    <row r="453" customFormat="false" ht="15" hidden="false" customHeight="false" outlineLevel="0" collapsed="false">
      <c r="A453" s="11" t="n">
        <v>46196</v>
      </c>
      <c r="B453" s="12" t="s">
        <v>91</v>
      </c>
      <c r="C453" s="13"/>
      <c r="D453" s="14"/>
      <c r="E453" s="15"/>
    </row>
    <row r="454" customFormat="false" ht="15" hidden="false" customHeight="false" outlineLevel="0" collapsed="false">
      <c r="A454" s="11" t="n">
        <v>46197</v>
      </c>
      <c r="B454" s="12" t="s">
        <v>92</v>
      </c>
      <c r="C454" s="13"/>
      <c r="D454" s="14"/>
      <c r="E454" s="15"/>
    </row>
    <row r="455" customFormat="false" ht="15" hidden="false" customHeight="false" outlineLevel="0" collapsed="false">
      <c r="A455" s="11" t="n">
        <v>46198</v>
      </c>
      <c r="B455" s="12" t="s">
        <v>93</v>
      </c>
      <c r="C455" s="13"/>
      <c r="D455" s="14"/>
      <c r="E455" s="15"/>
    </row>
    <row r="456" customFormat="false" ht="15" hidden="false" customHeight="false" outlineLevel="0" collapsed="false">
      <c r="A456" s="11" t="n">
        <v>46199</v>
      </c>
      <c r="B456" s="12" t="s">
        <v>94</v>
      </c>
      <c r="C456" s="13"/>
      <c r="D456" s="14"/>
      <c r="E456" s="15"/>
    </row>
    <row r="457" customFormat="false" ht="15" hidden="false" customHeight="false" outlineLevel="0" collapsed="false">
      <c r="A457" s="16" t="n">
        <v>46200</v>
      </c>
      <c r="B457" s="17" t="s">
        <v>95</v>
      </c>
      <c r="C457" s="13"/>
      <c r="D457" s="14"/>
      <c r="E457" s="15"/>
    </row>
    <row r="458" customFormat="false" ht="15" hidden="false" customHeight="false" outlineLevel="0" collapsed="false">
      <c r="A458" s="16" t="n">
        <v>46201</v>
      </c>
      <c r="B458" s="17" t="s">
        <v>96</v>
      </c>
      <c r="C458" s="13"/>
      <c r="D458" s="14"/>
      <c r="E458" s="15"/>
    </row>
    <row r="459" customFormat="false" ht="15" hidden="false" customHeight="false" outlineLevel="0" collapsed="false">
      <c r="A459" s="11" t="n">
        <v>46202</v>
      </c>
      <c r="B459" s="12" t="s">
        <v>97</v>
      </c>
      <c r="C459" s="13"/>
      <c r="D459" s="14"/>
      <c r="E459" s="15"/>
    </row>
    <row r="460" customFormat="false" ht="15" hidden="false" customHeight="false" outlineLevel="0" collapsed="false">
      <c r="A460" s="11" t="n">
        <v>46203</v>
      </c>
      <c r="B460" s="12" t="s">
        <v>91</v>
      </c>
      <c r="C460" s="13"/>
      <c r="D460" s="14"/>
      <c r="E460" s="15"/>
    </row>
    <row r="461" customFormat="false" ht="15" hidden="false" customHeight="false" outlineLevel="0" collapsed="false">
      <c r="A461" s="11" t="n">
        <v>46204</v>
      </c>
      <c r="B461" s="12" t="s">
        <v>92</v>
      </c>
      <c r="C461" s="13"/>
      <c r="D461" s="14"/>
      <c r="E461" s="15"/>
    </row>
    <row r="462" customFormat="false" ht="15" hidden="false" customHeight="false" outlineLevel="0" collapsed="false">
      <c r="A462" s="11" t="n">
        <v>46205</v>
      </c>
      <c r="B462" s="12" t="s">
        <v>93</v>
      </c>
      <c r="C462" s="13"/>
      <c r="D462" s="14"/>
      <c r="E462" s="15"/>
    </row>
    <row r="463" customFormat="false" ht="15" hidden="false" customHeight="false" outlineLevel="0" collapsed="false">
      <c r="A463" s="11" t="n">
        <v>46206</v>
      </c>
      <c r="B463" s="12" t="s">
        <v>94</v>
      </c>
      <c r="C463" s="13"/>
      <c r="D463" s="14"/>
      <c r="E463" s="15"/>
    </row>
    <row r="464" customFormat="false" ht="15" hidden="false" customHeight="false" outlineLevel="0" collapsed="false">
      <c r="A464" s="16" t="n">
        <v>46207</v>
      </c>
      <c r="B464" s="17" t="s">
        <v>95</v>
      </c>
      <c r="C464" s="13"/>
      <c r="D464" s="14"/>
      <c r="E464" s="15"/>
    </row>
    <row r="465" customFormat="false" ht="15" hidden="false" customHeight="false" outlineLevel="0" collapsed="false">
      <c r="A465" s="16" t="n">
        <v>46208</v>
      </c>
      <c r="B465" s="17" t="s">
        <v>96</v>
      </c>
      <c r="C465" s="13"/>
      <c r="D465" s="14"/>
      <c r="E465" s="15"/>
    </row>
    <row r="466" customFormat="false" ht="15" hidden="false" customHeight="false" outlineLevel="0" collapsed="false">
      <c r="A466" s="11" t="n">
        <v>46209</v>
      </c>
      <c r="B466" s="12" t="s">
        <v>97</v>
      </c>
      <c r="C466" s="13"/>
      <c r="D466" s="14"/>
      <c r="E466" s="15"/>
    </row>
    <row r="467" customFormat="false" ht="15" hidden="false" customHeight="false" outlineLevel="0" collapsed="false">
      <c r="A467" s="11" t="n">
        <v>46210</v>
      </c>
      <c r="B467" s="12" t="s">
        <v>91</v>
      </c>
      <c r="C467" s="13"/>
      <c r="D467" s="14"/>
      <c r="E467" s="15"/>
    </row>
    <row r="468" customFormat="false" ht="15" hidden="false" customHeight="false" outlineLevel="0" collapsed="false">
      <c r="A468" s="11" t="n">
        <v>46211</v>
      </c>
      <c r="B468" s="12" t="s">
        <v>92</v>
      </c>
      <c r="C468" s="13"/>
      <c r="D468" s="14"/>
      <c r="E468" s="15"/>
    </row>
    <row r="469" customFormat="false" ht="15" hidden="false" customHeight="false" outlineLevel="0" collapsed="false">
      <c r="A469" s="11" t="n">
        <v>46212</v>
      </c>
      <c r="B469" s="12" t="s">
        <v>93</v>
      </c>
      <c r="C469" s="13"/>
      <c r="D469" s="14"/>
      <c r="E469" s="15"/>
    </row>
    <row r="470" customFormat="false" ht="15" hidden="false" customHeight="false" outlineLevel="0" collapsed="false">
      <c r="A470" s="11" t="n">
        <v>46213</v>
      </c>
      <c r="B470" s="12" t="s">
        <v>94</v>
      </c>
      <c r="C470" s="13"/>
      <c r="D470" s="14"/>
      <c r="E470" s="15"/>
    </row>
    <row r="471" customFormat="false" ht="15" hidden="false" customHeight="false" outlineLevel="0" collapsed="false">
      <c r="A471" s="16" t="n">
        <v>46214</v>
      </c>
      <c r="B471" s="17" t="s">
        <v>95</v>
      </c>
      <c r="C471" s="13"/>
      <c r="D471" s="14"/>
      <c r="E471" s="15"/>
    </row>
    <row r="472" customFormat="false" ht="15" hidden="false" customHeight="false" outlineLevel="0" collapsed="false">
      <c r="A472" s="16" t="n">
        <v>46215</v>
      </c>
      <c r="B472" s="17" t="s">
        <v>96</v>
      </c>
      <c r="C472" s="13"/>
      <c r="D472" s="14"/>
      <c r="E472" s="15"/>
    </row>
    <row r="473" customFormat="false" ht="15" hidden="false" customHeight="false" outlineLevel="0" collapsed="false">
      <c r="A473" s="11" t="n">
        <v>46216</v>
      </c>
      <c r="B473" s="12" t="s">
        <v>97</v>
      </c>
      <c r="C473" s="13"/>
      <c r="D473" s="14"/>
      <c r="E473" s="15"/>
    </row>
    <row r="474" customFormat="false" ht="15" hidden="false" customHeight="false" outlineLevel="0" collapsed="false">
      <c r="A474" s="11" t="n">
        <v>46217</v>
      </c>
      <c r="B474" s="12" t="s">
        <v>91</v>
      </c>
      <c r="C474" s="13"/>
      <c r="D474" s="14"/>
      <c r="E474" s="15"/>
    </row>
    <row r="475" customFormat="false" ht="15" hidden="false" customHeight="false" outlineLevel="0" collapsed="false">
      <c r="A475" s="11" t="n">
        <v>46218</v>
      </c>
      <c r="B475" s="12" t="s">
        <v>92</v>
      </c>
      <c r="C475" s="13"/>
      <c r="D475" s="14"/>
      <c r="E475" s="15"/>
    </row>
    <row r="476" customFormat="false" ht="15" hidden="false" customHeight="false" outlineLevel="0" collapsed="false">
      <c r="A476" s="11" t="n">
        <v>46219</v>
      </c>
      <c r="B476" s="12" t="s">
        <v>93</v>
      </c>
      <c r="C476" s="13"/>
      <c r="D476" s="14"/>
      <c r="E476" s="15"/>
    </row>
    <row r="477" customFormat="false" ht="15" hidden="false" customHeight="false" outlineLevel="0" collapsed="false">
      <c r="A477" s="11" t="n">
        <v>46220</v>
      </c>
      <c r="B477" s="12" t="s">
        <v>94</v>
      </c>
      <c r="C477" s="13"/>
      <c r="D477" s="14"/>
      <c r="E477" s="15"/>
    </row>
    <row r="478" customFormat="false" ht="15" hidden="false" customHeight="false" outlineLevel="0" collapsed="false">
      <c r="A478" s="16" t="n">
        <v>46221</v>
      </c>
      <c r="B478" s="17" t="s">
        <v>95</v>
      </c>
      <c r="C478" s="13"/>
      <c r="D478" s="14"/>
      <c r="E478" s="15"/>
    </row>
    <row r="479" customFormat="false" ht="15" hidden="false" customHeight="false" outlineLevel="0" collapsed="false">
      <c r="A479" s="16" t="n">
        <v>46222</v>
      </c>
      <c r="B479" s="17" t="s">
        <v>96</v>
      </c>
      <c r="C479" s="13"/>
      <c r="D479" s="14"/>
      <c r="E479" s="15"/>
    </row>
    <row r="480" customFormat="false" ht="15" hidden="false" customHeight="false" outlineLevel="0" collapsed="false">
      <c r="A480" s="11" t="n">
        <v>46223</v>
      </c>
      <c r="B480" s="12" t="s">
        <v>97</v>
      </c>
      <c r="C480" s="13"/>
      <c r="D480" s="14"/>
      <c r="E480" s="15"/>
    </row>
    <row r="481" customFormat="false" ht="15" hidden="false" customHeight="false" outlineLevel="0" collapsed="false">
      <c r="A481" s="11" t="n">
        <v>46224</v>
      </c>
      <c r="B481" s="12" t="s">
        <v>91</v>
      </c>
      <c r="C481" s="13"/>
      <c r="D481" s="14"/>
      <c r="E481" s="15"/>
    </row>
    <row r="482" customFormat="false" ht="15" hidden="false" customHeight="false" outlineLevel="0" collapsed="false">
      <c r="A482" s="11" t="n">
        <v>46225</v>
      </c>
      <c r="B482" s="12" t="s">
        <v>92</v>
      </c>
      <c r="C482" s="13"/>
      <c r="D482" s="14"/>
      <c r="E482" s="15"/>
    </row>
    <row r="483" customFormat="false" ht="15" hidden="false" customHeight="false" outlineLevel="0" collapsed="false">
      <c r="A483" s="11" t="n">
        <v>46226</v>
      </c>
      <c r="B483" s="12" t="s">
        <v>93</v>
      </c>
      <c r="C483" s="13"/>
      <c r="D483" s="14"/>
      <c r="E483" s="15"/>
    </row>
    <row r="484" customFormat="false" ht="15" hidden="false" customHeight="false" outlineLevel="0" collapsed="false">
      <c r="A484" s="11" t="n">
        <v>46227</v>
      </c>
      <c r="B484" s="12" t="s">
        <v>94</v>
      </c>
      <c r="C484" s="13"/>
      <c r="D484" s="14"/>
      <c r="E484" s="15"/>
    </row>
    <row r="485" customFormat="false" ht="15" hidden="false" customHeight="false" outlineLevel="0" collapsed="false">
      <c r="A485" s="16" t="n">
        <v>46228</v>
      </c>
      <c r="B485" s="17" t="s">
        <v>95</v>
      </c>
      <c r="C485" s="13"/>
      <c r="D485" s="14"/>
      <c r="E485" s="15"/>
    </row>
    <row r="486" customFormat="false" ht="15" hidden="false" customHeight="false" outlineLevel="0" collapsed="false">
      <c r="A486" s="16" t="n">
        <v>46229</v>
      </c>
      <c r="B486" s="17" t="s">
        <v>96</v>
      </c>
      <c r="C486" s="13"/>
      <c r="D486" s="14"/>
      <c r="E486" s="15"/>
    </row>
    <row r="487" customFormat="false" ht="15" hidden="false" customHeight="false" outlineLevel="0" collapsed="false">
      <c r="A487" s="11" t="n">
        <v>46230</v>
      </c>
      <c r="B487" s="12" t="s">
        <v>97</v>
      </c>
      <c r="C487" s="13"/>
      <c r="D487" s="14"/>
      <c r="E487" s="15"/>
    </row>
    <row r="488" customFormat="false" ht="15" hidden="false" customHeight="false" outlineLevel="0" collapsed="false">
      <c r="A488" s="11" t="n">
        <v>46231</v>
      </c>
      <c r="B488" s="12" t="s">
        <v>91</v>
      </c>
      <c r="C488" s="13"/>
      <c r="D488" s="14"/>
      <c r="E488" s="15"/>
    </row>
    <row r="489" customFormat="false" ht="15" hidden="false" customHeight="false" outlineLevel="0" collapsed="false">
      <c r="A489" s="11" t="n">
        <v>46232</v>
      </c>
      <c r="B489" s="12" t="s">
        <v>92</v>
      </c>
      <c r="C489" s="13"/>
      <c r="D489" s="14"/>
      <c r="E489" s="15"/>
    </row>
    <row r="490" customFormat="false" ht="15" hidden="false" customHeight="false" outlineLevel="0" collapsed="false">
      <c r="A490" s="11" t="n">
        <v>46233</v>
      </c>
      <c r="B490" s="12" t="s">
        <v>93</v>
      </c>
      <c r="C490" s="13"/>
      <c r="D490" s="14"/>
      <c r="E490" s="15"/>
    </row>
    <row r="491" customFormat="false" ht="15" hidden="false" customHeight="false" outlineLevel="0" collapsed="false">
      <c r="A491" s="11" t="n">
        <v>46234</v>
      </c>
      <c r="B491" s="12" t="s">
        <v>94</v>
      </c>
      <c r="C491" s="13"/>
      <c r="D491" s="14"/>
      <c r="E491" s="15"/>
    </row>
    <row r="492" customFormat="false" ht="15" hidden="false" customHeight="false" outlineLevel="0" collapsed="false">
      <c r="A492" s="16" t="n">
        <v>46235</v>
      </c>
      <c r="B492" s="17" t="s">
        <v>95</v>
      </c>
      <c r="C492" s="13"/>
      <c r="D492" s="14"/>
      <c r="E492" s="15"/>
    </row>
    <row r="493" customFormat="false" ht="15" hidden="false" customHeight="false" outlineLevel="0" collapsed="false">
      <c r="A493" s="16" t="n">
        <v>46236</v>
      </c>
      <c r="B493" s="17" t="s">
        <v>96</v>
      </c>
      <c r="C493" s="13"/>
      <c r="D493" s="14"/>
      <c r="E493" s="15"/>
    </row>
    <row r="494" customFormat="false" ht="15" hidden="false" customHeight="false" outlineLevel="0" collapsed="false">
      <c r="A494" s="11" t="n">
        <v>46237</v>
      </c>
      <c r="B494" s="12" t="s">
        <v>97</v>
      </c>
      <c r="C494" s="13"/>
      <c r="D494" s="14"/>
      <c r="E494" s="15"/>
    </row>
    <row r="495" customFormat="false" ht="15" hidden="false" customHeight="false" outlineLevel="0" collapsed="false">
      <c r="A495" s="11" t="n">
        <v>46238</v>
      </c>
      <c r="B495" s="12" t="s">
        <v>91</v>
      </c>
      <c r="C495" s="13"/>
      <c r="D495" s="14"/>
      <c r="E495" s="15"/>
    </row>
    <row r="496" customFormat="false" ht="15" hidden="false" customHeight="false" outlineLevel="0" collapsed="false">
      <c r="A496" s="11" t="n">
        <v>46239</v>
      </c>
      <c r="B496" s="12" t="s">
        <v>92</v>
      </c>
      <c r="C496" s="13"/>
      <c r="D496" s="14"/>
      <c r="E496" s="15"/>
    </row>
    <row r="497" customFormat="false" ht="15" hidden="false" customHeight="false" outlineLevel="0" collapsed="false">
      <c r="A497" s="11" t="n">
        <v>46240</v>
      </c>
      <c r="B497" s="12" t="s">
        <v>93</v>
      </c>
      <c r="C497" s="13"/>
      <c r="D497" s="14"/>
      <c r="E497" s="15"/>
    </row>
    <row r="498" customFormat="false" ht="15" hidden="false" customHeight="false" outlineLevel="0" collapsed="false">
      <c r="A498" s="11" t="n">
        <v>46241</v>
      </c>
      <c r="B498" s="12" t="s">
        <v>94</v>
      </c>
      <c r="C498" s="13"/>
      <c r="D498" s="14"/>
      <c r="E498" s="15"/>
    </row>
    <row r="499" customFormat="false" ht="15" hidden="false" customHeight="false" outlineLevel="0" collapsed="false">
      <c r="A499" s="16" t="n">
        <v>46242</v>
      </c>
      <c r="B499" s="17" t="s">
        <v>95</v>
      </c>
      <c r="C499" s="13"/>
      <c r="D499" s="14"/>
      <c r="E499" s="15"/>
    </row>
    <row r="500" customFormat="false" ht="15" hidden="false" customHeight="false" outlineLevel="0" collapsed="false">
      <c r="A500" s="16" t="n">
        <v>46243</v>
      </c>
      <c r="B500" s="17" t="s">
        <v>96</v>
      </c>
      <c r="C500" s="13"/>
      <c r="D500" s="14"/>
      <c r="E500" s="15"/>
    </row>
    <row r="501" customFormat="false" ht="15" hidden="false" customHeight="false" outlineLevel="0" collapsed="false">
      <c r="A501" s="11" t="n">
        <v>46244</v>
      </c>
      <c r="B501" s="12" t="s">
        <v>97</v>
      </c>
      <c r="C501" s="13"/>
      <c r="D501" s="14"/>
      <c r="E501" s="15"/>
    </row>
    <row r="502" customFormat="false" ht="15" hidden="false" customHeight="false" outlineLevel="0" collapsed="false">
      <c r="A502" s="11" t="n">
        <v>46245</v>
      </c>
      <c r="B502" s="12" t="s">
        <v>91</v>
      </c>
      <c r="C502" s="13"/>
      <c r="D502" s="14"/>
      <c r="E502" s="15"/>
    </row>
    <row r="503" customFormat="false" ht="15" hidden="false" customHeight="false" outlineLevel="0" collapsed="false">
      <c r="A503" s="11" t="n">
        <v>46246</v>
      </c>
      <c r="B503" s="12" t="s">
        <v>92</v>
      </c>
      <c r="C503" s="13"/>
      <c r="D503" s="14"/>
      <c r="E503" s="15"/>
    </row>
    <row r="504" customFormat="false" ht="15" hidden="false" customHeight="false" outlineLevel="0" collapsed="false">
      <c r="A504" s="11" t="n">
        <v>46247</v>
      </c>
      <c r="B504" s="12" t="s">
        <v>93</v>
      </c>
      <c r="C504" s="13"/>
      <c r="D504" s="14"/>
      <c r="E504" s="15"/>
    </row>
    <row r="505" customFormat="false" ht="15" hidden="false" customHeight="false" outlineLevel="0" collapsed="false">
      <c r="A505" s="11" t="n">
        <v>46248</v>
      </c>
      <c r="B505" s="12" t="s">
        <v>94</v>
      </c>
      <c r="C505" s="13"/>
      <c r="D505" s="14"/>
      <c r="E505" s="15"/>
    </row>
    <row r="506" customFormat="false" ht="15" hidden="false" customHeight="false" outlineLevel="0" collapsed="false">
      <c r="A506" s="16" t="n">
        <v>46249</v>
      </c>
      <c r="B506" s="17" t="s">
        <v>95</v>
      </c>
      <c r="C506" s="13"/>
      <c r="D506" s="14"/>
      <c r="E506" s="15"/>
    </row>
    <row r="507" customFormat="false" ht="15" hidden="false" customHeight="false" outlineLevel="0" collapsed="false">
      <c r="A507" s="16" t="n">
        <v>46250</v>
      </c>
      <c r="B507" s="17" t="s">
        <v>96</v>
      </c>
      <c r="C507" s="13"/>
      <c r="D507" s="14"/>
      <c r="E507" s="15"/>
    </row>
    <row r="508" customFormat="false" ht="15" hidden="false" customHeight="false" outlineLevel="0" collapsed="false">
      <c r="A508" s="11" t="n">
        <v>46251</v>
      </c>
      <c r="B508" s="12" t="s">
        <v>97</v>
      </c>
      <c r="C508" s="13"/>
      <c r="D508" s="14"/>
      <c r="E508" s="15"/>
    </row>
    <row r="509" customFormat="false" ht="15" hidden="false" customHeight="false" outlineLevel="0" collapsed="false">
      <c r="A509" s="11" t="n">
        <v>46252</v>
      </c>
      <c r="B509" s="12" t="s">
        <v>91</v>
      </c>
      <c r="C509" s="13"/>
      <c r="D509" s="14"/>
      <c r="E509" s="15"/>
    </row>
    <row r="510" customFormat="false" ht="15" hidden="false" customHeight="false" outlineLevel="0" collapsed="false">
      <c r="A510" s="11" t="n">
        <v>46253</v>
      </c>
      <c r="B510" s="12" t="s">
        <v>92</v>
      </c>
      <c r="C510" s="13"/>
      <c r="D510" s="14"/>
      <c r="E510" s="15"/>
    </row>
    <row r="511" customFormat="false" ht="15" hidden="false" customHeight="false" outlineLevel="0" collapsed="false">
      <c r="A511" s="11" t="n">
        <v>46254</v>
      </c>
      <c r="B511" s="12" t="s">
        <v>93</v>
      </c>
      <c r="C511" s="13"/>
      <c r="D511" s="14"/>
      <c r="E511" s="15"/>
    </row>
    <row r="512" customFormat="false" ht="15" hidden="false" customHeight="false" outlineLevel="0" collapsed="false">
      <c r="A512" s="11" t="n">
        <v>46255</v>
      </c>
      <c r="B512" s="12" t="s">
        <v>94</v>
      </c>
      <c r="C512" s="13"/>
      <c r="D512" s="14"/>
      <c r="E512" s="15"/>
    </row>
    <row r="513" customFormat="false" ht="15" hidden="false" customHeight="false" outlineLevel="0" collapsed="false">
      <c r="A513" s="16" t="n">
        <v>46256</v>
      </c>
      <c r="B513" s="17" t="s">
        <v>95</v>
      </c>
      <c r="C513" s="13"/>
      <c r="D513" s="14"/>
      <c r="E513" s="15"/>
    </row>
    <row r="514" customFormat="false" ht="15" hidden="false" customHeight="false" outlineLevel="0" collapsed="false">
      <c r="A514" s="16" t="n">
        <v>46257</v>
      </c>
      <c r="B514" s="17" t="s">
        <v>96</v>
      </c>
      <c r="C514" s="13"/>
      <c r="D514" s="14"/>
      <c r="E514" s="15"/>
    </row>
    <row r="515" customFormat="false" ht="15" hidden="false" customHeight="false" outlineLevel="0" collapsed="false">
      <c r="A515" s="11" t="n">
        <v>46258</v>
      </c>
      <c r="B515" s="12" t="s">
        <v>97</v>
      </c>
      <c r="C515" s="13"/>
      <c r="D515" s="14"/>
      <c r="E515" s="15"/>
    </row>
    <row r="516" customFormat="false" ht="15" hidden="false" customHeight="false" outlineLevel="0" collapsed="false">
      <c r="A516" s="11" t="n">
        <v>46259</v>
      </c>
      <c r="B516" s="12" t="s">
        <v>91</v>
      </c>
      <c r="C516" s="13"/>
      <c r="D516" s="14"/>
      <c r="E516" s="15"/>
    </row>
    <row r="517" customFormat="false" ht="15" hidden="false" customHeight="false" outlineLevel="0" collapsed="false">
      <c r="A517" s="11" t="n">
        <v>46260</v>
      </c>
      <c r="B517" s="12" t="s">
        <v>92</v>
      </c>
      <c r="C517" s="13"/>
      <c r="D517" s="14"/>
      <c r="E517" s="15"/>
    </row>
    <row r="518" customFormat="false" ht="15" hidden="false" customHeight="false" outlineLevel="0" collapsed="false">
      <c r="A518" s="11" t="n">
        <v>46261</v>
      </c>
      <c r="B518" s="12" t="s">
        <v>93</v>
      </c>
      <c r="C518" s="13"/>
      <c r="D518" s="14"/>
      <c r="E518" s="15"/>
    </row>
    <row r="519" customFormat="false" ht="15" hidden="false" customHeight="false" outlineLevel="0" collapsed="false">
      <c r="A519" s="11" t="n">
        <v>46262</v>
      </c>
      <c r="B519" s="12" t="s">
        <v>94</v>
      </c>
      <c r="C519" s="13"/>
      <c r="D519" s="14"/>
      <c r="E519" s="15"/>
    </row>
    <row r="520" customFormat="false" ht="15" hidden="false" customHeight="false" outlineLevel="0" collapsed="false">
      <c r="A520" s="16" t="n">
        <v>46263</v>
      </c>
      <c r="B520" s="17" t="s">
        <v>95</v>
      </c>
      <c r="C520" s="13"/>
      <c r="D520" s="14"/>
      <c r="E520" s="15"/>
    </row>
    <row r="521" customFormat="false" ht="15" hidden="false" customHeight="false" outlineLevel="0" collapsed="false">
      <c r="A521" s="16" t="n">
        <v>46264</v>
      </c>
      <c r="B521" s="17" t="s">
        <v>96</v>
      </c>
      <c r="C521" s="13"/>
      <c r="D521" s="14"/>
      <c r="E521" s="15"/>
    </row>
    <row r="522" customFormat="false" ht="15" hidden="false" customHeight="false" outlineLevel="0" collapsed="false">
      <c r="A522" s="11" t="n">
        <v>46265</v>
      </c>
      <c r="B522" s="12" t="s">
        <v>97</v>
      </c>
      <c r="C522" s="13"/>
      <c r="D522" s="14"/>
      <c r="E522" s="15"/>
    </row>
    <row r="523" customFormat="false" ht="15" hidden="false" customHeight="false" outlineLevel="0" collapsed="false">
      <c r="A523" s="11" t="n">
        <v>46266</v>
      </c>
      <c r="B523" s="12" t="s">
        <v>91</v>
      </c>
      <c r="C523" s="13"/>
      <c r="D523" s="14"/>
      <c r="E523" s="15"/>
    </row>
    <row r="524" customFormat="false" ht="15" hidden="false" customHeight="false" outlineLevel="0" collapsed="false">
      <c r="A524" s="11" t="n">
        <v>46267</v>
      </c>
      <c r="B524" s="12" t="s">
        <v>92</v>
      </c>
      <c r="C524" s="13"/>
      <c r="D524" s="14"/>
      <c r="E524" s="15"/>
    </row>
    <row r="525" customFormat="false" ht="15" hidden="false" customHeight="false" outlineLevel="0" collapsed="false">
      <c r="A525" s="11" t="n">
        <v>46268</v>
      </c>
      <c r="B525" s="12" t="s">
        <v>93</v>
      </c>
      <c r="C525" s="13"/>
      <c r="D525" s="14"/>
      <c r="E525" s="15"/>
    </row>
    <row r="526" customFormat="false" ht="15" hidden="false" customHeight="false" outlineLevel="0" collapsed="false">
      <c r="A526" s="11" t="n">
        <v>46269</v>
      </c>
      <c r="B526" s="12" t="s">
        <v>94</v>
      </c>
      <c r="C526" s="13"/>
      <c r="D526" s="14"/>
      <c r="E526" s="15"/>
    </row>
    <row r="527" customFormat="false" ht="15" hidden="false" customHeight="false" outlineLevel="0" collapsed="false">
      <c r="A527" s="16" t="n">
        <v>46270</v>
      </c>
      <c r="B527" s="17" t="s">
        <v>95</v>
      </c>
      <c r="C527" s="13"/>
      <c r="D527" s="14"/>
      <c r="E527" s="15"/>
    </row>
    <row r="528" customFormat="false" ht="15" hidden="false" customHeight="false" outlineLevel="0" collapsed="false">
      <c r="A528" s="16" t="n">
        <v>46271</v>
      </c>
      <c r="B528" s="17" t="s">
        <v>96</v>
      </c>
      <c r="C528" s="13"/>
      <c r="D528" s="14"/>
      <c r="E528" s="15"/>
    </row>
    <row r="529" customFormat="false" ht="15" hidden="false" customHeight="false" outlineLevel="0" collapsed="false">
      <c r="A529" s="11" t="n">
        <v>46272</v>
      </c>
      <c r="B529" s="12" t="s">
        <v>97</v>
      </c>
      <c r="C529" s="13"/>
      <c r="D529" s="14"/>
      <c r="E529" s="15"/>
    </row>
    <row r="530" customFormat="false" ht="15" hidden="false" customHeight="false" outlineLevel="0" collapsed="false">
      <c r="A530" s="11" t="n">
        <v>46273</v>
      </c>
      <c r="B530" s="12" t="s">
        <v>91</v>
      </c>
      <c r="C530" s="13"/>
      <c r="D530" s="14"/>
      <c r="E530" s="15"/>
    </row>
    <row r="531" customFormat="false" ht="15" hidden="false" customHeight="false" outlineLevel="0" collapsed="false">
      <c r="A531" s="11" t="n">
        <v>46274</v>
      </c>
      <c r="B531" s="12" t="s">
        <v>92</v>
      </c>
      <c r="C531" s="13"/>
      <c r="D531" s="14"/>
      <c r="E531" s="15"/>
    </row>
    <row r="532" customFormat="false" ht="15" hidden="false" customHeight="false" outlineLevel="0" collapsed="false">
      <c r="A532" s="11" t="n">
        <v>46275</v>
      </c>
      <c r="B532" s="12" t="s">
        <v>93</v>
      </c>
      <c r="C532" s="13"/>
      <c r="D532" s="14"/>
      <c r="E532" s="15"/>
    </row>
    <row r="533" customFormat="false" ht="15" hidden="false" customHeight="false" outlineLevel="0" collapsed="false">
      <c r="A533" s="11" t="n">
        <v>46276</v>
      </c>
      <c r="B533" s="12" t="s">
        <v>94</v>
      </c>
      <c r="C533" s="13"/>
      <c r="D533" s="14"/>
      <c r="E533" s="15"/>
    </row>
    <row r="534" customFormat="false" ht="15" hidden="false" customHeight="false" outlineLevel="0" collapsed="false">
      <c r="A534" s="16" t="n">
        <v>46277</v>
      </c>
      <c r="B534" s="17" t="s">
        <v>95</v>
      </c>
      <c r="C534" s="13"/>
      <c r="D534" s="14"/>
      <c r="E534" s="15"/>
    </row>
    <row r="535" customFormat="false" ht="15" hidden="false" customHeight="false" outlineLevel="0" collapsed="false">
      <c r="A535" s="16" t="n">
        <v>46278</v>
      </c>
      <c r="B535" s="17" t="s">
        <v>96</v>
      </c>
      <c r="C535" s="13"/>
      <c r="D535" s="14"/>
      <c r="E535" s="15"/>
    </row>
    <row r="536" customFormat="false" ht="15" hidden="false" customHeight="false" outlineLevel="0" collapsed="false">
      <c r="A536" s="11" t="n">
        <v>46279</v>
      </c>
      <c r="B536" s="12" t="s">
        <v>97</v>
      </c>
      <c r="C536" s="13"/>
      <c r="D536" s="14"/>
      <c r="E536" s="15"/>
    </row>
    <row r="537" customFormat="false" ht="15" hidden="false" customHeight="false" outlineLevel="0" collapsed="false">
      <c r="A537" s="11" t="n">
        <v>46280</v>
      </c>
      <c r="B537" s="12" t="s">
        <v>91</v>
      </c>
      <c r="C537" s="13"/>
      <c r="D537" s="14"/>
      <c r="E537" s="15"/>
    </row>
    <row r="538" customFormat="false" ht="15" hidden="false" customHeight="false" outlineLevel="0" collapsed="false">
      <c r="A538" s="11" t="n">
        <v>46281</v>
      </c>
      <c r="B538" s="12" t="s">
        <v>92</v>
      </c>
      <c r="C538" s="13"/>
      <c r="D538" s="14"/>
      <c r="E538" s="15"/>
    </row>
    <row r="539" customFormat="false" ht="15" hidden="false" customHeight="false" outlineLevel="0" collapsed="false">
      <c r="A539" s="11" t="n">
        <v>46282</v>
      </c>
      <c r="B539" s="12" t="s">
        <v>93</v>
      </c>
      <c r="C539" s="13"/>
      <c r="D539" s="14"/>
      <c r="E539" s="15"/>
    </row>
    <row r="540" customFormat="false" ht="15" hidden="false" customHeight="false" outlineLevel="0" collapsed="false">
      <c r="A540" s="11" t="n">
        <v>46283</v>
      </c>
      <c r="B540" s="12" t="s">
        <v>94</v>
      </c>
      <c r="C540" s="13"/>
      <c r="D540" s="14"/>
      <c r="E540" s="15"/>
    </row>
    <row r="541" customFormat="false" ht="15" hidden="false" customHeight="false" outlineLevel="0" collapsed="false">
      <c r="A541" s="16" t="n">
        <v>46284</v>
      </c>
      <c r="B541" s="17" t="s">
        <v>95</v>
      </c>
      <c r="C541" s="13"/>
      <c r="D541" s="14"/>
      <c r="E541" s="15"/>
    </row>
    <row r="542" customFormat="false" ht="15" hidden="false" customHeight="false" outlineLevel="0" collapsed="false">
      <c r="A542" s="16" t="n">
        <v>46285</v>
      </c>
      <c r="B542" s="17" t="s">
        <v>96</v>
      </c>
      <c r="C542" s="13"/>
      <c r="D542" s="14"/>
      <c r="E542" s="15"/>
    </row>
    <row r="543" customFormat="false" ht="15" hidden="false" customHeight="false" outlineLevel="0" collapsed="false">
      <c r="A543" s="11" t="n">
        <v>46286</v>
      </c>
      <c r="B543" s="12" t="s">
        <v>97</v>
      </c>
      <c r="C543" s="13"/>
      <c r="D543" s="14"/>
      <c r="E543" s="15"/>
    </row>
    <row r="544" customFormat="false" ht="15" hidden="false" customHeight="false" outlineLevel="0" collapsed="false">
      <c r="A544" s="11" t="n">
        <v>46287</v>
      </c>
      <c r="B544" s="12" t="s">
        <v>91</v>
      </c>
      <c r="C544" s="13"/>
      <c r="D544" s="14"/>
      <c r="E544" s="15"/>
    </row>
    <row r="545" customFormat="false" ht="15" hidden="false" customHeight="false" outlineLevel="0" collapsed="false">
      <c r="A545" s="11" t="n">
        <v>46288</v>
      </c>
      <c r="B545" s="12" t="s">
        <v>92</v>
      </c>
      <c r="C545" s="13"/>
      <c r="D545" s="14"/>
      <c r="E545" s="15"/>
    </row>
    <row r="546" customFormat="false" ht="15" hidden="false" customHeight="false" outlineLevel="0" collapsed="false">
      <c r="A546" s="11" t="n">
        <v>46289</v>
      </c>
      <c r="B546" s="12" t="s">
        <v>93</v>
      </c>
      <c r="C546" s="13"/>
      <c r="D546" s="14"/>
      <c r="E546" s="15"/>
    </row>
    <row r="547" customFormat="false" ht="15" hidden="false" customHeight="false" outlineLevel="0" collapsed="false">
      <c r="A547" s="11" t="n">
        <v>46290</v>
      </c>
      <c r="B547" s="12" t="s">
        <v>94</v>
      </c>
      <c r="C547" s="13"/>
      <c r="D547" s="14"/>
      <c r="E547" s="15"/>
    </row>
    <row r="548" customFormat="false" ht="15" hidden="false" customHeight="false" outlineLevel="0" collapsed="false">
      <c r="A548" s="16" t="n">
        <v>46291</v>
      </c>
      <c r="B548" s="17" t="s">
        <v>95</v>
      </c>
      <c r="C548" s="13"/>
      <c r="D548" s="14"/>
      <c r="E548" s="15"/>
    </row>
    <row r="549" customFormat="false" ht="15" hidden="false" customHeight="false" outlineLevel="0" collapsed="false">
      <c r="A549" s="16" t="n">
        <v>46292</v>
      </c>
      <c r="B549" s="17" t="s">
        <v>96</v>
      </c>
      <c r="C549" s="13"/>
      <c r="D549" s="14"/>
      <c r="E549" s="15"/>
    </row>
    <row r="550" customFormat="false" ht="15" hidden="false" customHeight="false" outlineLevel="0" collapsed="false">
      <c r="A550" s="11" t="n">
        <v>46293</v>
      </c>
      <c r="B550" s="12" t="s">
        <v>97</v>
      </c>
      <c r="C550" s="13"/>
      <c r="D550" s="14"/>
      <c r="E550" s="15"/>
    </row>
    <row r="551" customFormat="false" ht="15" hidden="false" customHeight="false" outlineLevel="0" collapsed="false">
      <c r="A551" s="11" t="n">
        <v>46294</v>
      </c>
      <c r="B551" s="12" t="s">
        <v>91</v>
      </c>
      <c r="C551" s="13"/>
      <c r="D551" s="14"/>
      <c r="E551" s="15"/>
    </row>
    <row r="552" customFormat="false" ht="15" hidden="false" customHeight="false" outlineLevel="0" collapsed="false">
      <c r="A552" s="11" t="n">
        <v>46295</v>
      </c>
      <c r="B552" s="12" t="s">
        <v>92</v>
      </c>
      <c r="C552" s="13"/>
      <c r="D552" s="14"/>
      <c r="E552" s="15"/>
    </row>
    <row r="553" customFormat="false" ht="15" hidden="false" customHeight="false" outlineLevel="0" collapsed="false">
      <c r="A553" s="11" t="n">
        <v>46296</v>
      </c>
      <c r="B553" s="12" t="s">
        <v>93</v>
      </c>
      <c r="C553" s="13"/>
      <c r="D553" s="14"/>
      <c r="E553" s="15"/>
    </row>
    <row r="554" customFormat="false" ht="15" hidden="false" customHeight="false" outlineLevel="0" collapsed="false">
      <c r="A554" s="11" t="n">
        <v>46297</v>
      </c>
      <c r="B554" s="12" t="s">
        <v>94</v>
      </c>
      <c r="C554" s="13"/>
      <c r="D554" s="14"/>
      <c r="E554" s="15"/>
    </row>
    <row r="555" customFormat="false" ht="15" hidden="false" customHeight="false" outlineLevel="0" collapsed="false">
      <c r="A555" s="16" t="n">
        <v>46298</v>
      </c>
      <c r="B555" s="17" t="s">
        <v>95</v>
      </c>
      <c r="C555" s="13"/>
      <c r="D555" s="14"/>
      <c r="E555" s="15"/>
    </row>
    <row r="556" customFormat="false" ht="15" hidden="false" customHeight="false" outlineLevel="0" collapsed="false">
      <c r="A556" s="16" t="n">
        <v>46299</v>
      </c>
      <c r="B556" s="17" t="s">
        <v>96</v>
      </c>
      <c r="C556" s="13"/>
      <c r="D556" s="14"/>
      <c r="E556" s="15"/>
    </row>
    <row r="557" customFormat="false" ht="15" hidden="false" customHeight="false" outlineLevel="0" collapsed="false">
      <c r="A557" s="11" t="n">
        <v>46300</v>
      </c>
      <c r="B557" s="12" t="s">
        <v>97</v>
      </c>
      <c r="C557" s="13"/>
      <c r="D557" s="14"/>
      <c r="E557" s="15"/>
    </row>
    <row r="558" customFormat="false" ht="15" hidden="false" customHeight="false" outlineLevel="0" collapsed="false">
      <c r="A558" s="11" t="n">
        <v>46301</v>
      </c>
      <c r="B558" s="12" t="s">
        <v>91</v>
      </c>
      <c r="C558" s="13"/>
      <c r="D558" s="14"/>
      <c r="E558" s="15"/>
    </row>
    <row r="559" customFormat="false" ht="15" hidden="false" customHeight="false" outlineLevel="0" collapsed="false">
      <c r="A559" s="11" t="n">
        <v>46302</v>
      </c>
      <c r="B559" s="12" t="s">
        <v>92</v>
      </c>
      <c r="C559" s="13"/>
      <c r="D559" s="14"/>
      <c r="E559" s="15"/>
    </row>
    <row r="560" customFormat="false" ht="15" hidden="false" customHeight="false" outlineLevel="0" collapsed="false">
      <c r="A560" s="11" t="n">
        <v>46303</v>
      </c>
      <c r="B560" s="12" t="s">
        <v>93</v>
      </c>
      <c r="C560" s="13"/>
      <c r="D560" s="14"/>
      <c r="E560" s="15"/>
    </row>
    <row r="561" customFormat="false" ht="15" hidden="false" customHeight="false" outlineLevel="0" collapsed="false">
      <c r="A561" s="11" t="n">
        <v>46304</v>
      </c>
      <c r="B561" s="12" t="s">
        <v>94</v>
      </c>
      <c r="C561" s="13"/>
      <c r="D561" s="14"/>
      <c r="E561" s="15"/>
    </row>
    <row r="562" customFormat="false" ht="15" hidden="false" customHeight="false" outlineLevel="0" collapsed="false">
      <c r="A562" s="16" t="n">
        <v>46305</v>
      </c>
      <c r="B562" s="17" t="s">
        <v>95</v>
      </c>
      <c r="C562" s="13"/>
      <c r="D562" s="14"/>
      <c r="E562" s="15"/>
    </row>
    <row r="563" customFormat="false" ht="15" hidden="false" customHeight="false" outlineLevel="0" collapsed="false">
      <c r="A563" s="16" t="n">
        <v>46306</v>
      </c>
      <c r="B563" s="17" t="s">
        <v>96</v>
      </c>
      <c r="C563" s="13"/>
      <c r="D563" s="14"/>
      <c r="E563" s="15"/>
    </row>
    <row r="564" customFormat="false" ht="15" hidden="false" customHeight="false" outlineLevel="0" collapsed="false">
      <c r="A564" s="11" t="n">
        <v>46307</v>
      </c>
      <c r="B564" s="12" t="s">
        <v>97</v>
      </c>
      <c r="C564" s="13"/>
      <c r="D564" s="14"/>
      <c r="E564" s="15"/>
    </row>
    <row r="565" customFormat="false" ht="15" hidden="false" customHeight="false" outlineLevel="0" collapsed="false">
      <c r="A565" s="11" t="n">
        <v>46308</v>
      </c>
      <c r="B565" s="12" t="s">
        <v>91</v>
      </c>
      <c r="C565" s="13"/>
      <c r="D565" s="14"/>
      <c r="E565" s="15"/>
    </row>
    <row r="566" customFormat="false" ht="15" hidden="false" customHeight="false" outlineLevel="0" collapsed="false">
      <c r="A566" s="11" t="n">
        <v>46309</v>
      </c>
      <c r="B566" s="12" t="s">
        <v>92</v>
      </c>
      <c r="C566" s="13"/>
      <c r="D566" s="14"/>
      <c r="E566" s="15"/>
    </row>
    <row r="567" customFormat="false" ht="15" hidden="false" customHeight="false" outlineLevel="0" collapsed="false">
      <c r="A567" s="11" t="n">
        <v>46310</v>
      </c>
      <c r="B567" s="12" t="s">
        <v>93</v>
      </c>
      <c r="C567" s="13"/>
      <c r="D567" s="14"/>
      <c r="E567" s="15"/>
    </row>
    <row r="568" customFormat="false" ht="15" hidden="false" customHeight="false" outlineLevel="0" collapsed="false">
      <c r="A568" s="11" t="n">
        <v>46311</v>
      </c>
      <c r="B568" s="12" t="s">
        <v>94</v>
      </c>
      <c r="C568" s="13"/>
      <c r="D568" s="14"/>
      <c r="E568" s="15"/>
    </row>
    <row r="569" customFormat="false" ht="15" hidden="false" customHeight="false" outlineLevel="0" collapsed="false">
      <c r="A569" s="16" t="n">
        <v>46312</v>
      </c>
      <c r="B569" s="17" t="s">
        <v>95</v>
      </c>
      <c r="C569" s="13"/>
      <c r="D569" s="14"/>
      <c r="E569" s="15"/>
    </row>
    <row r="570" customFormat="false" ht="15" hidden="false" customHeight="false" outlineLevel="0" collapsed="false">
      <c r="A570" s="16" t="n">
        <v>46313</v>
      </c>
      <c r="B570" s="17" t="s">
        <v>96</v>
      </c>
      <c r="C570" s="13"/>
      <c r="D570" s="14"/>
      <c r="E570" s="15"/>
    </row>
    <row r="571" customFormat="false" ht="15" hidden="false" customHeight="false" outlineLevel="0" collapsed="false">
      <c r="A571" s="11" t="n">
        <v>46314</v>
      </c>
      <c r="B571" s="12" t="s">
        <v>97</v>
      </c>
      <c r="C571" s="13"/>
      <c r="D571" s="14"/>
      <c r="E571" s="15"/>
    </row>
    <row r="572" customFormat="false" ht="15" hidden="false" customHeight="false" outlineLevel="0" collapsed="false">
      <c r="A572" s="11" t="n">
        <v>46315</v>
      </c>
      <c r="B572" s="12" t="s">
        <v>91</v>
      </c>
      <c r="C572" s="13"/>
      <c r="D572" s="14"/>
      <c r="E572" s="15"/>
    </row>
    <row r="573" customFormat="false" ht="15" hidden="false" customHeight="false" outlineLevel="0" collapsed="false">
      <c r="A573" s="11" t="n">
        <v>46316</v>
      </c>
      <c r="B573" s="12" t="s">
        <v>92</v>
      </c>
      <c r="C573" s="13"/>
      <c r="D573" s="14"/>
      <c r="E573" s="15"/>
    </row>
    <row r="574" customFormat="false" ht="15" hidden="false" customHeight="false" outlineLevel="0" collapsed="false">
      <c r="A574" s="11" t="n">
        <v>46317</v>
      </c>
      <c r="B574" s="12" t="s">
        <v>93</v>
      </c>
      <c r="C574" s="13"/>
      <c r="D574" s="14"/>
      <c r="E574" s="15"/>
    </row>
    <row r="575" customFormat="false" ht="15" hidden="false" customHeight="false" outlineLevel="0" collapsed="false">
      <c r="A575" s="11" t="n">
        <v>46318</v>
      </c>
      <c r="B575" s="12" t="s">
        <v>94</v>
      </c>
      <c r="C575" s="13"/>
      <c r="D575" s="14"/>
      <c r="E575" s="15"/>
    </row>
    <row r="576" customFormat="false" ht="15" hidden="false" customHeight="false" outlineLevel="0" collapsed="false">
      <c r="A576" s="16" t="n">
        <v>46319</v>
      </c>
      <c r="B576" s="17" t="s">
        <v>95</v>
      </c>
      <c r="C576" s="13"/>
      <c r="D576" s="14"/>
      <c r="E576" s="15"/>
    </row>
    <row r="577" customFormat="false" ht="15" hidden="false" customHeight="false" outlineLevel="0" collapsed="false">
      <c r="A577" s="16" t="n">
        <v>46320</v>
      </c>
      <c r="B577" s="17" t="s">
        <v>96</v>
      </c>
      <c r="C577" s="13"/>
      <c r="D577" s="14"/>
      <c r="E577" s="15"/>
    </row>
    <row r="578" customFormat="false" ht="15" hidden="false" customHeight="false" outlineLevel="0" collapsed="false">
      <c r="A578" s="11" t="n">
        <v>46321</v>
      </c>
      <c r="B578" s="12" t="s">
        <v>97</v>
      </c>
      <c r="C578" s="13"/>
      <c r="D578" s="14"/>
      <c r="E578" s="15"/>
    </row>
    <row r="579" customFormat="false" ht="15" hidden="false" customHeight="false" outlineLevel="0" collapsed="false">
      <c r="A579" s="11" t="n">
        <v>46322</v>
      </c>
      <c r="B579" s="12" t="s">
        <v>91</v>
      </c>
      <c r="C579" s="13"/>
      <c r="D579" s="14"/>
      <c r="E579" s="15"/>
    </row>
    <row r="580" customFormat="false" ht="15" hidden="false" customHeight="false" outlineLevel="0" collapsed="false">
      <c r="A580" s="11" t="n">
        <v>46323</v>
      </c>
      <c r="B580" s="12" t="s">
        <v>92</v>
      </c>
      <c r="C580" s="13"/>
      <c r="D580" s="14"/>
      <c r="E580" s="15"/>
    </row>
    <row r="581" customFormat="false" ht="15" hidden="false" customHeight="false" outlineLevel="0" collapsed="false">
      <c r="A581" s="11" t="n">
        <v>46324</v>
      </c>
      <c r="B581" s="12" t="s">
        <v>93</v>
      </c>
      <c r="C581" s="13"/>
      <c r="D581" s="14"/>
      <c r="E581" s="15"/>
    </row>
    <row r="582" customFormat="false" ht="15" hidden="false" customHeight="false" outlineLevel="0" collapsed="false">
      <c r="A582" s="11" t="n">
        <v>46325</v>
      </c>
      <c r="B582" s="12" t="s">
        <v>94</v>
      </c>
      <c r="C582" s="13"/>
      <c r="D582" s="14"/>
      <c r="E582" s="15"/>
    </row>
    <row r="583" customFormat="false" ht="15" hidden="false" customHeight="false" outlineLevel="0" collapsed="false">
      <c r="A583" s="16" t="n">
        <v>46326</v>
      </c>
      <c r="B583" s="17" t="s">
        <v>95</v>
      </c>
      <c r="C583" s="13"/>
      <c r="D583" s="14"/>
      <c r="E583" s="15"/>
    </row>
    <row r="584" customFormat="false" ht="15" hidden="false" customHeight="false" outlineLevel="0" collapsed="false">
      <c r="A584" s="16" t="n">
        <v>46327</v>
      </c>
      <c r="B584" s="17" t="s">
        <v>96</v>
      </c>
      <c r="C584" s="13"/>
      <c r="D584" s="14"/>
      <c r="E584" s="15"/>
    </row>
    <row r="585" customFormat="false" ht="15" hidden="false" customHeight="false" outlineLevel="0" collapsed="false">
      <c r="A585" s="11" t="n">
        <v>46328</v>
      </c>
      <c r="B585" s="12" t="s">
        <v>97</v>
      </c>
      <c r="C585" s="13"/>
      <c r="D585" s="14"/>
      <c r="E585" s="15"/>
    </row>
    <row r="586" customFormat="false" ht="15" hidden="false" customHeight="false" outlineLevel="0" collapsed="false">
      <c r="A586" s="11" t="n">
        <v>46329</v>
      </c>
      <c r="B586" s="12" t="s">
        <v>91</v>
      </c>
      <c r="C586" s="13"/>
      <c r="D586" s="14"/>
      <c r="E586" s="15"/>
    </row>
    <row r="587" customFormat="false" ht="15" hidden="false" customHeight="false" outlineLevel="0" collapsed="false">
      <c r="A587" s="11" t="n">
        <v>46330</v>
      </c>
      <c r="B587" s="12" t="s">
        <v>92</v>
      </c>
      <c r="C587" s="13"/>
      <c r="D587" s="14"/>
      <c r="E587" s="15"/>
    </row>
    <row r="588" customFormat="false" ht="15" hidden="false" customHeight="false" outlineLevel="0" collapsed="false">
      <c r="A588" s="11" t="n">
        <v>46331</v>
      </c>
      <c r="B588" s="12" t="s">
        <v>93</v>
      </c>
      <c r="C588" s="13"/>
      <c r="D588" s="14"/>
      <c r="E588" s="15"/>
    </row>
    <row r="589" customFormat="false" ht="15" hidden="false" customHeight="false" outlineLevel="0" collapsed="false">
      <c r="A589" s="11" t="n">
        <v>46332</v>
      </c>
      <c r="B589" s="12" t="s">
        <v>94</v>
      </c>
      <c r="C589" s="13"/>
      <c r="D589" s="14"/>
      <c r="E589" s="15"/>
    </row>
    <row r="590" customFormat="false" ht="15" hidden="false" customHeight="false" outlineLevel="0" collapsed="false">
      <c r="A590" s="16" t="n">
        <v>46333</v>
      </c>
      <c r="B590" s="17" t="s">
        <v>95</v>
      </c>
      <c r="C590" s="13"/>
      <c r="D590" s="14"/>
      <c r="E590" s="15"/>
    </row>
    <row r="591" customFormat="false" ht="15" hidden="false" customHeight="false" outlineLevel="0" collapsed="false">
      <c r="A591" s="16" t="n">
        <v>46334</v>
      </c>
      <c r="B591" s="17" t="s">
        <v>96</v>
      </c>
      <c r="C591" s="13"/>
      <c r="D591" s="14"/>
      <c r="E591" s="15"/>
    </row>
    <row r="592" customFormat="false" ht="15" hidden="false" customHeight="false" outlineLevel="0" collapsed="false">
      <c r="A592" s="11" t="n">
        <v>46335</v>
      </c>
      <c r="B592" s="12" t="s">
        <v>97</v>
      </c>
      <c r="C592" s="13"/>
      <c r="D592" s="14"/>
      <c r="E592" s="15"/>
    </row>
    <row r="593" customFormat="false" ht="15" hidden="false" customHeight="false" outlineLevel="0" collapsed="false">
      <c r="A593" s="11" t="n">
        <v>46336</v>
      </c>
      <c r="B593" s="12" t="s">
        <v>91</v>
      </c>
      <c r="C593" s="13"/>
      <c r="D593" s="14"/>
      <c r="E593" s="15"/>
    </row>
    <row r="594" customFormat="false" ht="15" hidden="false" customHeight="false" outlineLevel="0" collapsed="false">
      <c r="A594" s="11" t="n">
        <v>46337</v>
      </c>
      <c r="B594" s="12" t="s">
        <v>92</v>
      </c>
      <c r="C594" s="13"/>
      <c r="D594" s="14"/>
      <c r="E594" s="15"/>
    </row>
    <row r="595" customFormat="false" ht="15" hidden="false" customHeight="false" outlineLevel="0" collapsed="false">
      <c r="A595" s="11" t="n">
        <v>46338</v>
      </c>
      <c r="B595" s="12" t="s">
        <v>93</v>
      </c>
      <c r="C595" s="13"/>
      <c r="D595" s="14"/>
      <c r="E595" s="15"/>
    </row>
    <row r="596" customFormat="false" ht="15" hidden="false" customHeight="false" outlineLevel="0" collapsed="false">
      <c r="A596" s="11" t="n">
        <v>46339</v>
      </c>
      <c r="B596" s="12" t="s">
        <v>94</v>
      </c>
      <c r="C596" s="13"/>
      <c r="D596" s="14"/>
      <c r="E596" s="15"/>
    </row>
    <row r="597" customFormat="false" ht="15" hidden="false" customHeight="false" outlineLevel="0" collapsed="false">
      <c r="A597" s="16" t="n">
        <v>46340</v>
      </c>
      <c r="B597" s="17" t="s">
        <v>95</v>
      </c>
      <c r="C597" s="13"/>
      <c r="D597" s="14"/>
      <c r="E597" s="15"/>
    </row>
    <row r="598" customFormat="false" ht="15" hidden="false" customHeight="false" outlineLevel="0" collapsed="false">
      <c r="A598" s="16" t="n">
        <v>46341</v>
      </c>
      <c r="B598" s="17" t="s">
        <v>96</v>
      </c>
      <c r="C598" s="13"/>
      <c r="D598" s="14"/>
      <c r="E598" s="15"/>
    </row>
    <row r="599" customFormat="false" ht="15" hidden="false" customHeight="false" outlineLevel="0" collapsed="false">
      <c r="A599" s="11" t="n">
        <v>46342</v>
      </c>
      <c r="B599" s="12" t="s">
        <v>97</v>
      </c>
      <c r="C599" s="13"/>
      <c r="D599" s="14"/>
      <c r="E599" s="15"/>
    </row>
    <row r="600" customFormat="false" ht="15" hidden="false" customHeight="false" outlineLevel="0" collapsed="false">
      <c r="A600" s="11" t="n">
        <v>46343</v>
      </c>
      <c r="B600" s="12" t="s">
        <v>91</v>
      </c>
      <c r="C600" s="13"/>
      <c r="D600" s="14"/>
      <c r="E600" s="15"/>
    </row>
    <row r="601" customFormat="false" ht="15" hidden="false" customHeight="false" outlineLevel="0" collapsed="false">
      <c r="A601" s="11" t="n">
        <v>46344</v>
      </c>
      <c r="B601" s="12" t="s">
        <v>92</v>
      </c>
      <c r="C601" s="13"/>
      <c r="D601" s="14"/>
      <c r="E601" s="15"/>
    </row>
    <row r="602" customFormat="false" ht="15" hidden="false" customHeight="false" outlineLevel="0" collapsed="false">
      <c r="A602" s="11" t="n">
        <v>46345</v>
      </c>
      <c r="B602" s="12" t="s">
        <v>93</v>
      </c>
      <c r="C602" s="13"/>
      <c r="D602" s="14"/>
      <c r="E602" s="15"/>
    </row>
    <row r="603" customFormat="false" ht="15" hidden="false" customHeight="false" outlineLevel="0" collapsed="false">
      <c r="A603" s="11" t="n">
        <v>46346</v>
      </c>
      <c r="B603" s="12" t="s">
        <v>94</v>
      </c>
      <c r="C603" s="13"/>
      <c r="D603" s="14"/>
      <c r="E603" s="15"/>
    </row>
    <row r="604" customFormat="false" ht="15" hidden="false" customHeight="false" outlineLevel="0" collapsed="false">
      <c r="A604" s="16" t="n">
        <v>46347</v>
      </c>
      <c r="B604" s="17" t="s">
        <v>95</v>
      </c>
      <c r="C604" s="13"/>
      <c r="D604" s="14"/>
      <c r="E604" s="15"/>
    </row>
    <row r="605" customFormat="false" ht="15" hidden="false" customHeight="false" outlineLevel="0" collapsed="false">
      <c r="A605" s="16" t="n">
        <v>46348</v>
      </c>
      <c r="B605" s="17" t="s">
        <v>96</v>
      </c>
      <c r="C605" s="13"/>
      <c r="D605" s="14"/>
      <c r="E605" s="15"/>
    </row>
    <row r="606" customFormat="false" ht="15" hidden="false" customHeight="false" outlineLevel="0" collapsed="false">
      <c r="A606" s="11" t="n">
        <v>46349</v>
      </c>
      <c r="B606" s="12" t="s">
        <v>97</v>
      </c>
      <c r="C606" s="13"/>
      <c r="D606" s="14"/>
      <c r="E606" s="15"/>
    </row>
    <row r="607" customFormat="false" ht="15" hidden="false" customHeight="false" outlineLevel="0" collapsed="false">
      <c r="A607" s="11" t="n">
        <v>46350</v>
      </c>
      <c r="B607" s="12" t="s">
        <v>91</v>
      </c>
      <c r="C607" s="13"/>
      <c r="D607" s="14"/>
      <c r="E607" s="15"/>
    </row>
    <row r="608" customFormat="false" ht="15" hidden="false" customHeight="false" outlineLevel="0" collapsed="false">
      <c r="A608" s="11" t="n">
        <v>46351</v>
      </c>
      <c r="B608" s="12" t="s">
        <v>92</v>
      </c>
      <c r="C608" s="13"/>
      <c r="D608" s="14"/>
      <c r="E608" s="15"/>
    </row>
    <row r="609" customFormat="false" ht="15" hidden="false" customHeight="false" outlineLevel="0" collapsed="false">
      <c r="A609" s="11" t="n">
        <v>46352</v>
      </c>
      <c r="B609" s="12" t="s">
        <v>93</v>
      </c>
      <c r="C609" s="13"/>
      <c r="D609" s="14"/>
      <c r="E609" s="15"/>
    </row>
    <row r="610" customFormat="false" ht="15" hidden="false" customHeight="false" outlineLevel="0" collapsed="false">
      <c r="A610" s="11" t="n">
        <v>46353</v>
      </c>
      <c r="B610" s="12" t="s">
        <v>94</v>
      </c>
      <c r="C610" s="13"/>
      <c r="D610" s="14"/>
      <c r="E610" s="15"/>
    </row>
    <row r="611" customFormat="false" ht="15" hidden="false" customHeight="false" outlineLevel="0" collapsed="false">
      <c r="A611" s="16" t="n">
        <v>46354</v>
      </c>
      <c r="B611" s="17" t="s">
        <v>95</v>
      </c>
      <c r="C611" s="13"/>
      <c r="D611" s="14"/>
      <c r="E611" s="15"/>
    </row>
    <row r="612" customFormat="false" ht="15" hidden="false" customHeight="false" outlineLevel="0" collapsed="false">
      <c r="A612" s="16" t="n">
        <v>46355</v>
      </c>
      <c r="B612" s="17" t="s">
        <v>96</v>
      </c>
      <c r="C612" s="13"/>
      <c r="D612" s="14"/>
      <c r="E612" s="15"/>
    </row>
    <row r="613" customFormat="false" ht="15" hidden="false" customHeight="false" outlineLevel="0" collapsed="false">
      <c r="A613" s="11" t="n">
        <v>46356</v>
      </c>
      <c r="B613" s="12" t="s">
        <v>97</v>
      </c>
      <c r="C613" s="13"/>
      <c r="D613" s="14"/>
      <c r="E613" s="15"/>
    </row>
    <row r="614" customFormat="false" ht="15" hidden="false" customHeight="false" outlineLevel="0" collapsed="false">
      <c r="A614" s="11" t="n">
        <v>46357</v>
      </c>
      <c r="B614" s="12" t="s">
        <v>91</v>
      </c>
      <c r="C614" s="13"/>
      <c r="D614" s="14"/>
      <c r="E614" s="15"/>
    </row>
    <row r="615" customFormat="false" ht="15" hidden="false" customHeight="false" outlineLevel="0" collapsed="false">
      <c r="A615" s="11" t="n">
        <v>46358</v>
      </c>
      <c r="B615" s="12" t="s">
        <v>92</v>
      </c>
      <c r="C615" s="13"/>
      <c r="D615" s="14"/>
      <c r="E615" s="15"/>
    </row>
    <row r="616" customFormat="false" ht="15" hidden="false" customHeight="false" outlineLevel="0" collapsed="false">
      <c r="A616" s="11" t="n">
        <v>46359</v>
      </c>
      <c r="B616" s="12" t="s">
        <v>93</v>
      </c>
      <c r="C616" s="13"/>
      <c r="D616" s="14"/>
      <c r="E616" s="15"/>
    </row>
    <row r="617" customFormat="false" ht="15" hidden="false" customHeight="false" outlineLevel="0" collapsed="false">
      <c r="A617" s="11" t="n">
        <v>46360</v>
      </c>
      <c r="B617" s="12" t="s">
        <v>94</v>
      </c>
      <c r="C617" s="13"/>
      <c r="D617" s="14"/>
      <c r="E617" s="15"/>
    </row>
    <row r="618" customFormat="false" ht="15" hidden="false" customHeight="false" outlineLevel="0" collapsed="false">
      <c r="A618" s="16" t="n">
        <v>46361</v>
      </c>
      <c r="B618" s="17" t="s">
        <v>95</v>
      </c>
      <c r="C618" s="13"/>
      <c r="D618" s="14"/>
      <c r="E618" s="15"/>
    </row>
    <row r="619" customFormat="false" ht="15" hidden="false" customHeight="false" outlineLevel="0" collapsed="false">
      <c r="A619" s="16" t="n">
        <v>46362</v>
      </c>
      <c r="B619" s="17" t="s">
        <v>96</v>
      </c>
      <c r="C619" s="13"/>
      <c r="D619" s="14"/>
      <c r="E619" s="15"/>
    </row>
    <row r="620" customFormat="false" ht="15" hidden="false" customHeight="false" outlineLevel="0" collapsed="false">
      <c r="A620" s="11" t="n">
        <v>46363</v>
      </c>
      <c r="B620" s="12" t="s">
        <v>97</v>
      </c>
      <c r="C620" s="13"/>
      <c r="D620" s="14"/>
      <c r="E620" s="15"/>
    </row>
    <row r="621" customFormat="false" ht="15" hidden="false" customHeight="false" outlineLevel="0" collapsed="false">
      <c r="A621" s="11" t="n">
        <v>46364</v>
      </c>
      <c r="B621" s="12" t="s">
        <v>91</v>
      </c>
      <c r="C621" s="13"/>
      <c r="D621" s="14"/>
      <c r="E621" s="15"/>
    </row>
    <row r="622" customFormat="false" ht="15" hidden="false" customHeight="false" outlineLevel="0" collapsed="false">
      <c r="A622" s="11" t="n">
        <v>46365</v>
      </c>
      <c r="B622" s="12" t="s">
        <v>92</v>
      </c>
      <c r="C622" s="13"/>
      <c r="D622" s="14"/>
      <c r="E622" s="15"/>
    </row>
    <row r="623" customFormat="false" ht="15" hidden="false" customHeight="false" outlineLevel="0" collapsed="false">
      <c r="A623" s="11" t="n">
        <v>46366</v>
      </c>
      <c r="B623" s="12" t="s">
        <v>93</v>
      </c>
      <c r="C623" s="13"/>
      <c r="D623" s="14"/>
      <c r="E623" s="15"/>
    </row>
    <row r="624" customFormat="false" ht="15" hidden="false" customHeight="false" outlineLevel="0" collapsed="false">
      <c r="A624" s="11" t="n">
        <v>46367</v>
      </c>
      <c r="B624" s="12" t="s">
        <v>94</v>
      </c>
      <c r="C624" s="13"/>
      <c r="D624" s="14"/>
      <c r="E624" s="15"/>
    </row>
    <row r="625" customFormat="false" ht="15" hidden="false" customHeight="false" outlineLevel="0" collapsed="false">
      <c r="A625" s="16" t="n">
        <v>46368</v>
      </c>
      <c r="B625" s="17" t="s">
        <v>95</v>
      </c>
      <c r="C625" s="13"/>
      <c r="D625" s="14"/>
      <c r="E625" s="15"/>
    </row>
    <row r="626" customFormat="false" ht="15" hidden="false" customHeight="false" outlineLevel="0" collapsed="false">
      <c r="A626" s="16" t="n">
        <v>46369</v>
      </c>
      <c r="B626" s="17" t="s">
        <v>96</v>
      </c>
      <c r="C626" s="13"/>
      <c r="D626" s="14"/>
      <c r="E626" s="15"/>
    </row>
    <row r="627" customFormat="false" ht="15" hidden="false" customHeight="false" outlineLevel="0" collapsed="false">
      <c r="A627" s="11" t="n">
        <v>46370</v>
      </c>
      <c r="B627" s="12" t="s">
        <v>97</v>
      </c>
      <c r="C627" s="13"/>
      <c r="D627" s="14"/>
      <c r="E627" s="15"/>
    </row>
    <row r="628" customFormat="false" ht="15" hidden="false" customHeight="false" outlineLevel="0" collapsed="false">
      <c r="A628" s="11" t="n">
        <v>46371</v>
      </c>
      <c r="B628" s="12" t="s">
        <v>91</v>
      </c>
      <c r="C628" s="13"/>
      <c r="D628" s="14"/>
      <c r="E628" s="15"/>
    </row>
    <row r="629" customFormat="false" ht="15" hidden="false" customHeight="false" outlineLevel="0" collapsed="false">
      <c r="A629" s="11" t="n">
        <v>46372</v>
      </c>
      <c r="B629" s="12" t="s">
        <v>92</v>
      </c>
      <c r="C629" s="13"/>
      <c r="D629" s="14"/>
      <c r="E629" s="15"/>
    </row>
    <row r="630" customFormat="false" ht="15" hidden="false" customHeight="false" outlineLevel="0" collapsed="false">
      <c r="A630" s="11" t="n">
        <v>46373</v>
      </c>
      <c r="B630" s="12" t="s">
        <v>93</v>
      </c>
      <c r="C630" s="13"/>
      <c r="D630" s="14"/>
      <c r="E630" s="15"/>
    </row>
    <row r="631" customFormat="false" ht="15" hidden="false" customHeight="false" outlineLevel="0" collapsed="false">
      <c r="A631" s="11" t="n">
        <v>46374</v>
      </c>
      <c r="B631" s="12" t="s">
        <v>94</v>
      </c>
      <c r="C631" s="13"/>
      <c r="D631" s="14"/>
      <c r="E631" s="15"/>
    </row>
    <row r="632" customFormat="false" ht="15" hidden="false" customHeight="false" outlineLevel="0" collapsed="false">
      <c r="A632" s="16" t="n">
        <v>46375</v>
      </c>
      <c r="B632" s="17" t="s">
        <v>95</v>
      </c>
      <c r="C632" s="13"/>
      <c r="D632" s="14"/>
      <c r="E632" s="15"/>
    </row>
    <row r="633" customFormat="false" ht="15" hidden="false" customHeight="false" outlineLevel="0" collapsed="false">
      <c r="A633" s="16" t="n">
        <v>46376</v>
      </c>
      <c r="B633" s="17" t="s">
        <v>96</v>
      </c>
      <c r="C633" s="13"/>
      <c r="D633" s="14"/>
      <c r="E633" s="15"/>
    </row>
    <row r="634" customFormat="false" ht="15" hidden="false" customHeight="false" outlineLevel="0" collapsed="false">
      <c r="A634" s="11" t="n">
        <v>46377</v>
      </c>
      <c r="B634" s="12" t="s">
        <v>97</v>
      </c>
      <c r="C634" s="13"/>
      <c r="D634" s="14"/>
      <c r="E634" s="15"/>
    </row>
    <row r="635" customFormat="false" ht="15" hidden="false" customHeight="false" outlineLevel="0" collapsed="false">
      <c r="A635" s="11" t="n">
        <v>46378</v>
      </c>
      <c r="B635" s="12" t="s">
        <v>91</v>
      </c>
      <c r="C635" s="13"/>
      <c r="D635" s="14"/>
      <c r="E635" s="15"/>
    </row>
    <row r="636" customFormat="false" ht="15" hidden="false" customHeight="false" outlineLevel="0" collapsed="false">
      <c r="A636" s="11" t="n">
        <v>46379</v>
      </c>
      <c r="B636" s="12" t="s">
        <v>92</v>
      </c>
      <c r="C636" s="13"/>
      <c r="D636" s="14"/>
      <c r="E636" s="15"/>
    </row>
    <row r="637" customFormat="false" ht="15" hidden="false" customHeight="false" outlineLevel="0" collapsed="false">
      <c r="A637" s="11" t="n">
        <v>46380</v>
      </c>
      <c r="B637" s="12" t="s">
        <v>93</v>
      </c>
      <c r="C637" s="13"/>
      <c r="D637" s="14"/>
      <c r="E637" s="15"/>
    </row>
    <row r="638" customFormat="false" ht="15" hidden="false" customHeight="false" outlineLevel="0" collapsed="false">
      <c r="A638" s="11" t="n">
        <v>46381</v>
      </c>
      <c r="B638" s="12" t="s">
        <v>94</v>
      </c>
      <c r="C638" s="13"/>
      <c r="D638" s="14"/>
      <c r="E638" s="15"/>
    </row>
    <row r="639" customFormat="false" ht="15" hidden="false" customHeight="false" outlineLevel="0" collapsed="false">
      <c r="A639" s="16" t="n">
        <v>46382</v>
      </c>
      <c r="B639" s="17" t="s">
        <v>95</v>
      </c>
      <c r="C639" s="13"/>
      <c r="D639" s="14"/>
      <c r="E639" s="15"/>
    </row>
    <row r="640" customFormat="false" ht="15" hidden="false" customHeight="false" outlineLevel="0" collapsed="false">
      <c r="A640" s="16" t="n">
        <v>46383</v>
      </c>
      <c r="B640" s="17" t="s">
        <v>96</v>
      </c>
      <c r="C640" s="13"/>
      <c r="D640" s="14"/>
      <c r="E640" s="15"/>
    </row>
    <row r="641" customFormat="false" ht="15" hidden="false" customHeight="false" outlineLevel="0" collapsed="false">
      <c r="A641" s="11" t="n">
        <v>46384</v>
      </c>
      <c r="B641" s="12" t="s">
        <v>97</v>
      </c>
      <c r="C641" s="13"/>
      <c r="D641" s="14"/>
      <c r="E641" s="15"/>
    </row>
    <row r="642" customFormat="false" ht="15" hidden="false" customHeight="false" outlineLevel="0" collapsed="false">
      <c r="A642" s="11" t="n">
        <v>46385</v>
      </c>
      <c r="B642" s="12" t="s">
        <v>91</v>
      </c>
      <c r="C642" s="13"/>
      <c r="D642" s="14"/>
      <c r="E642" s="15"/>
    </row>
    <row r="643" customFormat="false" ht="15" hidden="false" customHeight="false" outlineLevel="0" collapsed="false">
      <c r="A643" s="11" t="n">
        <v>46386</v>
      </c>
      <c r="B643" s="12" t="s">
        <v>92</v>
      </c>
      <c r="C643" s="13"/>
      <c r="D643" s="14"/>
      <c r="E643" s="15"/>
    </row>
    <row r="644" customFormat="false" ht="15" hidden="false" customHeight="false" outlineLevel="0" collapsed="false">
      <c r="A644" s="11" t="n">
        <v>46387</v>
      </c>
      <c r="B644" s="12" t="s">
        <v>93</v>
      </c>
      <c r="C644" s="13"/>
      <c r="D644" s="14"/>
      <c r="E64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  <col collapsed="false" customWidth="true" hidden="false" outlineLevel="0" max="6" min="6" style="0" width="60"/>
  </cols>
  <sheetData>
    <row r="1" customFormat="false" ht="19.4" hidden="false" customHeight="false" outlineLevel="0" collapsed="false">
      <c r="A1" s="8" t="s">
        <v>98</v>
      </c>
    </row>
    <row r="2" customFormat="false" ht="15" hidden="false" customHeight="false" outlineLevel="0" collapsed="false">
      <c r="A2" s="2" t="s">
        <v>99</v>
      </c>
    </row>
    <row r="4" customFormat="false" ht="30" hidden="false" customHeight="true" outlineLevel="0" collapsed="false">
      <c r="A4" s="9" t="s">
        <v>97</v>
      </c>
      <c r="B4" s="9" t="s">
        <v>100</v>
      </c>
      <c r="C4" s="9" t="s">
        <v>101</v>
      </c>
      <c r="D4" s="9" t="s">
        <v>102</v>
      </c>
      <c r="E4" s="9" t="s">
        <v>103</v>
      </c>
      <c r="F4" s="18"/>
    </row>
    <row r="5" customFormat="false" ht="15" hidden="false" customHeight="false" outlineLevel="0" collapsed="false">
      <c r="A5" s="19" t="s">
        <v>104</v>
      </c>
      <c r="B5" s="20" t="n">
        <f aca="false">'2025-04'!D74</f>
        <v>0</v>
      </c>
      <c r="C5" s="20" t="n">
        <f aca="false">'2025-04'!D88+'2025-04'!D87</f>
        <v>0</v>
      </c>
      <c r="D5" s="20" t="n">
        <f aca="false">'2025-04'!E74</f>
        <v>0</v>
      </c>
      <c r="E5" s="20" t="n">
        <f aca="false">'2025-04'!E88+'2025-04'!E87</f>
        <v>0</v>
      </c>
    </row>
    <row r="6" customFormat="false" ht="15" hidden="false" customHeight="false" outlineLevel="0" collapsed="false">
      <c r="A6" s="19" t="s">
        <v>105</v>
      </c>
      <c r="B6" s="20" t="n">
        <f aca="false">'2025-05'!D74</f>
        <v>0</v>
      </c>
      <c r="C6" s="20" t="n">
        <f aca="false">'2025-05'!D88+'2025-05'!D87</f>
        <v>0</v>
      </c>
      <c r="D6" s="20" t="n">
        <f aca="false">'2025-05'!E74</f>
        <v>0</v>
      </c>
      <c r="E6" s="20" t="n">
        <f aca="false">'2025-05'!E88+'2025-05'!E87</f>
        <v>0</v>
      </c>
    </row>
    <row r="7" customFormat="false" ht="15" hidden="false" customHeight="false" outlineLevel="0" collapsed="false">
      <c r="A7" s="19" t="s">
        <v>106</v>
      </c>
      <c r="B7" s="20" t="n">
        <f aca="false">'2025-06'!D74</f>
        <v>0</v>
      </c>
      <c r="C7" s="20" t="n">
        <f aca="false">'2025-06'!D88+'2025-06'!D87</f>
        <v>0</v>
      </c>
      <c r="D7" s="20" t="n">
        <f aca="false">'2025-06'!E74</f>
        <v>0</v>
      </c>
      <c r="E7" s="20" t="n">
        <f aca="false">'2025-06'!E88+'2025-06'!E87</f>
        <v>0</v>
      </c>
    </row>
    <row r="8" customFormat="false" ht="15" hidden="false" customHeight="false" outlineLevel="0" collapsed="false">
      <c r="A8" s="19" t="s">
        <v>107</v>
      </c>
      <c r="B8" s="20" t="n">
        <f aca="false">'2025-07'!D74</f>
        <v>0</v>
      </c>
      <c r="C8" s="20" t="n">
        <f aca="false">'2025-07'!D88+'2025-07'!D87</f>
        <v>0</v>
      </c>
      <c r="D8" s="20" t="n">
        <f aca="false">'2025-07'!E74</f>
        <v>0</v>
      </c>
      <c r="E8" s="20" t="n">
        <f aca="false">'2025-07'!E88+'2025-07'!E87</f>
        <v>0</v>
      </c>
    </row>
    <row r="9" customFormat="false" ht="15" hidden="false" customHeight="false" outlineLevel="0" collapsed="false">
      <c r="A9" s="19" t="s">
        <v>108</v>
      </c>
      <c r="B9" s="20" t="n">
        <f aca="false">'2025-08'!D74</f>
        <v>0</v>
      </c>
      <c r="C9" s="20" t="n">
        <f aca="false">'2025-08'!D88+'2025-08'!D87</f>
        <v>0</v>
      </c>
      <c r="D9" s="20" t="n">
        <f aca="false">'2025-08'!E74</f>
        <v>0</v>
      </c>
      <c r="E9" s="20" t="n">
        <f aca="false">'2025-08'!E88+'2025-08'!E87</f>
        <v>0</v>
      </c>
    </row>
    <row r="10" customFormat="false" ht="15" hidden="false" customHeight="false" outlineLevel="0" collapsed="false">
      <c r="A10" s="19" t="s">
        <v>109</v>
      </c>
      <c r="B10" s="20" t="n">
        <f aca="false">'2025-09'!D74</f>
        <v>0</v>
      </c>
      <c r="C10" s="20" t="n">
        <f aca="false">'2025-09'!D88+'2025-09'!D87</f>
        <v>0</v>
      </c>
      <c r="D10" s="20" t="n">
        <f aca="false">'2025-09'!E74</f>
        <v>0</v>
      </c>
      <c r="E10" s="20" t="n">
        <f aca="false">'2025-09'!E88+'2025-09'!E87</f>
        <v>0</v>
      </c>
    </row>
    <row r="11" customFormat="false" ht="15" hidden="false" customHeight="false" outlineLevel="0" collapsed="false">
      <c r="A11" s="19" t="s">
        <v>110</v>
      </c>
      <c r="B11" s="20" t="n">
        <f aca="false">'2025-10'!D74</f>
        <v>0</v>
      </c>
      <c r="C11" s="20" t="n">
        <f aca="false">'2025-10'!D88+'2025-10'!D87</f>
        <v>0</v>
      </c>
      <c r="D11" s="20" t="n">
        <f aca="false">'2025-10'!E74</f>
        <v>0</v>
      </c>
      <c r="E11" s="20" t="n">
        <f aca="false">'2025-10'!E88+'2025-10'!E87</f>
        <v>0</v>
      </c>
    </row>
    <row r="12" customFormat="false" ht="15" hidden="false" customHeight="false" outlineLevel="0" collapsed="false">
      <c r="A12" s="19" t="s">
        <v>111</v>
      </c>
      <c r="B12" s="20" t="n">
        <f aca="false">'2025-11'!D74</f>
        <v>0</v>
      </c>
      <c r="C12" s="20" t="n">
        <f aca="false">'2025-11'!D88+'2025-11'!D87</f>
        <v>0</v>
      </c>
      <c r="D12" s="20" t="n">
        <f aca="false">'2025-11'!E74</f>
        <v>0</v>
      </c>
      <c r="E12" s="20" t="n">
        <f aca="false">'2025-11'!E88+'2025-11'!E87</f>
        <v>0</v>
      </c>
    </row>
    <row r="13" customFormat="false" ht="15" hidden="false" customHeight="false" outlineLevel="0" collapsed="false">
      <c r="A13" s="19" t="s">
        <v>112</v>
      </c>
      <c r="B13" s="20" t="n">
        <f aca="false">'2025-12'!D74</f>
        <v>0</v>
      </c>
      <c r="C13" s="20" t="n">
        <f aca="false">'2025-12'!D88+'2025-12'!D87</f>
        <v>0</v>
      </c>
      <c r="D13" s="20" t="n">
        <f aca="false">'2025-12'!E74</f>
        <v>0</v>
      </c>
      <c r="E13" s="20" t="n">
        <f aca="false">'2025-12'!E88+'2025-12'!E87</f>
        <v>0</v>
      </c>
    </row>
    <row r="14" customFormat="false" ht="15" hidden="false" customHeight="false" outlineLevel="0" collapsed="false">
      <c r="A14" s="19" t="s">
        <v>113</v>
      </c>
      <c r="B14" s="20" t="n">
        <f aca="false">'2026-01'!D74</f>
        <v>0</v>
      </c>
      <c r="C14" s="20" t="n">
        <f aca="false">'2026-01'!D88+'2026-01'!D87</f>
        <v>0</v>
      </c>
      <c r="D14" s="20" t="n">
        <f aca="false">'2026-01'!E74</f>
        <v>0</v>
      </c>
      <c r="E14" s="20" t="n">
        <f aca="false">'2026-01'!E88+'2026-01'!E87</f>
        <v>0</v>
      </c>
    </row>
    <row r="15" customFormat="false" ht="15" hidden="false" customHeight="false" outlineLevel="0" collapsed="false">
      <c r="A15" s="19" t="s">
        <v>114</v>
      </c>
      <c r="B15" s="20" t="n">
        <f aca="false">'2026-02'!D74</f>
        <v>0</v>
      </c>
      <c r="C15" s="20" t="n">
        <f aca="false">'2026-02'!D88+'2026-02'!D87</f>
        <v>0</v>
      </c>
      <c r="D15" s="20" t="n">
        <f aca="false">'2026-02'!E74</f>
        <v>0</v>
      </c>
      <c r="E15" s="20" t="n">
        <f aca="false">'2026-02'!E88+'2026-02'!E87</f>
        <v>0</v>
      </c>
    </row>
    <row r="16" customFormat="false" ht="15" hidden="false" customHeight="false" outlineLevel="0" collapsed="false">
      <c r="A16" s="19" t="s">
        <v>115</v>
      </c>
      <c r="B16" s="20" t="n">
        <f aca="false">'2026-03'!D74</f>
        <v>0</v>
      </c>
      <c r="C16" s="20" t="n">
        <f aca="false">'2026-03'!D88+'2026-03'!D87</f>
        <v>0</v>
      </c>
      <c r="D16" s="20" t="n">
        <f aca="false">'2026-03'!E74</f>
        <v>0</v>
      </c>
      <c r="E16" s="20" t="n">
        <f aca="false">'2026-03'!E88+'2026-03'!E87</f>
        <v>0</v>
      </c>
    </row>
    <row r="17" customFormat="false" ht="15" hidden="false" customHeight="false" outlineLevel="0" collapsed="false">
      <c r="A17" s="19" t="s">
        <v>116</v>
      </c>
      <c r="B17" s="20" t="n">
        <f aca="false">'2026-04'!D74</f>
        <v>0</v>
      </c>
      <c r="C17" s="20" t="n">
        <f aca="false">'2026-04'!D88+'2026-04'!D87</f>
        <v>0</v>
      </c>
      <c r="D17" s="20" t="n">
        <f aca="false">'2026-04'!E74</f>
        <v>0</v>
      </c>
      <c r="E17" s="20" t="n">
        <f aca="false">'2026-04'!E88+'2026-04'!E87</f>
        <v>0</v>
      </c>
    </row>
    <row r="18" customFormat="false" ht="15" hidden="false" customHeight="false" outlineLevel="0" collapsed="false">
      <c r="A18" s="19" t="s">
        <v>117</v>
      </c>
      <c r="B18" s="20" t="n">
        <f aca="false">'2026-05'!D74</f>
        <v>0</v>
      </c>
      <c r="C18" s="20" t="n">
        <f aca="false">'2026-05'!D88+'2026-05'!D87</f>
        <v>0</v>
      </c>
      <c r="D18" s="20" t="n">
        <f aca="false">'2026-05'!E74</f>
        <v>0</v>
      </c>
      <c r="E18" s="20" t="n">
        <f aca="false">'2026-05'!E88+'2026-05'!E87</f>
        <v>0</v>
      </c>
    </row>
    <row r="19" customFormat="false" ht="15" hidden="false" customHeight="false" outlineLevel="0" collapsed="false">
      <c r="A19" s="19" t="s">
        <v>118</v>
      </c>
      <c r="B19" s="20" t="n">
        <f aca="false">'2026-06'!D74</f>
        <v>0</v>
      </c>
      <c r="C19" s="20" t="n">
        <f aca="false">'2026-06'!D88+'2026-06'!D87</f>
        <v>0</v>
      </c>
      <c r="D19" s="20" t="n">
        <f aca="false">'2026-06'!E74</f>
        <v>0</v>
      </c>
      <c r="E19" s="20" t="n">
        <f aca="false">'2026-06'!E88+'2026-06'!E87</f>
        <v>0</v>
      </c>
    </row>
    <row r="20" customFormat="false" ht="15" hidden="false" customHeight="false" outlineLevel="0" collapsed="false">
      <c r="A20" s="19" t="s">
        <v>119</v>
      </c>
      <c r="B20" s="20" t="n">
        <f aca="false">'2026-07'!D74</f>
        <v>0</v>
      </c>
      <c r="C20" s="20" t="n">
        <f aca="false">'2026-07'!D88+'2026-07'!D87</f>
        <v>0</v>
      </c>
      <c r="D20" s="20" t="n">
        <f aca="false">'2026-07'!E74</f>
        <v>0</v>
      </c>
      <c r="E20" s="20" t="n">
        <f aca="false">'2026-07'!E88+'2026-07'!E87</f>
        <v>0</v>
      </c>
    </row>
    <row r="21" customFormat="false" ht="15" hidden="false" customHeight="false" outlineLevel="0" collapsed="false">
      <c r="A21" s="19" t="s">
        <v>120</v>
      </c>
      <c r="B21" s="20" t="n">
        <f aca="false">'2026-08'!D74</f>
        <v>0</v>
      </c>
      <c r="C21" s="20" t="n">
        <f aca="false">'2026-08'!D88+'2026-08'!D87</f>
        <v>0</v>
      </c>
      <c r="D21" s="20" t="n">
        <f aca="false">'2026-08'!E74</f>
        <v>0</v>
      </c>
      <c r="E21" s="20" t="n">
        <f aca="false">'2026-08'!E88+'2026-08'!E87</f>
        <v>0</v>
      </c>
    </row>
    <row r="22" customFormat="false" ht="15" hidden="false" customHeight="false" outlineLevel="0" collapsed="false">
      <c r="A22" s="19" t="s">
        <v>121</v>
      </c>
      <c r="B22" s="20" t="n">
        <f aca="false">'2026-09'!D74</f>
        <v>0</v>
      </c>
      <c r="C22" s="20" t="n">
        <f aca="false">'2026-09'!D88+'2026-09'!D87</f>
        <v>0</v>
      </c>
      <c r="D22" s="20" t="n">
        <f aca="false">'2026-09'!E74</f>
        <v>0</v>
      </c>
      <c r="E22" s="20" t="n">
        <f aca="false">'2026-09'!E88+'2026-09'!E87</f>
        <v>0</v>
      </c>
    </row>
    <row r="23" customFormat="false" ht="15" hidden="false" customHeight="false" outlineLevel="0" collapsed="false">
      <c r="A23" s="19" t="s">
        <v>122</v>
      </c>
      <c r="B23" s="20" t="n">
        <f aca="false">'2026-10'!D74</f>
        <v>0</v>
      </c>
      <c r="C23" s="20" t="n">
        <f aca="false">'2026-10'!D88+'2026-10'!D87</f>
        <v>0</v>
      </c>
      <c r="D23" s="20" t="n">
        <f aca="false">'2026-10'!E74</f>
        <v>0</v>
      </c>
      <c r="E23" s="20" t="n">
        <f aca="false">'2026-10'!E88+'2026-10'!E87</f>
        <v>0</v>
      </c>
    </row>
    <row r="24" customFormat="false" ht="15" hidden="false" customHeight="false" outlineLevel="0" collapsed="false">
      <c r="A24" s="19" t="s">
        <v>123</v>
      </c>
      <c r="B24" s="20" t="n">
        <f aca="false">'2026-11'!D74</f>
        <v>0</v>
      </c>
      <c r="C24" s="20" t="n">
        <f aca="false">'2026-11'!D88+'2026-11'!D87</f>
        <v>0</v>
      </c>
      <c r="D24" s="20" t="n">
        <f aca="false">'2026-11'!E74</f>
        <v>0</v>
      </c>
      <c r="E24" s="20" t="n">
        <f aca="false">'2026-11'!E88+'2026-11'!E87</f>
        <v>0</v>
      </c>
    </row>
    <row r="25" customFormat="false" ht="15" hidden="false" customHeight="false" outlineLevel="0" collapsed="false">
      <c r="A25" s="19" t="s">
        <v>124</v>
      </c>
      <c r="B25" s="20" t="n">
        <f aca="false">'2026-12'!D74</f>
        <v>0</v>
      </c>
      <c r="C25" s="20" t="n">
        <f aca="false">'2026-12'!D88+'2026-12'!D87</f>
        <v>0</v>
      </c>
      <c r="D25" s="20" t="n">
        <f aca="false">'2026-12'!E74</f>
        <v>0</v>
      </c>
      <c r="E25" s="20" t="n">
        <f aca="false">'2026-12'!E88+'2026-12'!E87</f>
        <v>0</v>
      </c>
      <c r="F25" s="7" t="s">
        <v>125</v>
      </c>
    </row>
    <row r="26" customFormat="false" ht="15" hidden="false" customHeight="false" outlineLevel="0" collapsed="false">
      <c r="A26" s="21" t="s">
        <v>126</v>
      </c>
      <c r="B26" s="22" t="n">
        <f aca="false">SUM(B5:B25)</f>
        <v>0</v>
      </c>
      <c r="C26" s="22" t="n">
        <f aca="false">SUM(C5:C25)</f>
        <v>0</v>
      </c>
      <c r="D26" s="22" t="n">
        <f aca="false">SUM(D5:D25)</f>
        <v>0</v>
      </c>
      <c r="E26" s="22" t="n">
        <f aca="false">SUM(E5:E25)</f>
        <v>0</v>
      </c>
    </row>
    <row r="28" customFormat="false" ht="16.4" hidden="false" customHeight="false" outlineLevel="0" collapsed="false">
      <c r="A28" s="23" t="s">
        <v>127</v>
      </c>
    </row>
    <row r="29" customFormat="false" ht="30" hidden="false" customHeight="true" outlineLevel="0" collapsed="false">
      <c r="A29" s="9" t="s">
        <v>48</v>
      </c>
      <c r="B29" s="10" t="s">
        <v>16</v>
      </c>
      <c r="C29" s="10" t="s">
        <v>18</v>
      </c>
      <c r="D29" s="9"/>
      <c r="E29" s="9"/>
      <c r="F29" s="10" t="s">
        <v>128</v>
      </c>
    </row>
    <row r="30" customFormat="false" ht="15" hidden="false" customHeight="false" outlineLevel="0" collapsed="false">
      <c r="A30" s="24" t="s">
        <v>129</v>
      </c>
      <c r="B30" s="22" t="n">
        <f aca="false">'2025-04'!D74+'2025-05'!D74+'2025-06'!D74+'2025-07'!D74+'2025-08'!D74+'2025-09'!D74+'2025-10'!D74+'2025-11'!D74+'2025-12'!D74+'2026-01'!D74+'2026-02'!D74+'2026-03'!D74+'2026-04'!D74+'2026-05'!D74+'2026-06'!D74+'2026-07'!D74+'2026-08'!D74+'2026-09'!D74+'2026-10'!D74+'2026-11'!D74+'2026-12'!D74</f>
        <v>0</v>
      </c>
      <c r="C30" s="22" t="n">
        <f aca="false">'2025-04'!E74+'2025-05'!E74+'2025-06'!E74+'2025-07'!E74+'2025-08'!E74+'2025-09'!E74+'2025-10'!E74+'2025-11'!E74+'2025-12'!E74+'2026-01'!E74+'2026-02'!E74+'2026-03'!E74+'2026-04'!E74+'2026-05'!E74+'2026-06'!E74+'2026-07'!E74+'2026-08'!E74+'2026-09'!E74+'2026-10'!E74+'2026-11'!E74+'2026-12'!E74</f>
        <v>0</v>
      </c>
      <c r="F30" s="6" t="s">
        <v>130</v>
      </c>
    </row>
    <row r="31" customFormat="false" ht="15" hidden="false" customHeight="false" outlineLevel="0" collapsed="false">
      <c r="A31" s="12" t="s">
        <v>131</v>
      </c>
      <c r="B31" s="20" t="n">
        <f aca="false">'2025-04'!D75+'2025-05'!D75+'2025-06'!D75+'2025-07'!D75+'2025-08'!D75+'2025-09'!D75+'2025-10'!D75+'2025-11'!D75+'2025-12'!D75+'2026-01'!D75+'2026-02'!D75+'2026-03'!D75+'2026-04'!D75+'2026-05'!D75+'2026-06'!D75+'2026-07'!D75+'2026-08'!D75+'2026-09'!D75+'2026-10'!D75+'2026-11'!D75+'2026-12'!D75</f>
        <v>0</v>
      </c>
      <c r="C31" s="20" t="n">
        <f aca="false">'2025-04'!E75+'2025-05'!E75+'2025-06'!E75+'2025-07'!E75+'2025-08'!E75+'2025-09'!E75+'2025-10'!E75+'2025-11'!E75+'2025-12'!E75+'2026-01'!E75+'2026-02'!E75+'2026-03'!E75+'2026-04'!E75+'2026-05'!E75+'2026-06'!E75+'2026-07'!E75+'2026-08'!E75+'2026-09'!E75+'2026-10'!E75+'2026-11'!E75+'2026-12'!E75</f>
        <v>0</v>
      </c>
      <c r="F31" s="6" t="s">
        <v>52</v>
      </c>
    </row>
    <row r="32" customFormat="false" ht="15" hidden="false" customHeight="false" outlineLevel="0" collapsed="false">
      <c r="A32" s="12" t="s">
        <v>132</v>
      </c>
      <c r="B32" s="20" t="n">
        <f aca="false">'2025-04'!D76+'2025-05'!D76+'2025-06'!D76+'2025-07'!D76+'2025-08'!D76+'2025-09'!D76+'2025-10'!D76+'2025-11'!D76+'2025-12'!D76+'2026-01'!D76+'2026-02'!D76+'2026-03'!D76+'2026-04'!D76+'2026-05'!D76+'2026-06'!D76+'2026-07'!D76+'2026-08'!D76+'2026-09'!D76+'2026-10'!D76+'2026-11'!D76+'2026-12'!D76</f>
        <v>0</v>
      </c>
      <c r="C32" s="20" t="n">
        <f aca="false">'2025-04'!E76+'2025-05'!E76+'2025-06'!E76+'2025-07'!E76+'2025-08'!E76+'2025-09'!E76+'2025-10'!E76+'2025-11'!E76+'2025-12'!E76+'2026-01'!E76+'2026-02'!E76+'2026-03'!E76+'2026-04'!E76+'2026-05'!E76+'2026-06'!E76+'2026-07'!E76+'2026-08'!E76+'2026-09'!E76+'2026-10'!E76+'2026-11'!E76+'2026-12'!E76</f>
        <v>0</v>
      </c>
      <c r="F32" s="6" t="s">
        <v>54</v>
      </c>
    </row>
    <row r="33" customFormat="false" ht="15" hidden="false" customHeight="false" outlineLevel="0" collapsed="false">
      <c r="A33" s="12" t="s">
        <v>133</v>
      </c>
      <c r="B33" s="20" t="n">
        <f aca="false">'2025-04'!D77+'2025-05'!D77+'2025-06'!D77+'2025-07'!D77+'2025-08'!D77+'2025-09'!D77+'2025-10'!D77+'2025-11'!D77+'2025-12'!D77+'2026-01'!D77+'2026-02'!D77+'2026-03'!D77+'2026-04'!D77+'2026-05'!D77+'2026-06'!D77+'2026-07'!D77+'2026-08'!D77+'2026-09'!D77+'2026-10'!D77+'2026-11'!D77+'2026-12'!D77</f>
        <v>0</v>
      </c>
      <c r="C33" s="20" t="n">
        <f aca="false">'2025-04'!E77+'2025-05'!E77+'2025-06'!E77+'2025-07'!E77+'2025-08'!E77+'2025-09'!E77+'2025-10'!E77+'2025-11'!E77+'2025-12'!E77+'2026-01'!E77+'2026-02'!E77+'2026-03'!E77+'2026-04'!E77+'2026-05'!E77+'2026-06'!E77+'2026-07'!E77+'2026-08'!E77+'2026-09'!E77+'2026-10'!E77+'2026-11'!E77+'2026-12'!E77</f>
        <v>0</v>
      </c>
      <c r="F33" s="6" t="s">
        <v>56</v>
      </c>
    </row>
    <row r="34" customFormat="false" ht="15" hidden="false" customHeight="false" outlineLevel="0" collapsed="false">
      <c r="A34" s="12" t="s">
        <v>134</v>
      </c>
      <c r="B34" s="20" t="n">
        <f aca="false">'2025-04'!D78+'2025-05'!D78+'2025-06'!D78+'2025-07'!D78+'2025-08'!D78+'2025-09'!D78+'2025-10'!D78+'2025-11'!D78+'2025-12'!D78+'2026-01'!D78+'2026-02'!D78+'2026-03'!D78+'2026-04'!D78+'2026-05'!D78+'2026-06'!D78+'2026-07'!D78+'2026-08'!D78+'2026-09'!D78+'2026-10'!D78+'2026-11'!D78+'2026-12'!D78</f>
        <v>0</v>
      </c>
      <c r="C34" s="20" t="n">
        <f aca="false">'2025-04'!E78+'2025-05'!E78+'2025-06'!E78+'2025-07'!E78+'2025-08'!E78+'2025-09'!E78+'2025-10'!E78+'2025-11'!E78+'2025-12'!E78+'2026-01'!E78+'2026-02'!E78+'2026-03'!E78+'2026-04'!E78+'2026-05'!E78+'2026-06'!E78+'2026-07'!E78+'2026-08'!E78+'2026-09'!E78+'2026-10'!E78+'2026-11'!E78+'2026-12'!E78</f>
        <v>0</v>
      </c>
      <c r="F34" s="6" t="s">
        <v>58</v>
      </c>
    </row>
    <row r="35" customFormat="false" ht="15" hidden="false" customHeight="false" outlineLevel="0" collapsed="false">
      <c r="A35" s="12" t="s">
        <v>135</v>
      </c>
      <c r="B35" s="20" t="n">
        <f aca="false">'2025-04'!D79+'2025-05'!D79+'2025-06'!D79+'2025-07'!D79+'2025-08'!D79+'2025-09'!D79+'2025-10'!D79+'2025-11'!D79+'2025-12'!D79+'2026-01'!D79+'2026-02'!D79+'2026-03'!D79+'2026-04'!D79+'2026-05'!D79+'2026-06'!D79+'2026-07'!D79+'2026-08'!D79+'2026-09'!D79+'2026-10'!D79+'2026-11'!D79+'2026-12'!D79</f>
        <v>0</v>
      </c>
      <c r="C35" s="20" t="n">
        <f aca="false">'2025-04'!E79+'2025-05'!E79+'2025-06'!E79+'2025-07'!E79+'2025-08'!E79+'2025-09'!E79+'2025-10'!E79+'2025-11'!E79+'2025-12'!E79+'2026-01'!E79+'2026-02'!E79+'2026-03'!E79+'2026-04'!E79+'2026-05'!E79+'2026-06'!E79+'2026-07'!E79+'2026-08'!E79+'2026-09'!E79+'2026-10'!E79+'2026-11'!E79+'2026-12'!E79</f>
        <v>0</v>
      </c>
      <c r="F35" s="6" t="s">
        <v>60</v>
      </c>
    </row>
    <row r="36" customFormat="false" ht="15" hidden="false" customHeight="false" outlineLevel="0" collapsed="false">
      <c r="A36" s="12" t="s">
        <v>136</v>
      </c>
      <c r="B36" s="20" t="n">
        <f aca="false">'2025-04'!D80+'2025-05'!D80+'2025-06'!D80+'2025-07'!D80+'2025-08'!D80+'2025-09'!D80+'2025-10'!D80+'2025-11'!D80+'2025-12'!D80+'2026-01'!D80+'2026-02'!D80+'2026-03'!D80+'2026-04'!D80+'2026-05'!D80+'2026-06'!D80+'2026-07'!D80+'2026-08'!D80+'2026-09'!D80+'2026-10'!D80+'2026-11'!D80+'2026-12'!D80</f>
        <v>0</v>
      </c>
      <c r="C36" s="20" t="n">
        <f aca="false">'2025-04'!E80+'2025-05'!E80+'2025-06'!E80+'2025-07'!E80+'2025-08'!E80+'2025-09'!E80+'2025-10'!E80+'2025-11'!E80+'2025-12'!E80+'2026-01'!E80+'2026-02'!E80+'2026-03'!E80+'2026-04'!E80+'2026-05'!E80+'2026-06'!E80+'2026-07'!E80+'2026-08'!E80+'2026-09'!E80+'2026-10'!E80+'2026-11'!E80+'2026-12'!E80</f>
        <v>0</v>
      </c>
      <c r="F36" s="6" t="s">
        <v>62</v>
      </c>
    </row>
    <row r="37" customFormat="false" ht="15" hidden="false" customHeight="false" outlineLevel="0" collapsed="false">
      <c r="A37" s="12" t="s">
        <v>137</v>
      </c>
      <c r="B37" s="20" t="n">
        <f aca="false">'2025-04'!D81+'2025-05'!D81+'2025-06'!D81+'2025-07'!D81+'2025-08'!D81+'2025-09'!D81+'2025-10'!D81+'2025-11'!D81+'2025-12'!D81+'2026-01'!D81+'2026-02'!D81+'2026-03'!D81+'2026-04'!D81+'2026-05'!D81+'2026-06'!D81+'2026-07'!D81+'2026-08'!D81+'2026-09'!D81+'2026-10'!D81+'2026-11'!D81+'2026-12'!D81</f>
        <v>0</v>
      </c>
      <c r="C37" s="20" t="n">
        <f aca="false">'2025-04'!E81+'2025-05'!E81+'2025-06'!E81+'2025-07'!E81+'2025-08'!E81+'2025-09'!E81+'2025-10'!E81+'2025-11'!E81+'2025-12'!E81+'2026-01'!E81+'2026-02'!E81+'2026-03'!E81+'2026-04'!E81+'2026-05'!E81+'2026-06'!E81+'2026-07'!E81+'2026-08'!E81+'2026-09'!E81+'2026-10'!E81+'2026-11'!E81+'2026-12'!E81</f>
        <v>0</v>
      </c>
      <c r="F37" s="6" t="s">
        <v>64</v>
      </c>
    </row>
    <row r="38" customFormat="false" ht="15" hidden="false" customHeight="false" outlineLevel="0" collapsed="false">
      <c r="A38" s="12" t="s">
        <v>138</v>
      </c>
      <c r="B38" s="20" t="n">
        <f aca="false">'2025-04'!D82+'2025-05'!D82+'2025-06'!D82+'2025-07'!D82+'2025-08'!D82+'2025-09'!D82+'2025-10'!D82+'2025-11'!D82+'2025-12'!D82+'2026-01'!D82+'2026-02'!D82+'2026-03'!D82+'2026-04'!D82+'2026-05'!D82+'2026-06'!D82+'2026-07'!D82+'2026-08'!D82+'2026-09'!D82+'2026-10'!D82+'2026-11'!D82+'2026-12'!D82</f>
        <v>0</v>
      </c>
      <c r="C38" s="20" t="n">
        <f aca="false">'2025-04'!E82+'2025-05'!E82+'2025-06'!E82+'2025-07'!E82+'2025-08'!E82+'2025-09'!E82+'2025-10'!E82+'2025-11'!E82+'2025-12'!E82+'2026-01'!E82+'2026-02'!E82+'2026-03'!E82+'2026-04'!E82+'2026-05'!E82+'2026-06'!E82+'2026-07'!E82+'2026-08'!E82+'2026-09'!E82+'2026-10'!E82+'2026-11'!E82+'2026-12'!E82</f>
        <v>0</v>
      </c>
      <c r="F38" s="6" t="s">
        <v>66</v>
      </c>
    </row>
    <row r="39" customFormat="false" ht="15" hidden="false" customHeight="false" outlineLevel="0" collapsed="false">
      <c r="A39" s="12" t="s">
        <v>139</v>
      </c>
      <c r="B39" s="20" t="n">
        <f aca="false">'2025-04'!D83+'2025-05'!D83+'2025-06'!D83+'2025-07'!D83+'2025-08'!D83+'2025-09'!D83+'2025-10'!D83+'2025-11'!D83+'2025-12'!D83+'2026-01'!D83+'2026-02'!D83+'2026-03'!D83+'2026-04'!D83+'2026-05'!D83+'2026-06'!D83+'2026-07'!D83+'2026-08'!D83+'2026-09'!D83+'2026-10'!D83+'2026-11'!D83+'2026-12'!D83</f>
        <v>0</v>
      </c>
      <c r="C39" s="20" t="n">
        <f aca="false">'2025-04'!E83+'2025-05'!E83+'2025-06'!E83+'2025-07'!E83+'2025-08'!E83+'2025-09'!E83+'2025-10'!E83+'2025-11'!E83+'2025-12'!E83+'2026-01'!E83+'2026-02'!E83+'2026-03'!E83+'2026-04'!E83+'2026-05'!E83+'2026-06'!E83+'2026-07'!E83+'2026-08'!E83+'2026-09'!E83+'2026-10'!E83+'2026-11'!E83+'2026-12'!E83</f>
        <v>0</v>
      </c>
      <c r="F39" s="6" t="s">
        <v>68</v>
      </c>
    </row>
    <row r="40" customFormat="false" ht="15" hidden="false" customHeight="false" outlineLevel="0" collapsed="false">
      <c r="A40" s="12" t="s">
        <v>140</v>
      </c>
      <c r="B40" s="20" t="n">
        <f aca="false">'2025-04'!D84+'2025-05'!D84+'2025-06'!D84+'2025-07'!D84+'2025-08'!D84+'2025-09'!D84+'2025-10'!D84+'2025-11'!D84+'2025-12'!D84+'2026-01'!D84+'2026-02'!D84+'2026-03'!D84+'2026-04'!D84+'2026-05'!D84+'2026-06'!D84+'2026-07'!D84+'2026-08'!D84+'2026-09'!D84+'2026-10'!D84+'2026-11'!D84+'2026-12'!D84</f>
        <v>0</v>
      </c>
      <c r="C40" s="20" t="n">
        <f aca="false">'2025-04'!E84+'2025-05'!E84+'2025-06'!E84+'2025-07'!E84+'2025-08'!E84+'2025-09'!E84+'2025-10'!E84+'2025-11'!E84+'2025-12'!E84+'2026-01'!E84+'2026-02'!E84+'2026-03'!E84+'2026-04'!E84+'2026-05'!E84+'2026-06'!E84+'2026-07'!E84+'2026-08'!E84+'2026-09'!E84+'2026-10'!E84+'2026-11'!E84+'2026-12'!E84</f>
        <v>0</v>
      </c>
      <c r="F40" s="6" t="s">
        <v>70</v>
      </c>
    </row>
    <row r="41" customFormat="false" ht="15" hidden="false" customHeight="false" outlineLevel="0" collapsed="false">
      <c r="A41" s="12" t="s">
        <v>141</v>
      </c>
      <c r="B41" s="20" t="n">
        <f aca="false">'2025-04'!D85+'2025-05'!D85+'2025-06'!D85+'2025-07'!D85+'2025-08'!D85+'2025-09'!D85+'2025-10'!D85+'2025-11'!D85+'2025-12'!D85+'2026-01'!D85+'2026-02'!D85+'2026-03'!D85+'2026-04'!D85+'2026-05'!D85+'2026-06'!D85+'2026-07'!D85+'2026-08'!D85+'2026-09'!D85+'2026-10'!D85+'2026-11'!D85+'2026-12'!D85</f>
        <v>0</v>
      </c>
      <c r="C41" s="20" t="n">
        <f aca="false">'2025-04'!E85+'2025-05'!E85+'2025-06'!E85+'2025-07'!E85+'2025-08'!E85+'2025-09'!E85+'2025-10'!E85+'2025-11'!E85+'2025-12'!E85+'2026-01'!E85+'2026-02'!E85+'2026-03'!E85+'2026-04'!E85+'2026-05'!E85+'2026-06'!E85+'2026-07'!E85+'2026-08'!E85+'2026-09'!E85+'2026-10'!E85+'2026-11'!E85+'2026-12'!E85</f>
        <v>0</v>
      </c>
      <c r="F41" s="6" t="s">
        <v>72</v>
      </c>
    </row>
    <row r="42" customFormat="false" ht="15" hidden="false" customHeight="false" outlineLevel="0" collapsed="false">
      <c r="A42" s="12" t="s">
        <v>142</v>
      </c>
      <c r="B42" s="20" t="n">
        <f aca="false">'2025-04'!D86+'2025-05'!D86+'2025-06'!D86+'2025-07'!D86+'2025-08'!D86+'2025-09'!D86+'2025-10'!D86+'2025-11'!D86+'2025-12'!D86+'2026-01'!D86+'2026-02'!D86+'2026-03'!D86+'2026-04'!D86+'2026-05'!D86+'2026-06'!D86+'2026-07'!D86+'2026-08'!D86+'2026-09'!D86+'2026-10'!D86+'2026-11'!D86+'2026-12'!D86</f>
        <v>0</v>
      </c>
      <c r="C42" s="20" t="n">
        <f aca="false">'2025-04'!E86+'2025-05'!E86+'2025-06'!E86+'2025-07'!E86+'2025-08'!E86+'2025-09'!E86+'2025-10'!E86+'2025-11'!E86+'2025-12'!E86+'2026-01'!E86+'2026-02'!E86+'2026-03'!E86+'2026-04'!E86+'2026-05'!E86+'2026-06'!E86+'2026-07'!E86+'2026-08'!E86+'2026-09'!E86+'2026-10'!E86+'2026-11'!E86+'2026-12'!E86</f>
        <v>0</v>
      </c>
      <c r="F42" s="6" t="s">
        <v>72</v>
      </c>
    </row>
    <row r="43" customFormat="false" ht="15" hidden="false" customHeight="false" outlineLevel="0" collapsed="false">
      <c r="A43" s="24" t="s">
        <v>143</v>
      </c>
      <c r="B43" s="22" t="n">
        <f aca="false">SUM(B31:B42)</f>
        <v>0</v>
      </c>
      <c r="C43" s="22" t="n">
        <f aca="false">SUM(C31:C42)</f>
        <v>0</v>
      </c>
      <c r="F43" s="2" t="s">
        <v>144</v>
      </c>
    </row>
    <row r="44" customFormat="false" ht="15" hidden="false" customHeight="false" outlineLevel="0" collapsed="false">
      <c r="A44" s="24" t="s">
        <v>145</v>
      </c>
      <c r="B44" s="22" t="n">
        <f aca="false">'2025-04'!D87+'2025-05'!D87+'2025-06'!D87+'2025-07'!D87+'2025-08'!D87+'2025-09'!D87+'2025-10'!D87+'2025-11'!D87+'2025-12'!D87+'2026-01'!D87+'2026-02'!D87+'2026-03'!D87+'2026-04'!D87+'2026-05'!D87+'2026-06'!D87+'2026-07'!D87+'2026-08'!D87+'2026-09'!D87+'2026-10'!D87+'2026-11'!D87+'2026-12'!D87</f>
        <v>0</v>
      </c>
      <c r="C44" s="22" t="n">
        <f aca="false">'2025-04'!E87+'2025-05'!E87+'2025-06'!E87+'2025-07'!E87+'2025-08'!E87+'2025-09'!E87+'2025-10'!E87+'2025-11'!E87+'2025-12'!E87+'2026-01'!E87+'2026-02'!E87+'2026-03'!E87+'2026-04'!E87+'2026-05'!E87+'2026-06'!E87+'2026-07'!E87+'2026-08'!E87+'2026-09'!E87+'2026-10'!E87+'2026-11'!E87+'2026-12'!E87</f>
        <v>0</v>
      </c>
      <c r="F44" s="6" t="s">
        <v>75</v>
      </c>
    </row>
    <row r="45" customFormat="false" ht="15" hidden="false" customHeight="false" outlineLevel="0" collapsed="false">
      <c r="A45" s="24" t="s">
        <v>146</v>
      </c>
      <c r="B45" s="22" t="n">
        <f aca="false">B30-B43-B44</f>
        <v>0</v>
      </c>
      <c r="C45" s="22" t="n">
        <f aca="false">C30-C43-C44</f>
        <v>0</v>
      </c>
      <c r="F45" s="2" t="s">
        <v>147</v>
      </c>
    </row>
    <row r="47" customFormat="false" ht="15" hidden="false" customHeight="false" outlineLevel="0" collapsed="false">
      <c r="A47" s="23" t="s">
        <v>148</v>
      </c>
    </row>
    <row r="48" customFormat="false" ht="15" hidden="false" customHeight="false" outlineLevel="0" collapsed="false">
      <c r="A48" s="19" t="s">
        <v>149</v>
      </c>
      <c r="B48" s="25" t="str">
        <f aca="false">IF(B30=0,"-",IF(B43+B44&lt;1000,"£1,000控除が有利","実費経費が有利"))</f>
        <v>-</v>
      </c>
      <c r="C48" s="25" t="str">
        <f aca="false">IF(C30=0,"-",IF(C43+C44&lt;1000,"£1,000控除が有利","実費経費が有利"))</f>
        <v>-</v>
      </c>
      <c r="F48" s="2" t="s">
        <v>150</v>
      </c>
    </row>
    <row r="49" customFormat="false" ht="15" hidden="false" customHeight="false" outlineLevel="0" collapsed="false">
      <c r="A49" s="19" t="s">
        <v>151</v>
      </c>
      <c r="B49" s="25" t="str">
        <f aca="false">IF(B30&lt;90000,"使える（£90,000未満）","SA103F（完全版）")</f>
        <v>使える（£90,000未満）</v>
      </c>
      <c r="C49" s="25" t="str">
        <f aca="false">IF(C30&lt;90000,"使える（£90,000未満）","SA103F（完全版）")</f>
        <v>使える（£90,000未満）</v>
      </c>
    </row>
    <row r="50" customFormat="false" ht="15" hidden="false" customHeight="false" outlineLevel="0" collapsed="false">
      <c r="A50" s="12" t="s">
        <v>152</v>
      </c>
      <c r="B50" s="20" t="n">
        <f aca="false">'2025-04'!D91+'2025-05'!D91+'2025-06'!D91+'2025-07'!D91+'2025-08'!D91+'2025-09'!D91+'2025-10'!D91+'2025-11'!D91+'2025-12'!D91+'2026-01'!D91+'2026-02'!D91+'2026-03'!D91+'2026-04'!D91+'2026-05'!D91+'2026-06'!D91+'2026-07'!D91+'2026-08'!D91+'2026-09'!D91+'2026-10'!D91+'2026-11'!D91+'2026-12'!D91</f>
        <v>0</v>
      </c>
      <c r="F50" s="6" t="s">
        <v>153</v>
      </c>
    </row>
    <row r="51" customFormat="false" ht="15" hidden="false" customHeight="false" outlineLevel="0" collapsed="false">
      <c r="A51" s="12" t="s">
        <v>154</v>
      </c>
      <c r="B51" s="26" t="n">
        <f aca="false">'2025-04'!D92+'2025-05'!D92+'2025-06'!D92+'2025-07'!D92+'2025-08'!D92+'2025-09'!D92+'2025-10'!D92+'2025-11'!D92+'2025-12'!D92+'2026-01'!D92+'2026-02'!D92+'2026-03'!D92+'2026-04'!D92+'2026-05'!D92+'2026-06'!D92+'2026-07'!D92+'2026-08'!D92+'2026-09'!D92+'2026-10'!D92+'2026-11'!D92+'2026-12'!D92</f>
        <v>0</v>
      </c>
      <c r="F51" s="6" t="s">
        <v>155</v>
      </c>
    </row>
    <row r="52" customFormat="false" ht="15" hidden="false" customHeight="false" outlineLevel="0" collapsed="false">
      <c r="A52" s="12" t="s">
        <v>156</v>
      </c>
      <c r="B52" s="26" t="n">
        <f aca="false">'2025-04'!D93+'2025-05'!D93+'2025-06'!D93+'2025-07'!D93+'2025-08'!D93+'2025-09'!D93+'2025-10'!D93+'2025-11'!D93+'2025-12'!D93+'2026-01'!D93+'2026-02'!D93+'2026-03'!D93+'2026-04'!D93+'2026-05'!D93+'2026-06'!D93+'2026-07'!D93+'2026-08'!D93+'2026-09'!D93+'2026-10'!D93+'2026-11'!D93+'2026-12'!D93</f>
        <v>0</v>
      </c>
      <c r="F52" s="2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8" t="s">
        <v>158</v>
      </c>
    </row>
    <row r="3" customFormat="false" ht="30" hidden="false" customHeight="true" outlineLevel="0" collapsed="false">
      <c r="A3" s="9" t="s">
        <v>159</v>
      </c>
      <c r="B3" s="10" t="s">
        <v>16</v>
      </c>
      <c r="C3" s="10" t="s">
        <v>18</v>
      </c>
      <c r="D3" s="9" t="s">
        <v>160</v>
      </c>
    </row>
    <row r="4" customFormat="false" ht="15" hidden="false" customHeight="false" outlineLevel="0" collapsed="false">
      <c r="A4" s="12" t="s">
        <v>161</v>
      </c>
      <c r="B4" s="20" t="n">
        <f aca="false">年度集計!B45</f>
        <v>0</v>
      </c>
      <c r="C4" s="20" t="n">
        <f aca="false">年度集計!C45</f>
        <v>0</v>
      </c>
      <c r="D4" s="4" t="s">
        <v>162</v>
      </c>
    </row>
    <row r="5" customFormat="false" ht="15" hidden="false" customHeight="false" outlineLevel="0" collapsed="false">
      <c r="A5" s="12" t="s">
        <v>163</v>
      </c>
      <c r="B5" s="27" t="n">
        <v>0</v>
      </c>
      <c r="C5" s="27" t="n">
        <v>0</v>
      </c>
      <c r="D5" s="4" t="s">
        <v>164</v>
      </c>
    </row>
    <row r="6" customFormat="false" ht="15" hidden="false" customHeight="false" outlineLevel="0" collapsed="false">
      <c r="A6" s="12" t="s">
        <v>165</v>
      </c>
      <c r="B6" s="27" t="n">
        <v>0</v>
      </c>
      <c r="C6" s="27" t="n">
        <v>0</v>
      </c>
      <c r="D6" s="5" t="s">
        <v>166</v>
      </c>
    </row>
    <row r="7" customFormat="false" ht="15" hidden="false" customHeight="false" outlineLevel="0" collapsed="false">
      <c r="A7" s="12" t="s">
        <v>167</v>
      </c>
      <c r="B7" s="27" t="n">
        <v>0</v>
      </c>
      <c r="C7" s="27" t="n">
        <v>0</v>
      </c>
      <c r="D7" s="4" t="s">
        <v>168</v>
      </c>
    </row>
    <row r="8" customFormat="false" ht="15" hidden="false" customHeight="false" outlineLevel="0" collapsed="false">
      <c r="A8" s="12" t="s">
        <v>169</v>
      </c>
      <c r="B8" s="20" t="n">
        <f aca="false">MAX(0,B4)+B5+B7</f>
        <v>0</v>
      </c>
      <c r="C8" s="20" t="n">
        <f aca="false">MAX(0,C4)+C5+C7</f>
        <v>0</v>
      </c>
      <c r="D8" s="4"/>
    </row>
    <row r="9" customFormat="false" ht="15" hidden="false" customHeight="false" outlineLevel="0" collapsed="false">
      <c r="A9" s="19" t="s">
        <v>170</v>
      </c>
      <c r="B9" s="20" t="n">
        <f aca="false">MAX(0,12570-MAX(0,ROUNDDOWN((B8-100000)/2,0)))</f>
        <v>12570</v>
      </c>
      <c r="C9" s="20" t="n">
        <f aca="false">MAX(0,12570-MAX(0,ROUNDDOWN((C8-100000)/2,0)))</f>
        <v>12570</v>
      </c>
      <c r="D9" s="5" t="s">
        <v>171</v>
      </c>
    </row>
    <row r="10" customFormat="false" ht="15" hidden="false" customHeight="false" outlineLevel="0" collapsed="false">
      <c r="A10" s="12" t="s">
        <v>172</v>
      </c>
      <c r="B10" s="20" t="n">
        <f aca="false">MAX(0,B8-B9)</f>
        <v>0</v>
      </c>
      <c r="C10" s="20" t="n">
        <f aca="false">MAX(0,C8-C9)</f>
        <v>0</v>
      </c>
      <c r="D10" s="4"/>
    </row>
    <row r="11" customFormat="false" ht="15" hidden="false" customHeight="false" outlineLevel="0" collapsed="false">
      <c r="A11" s="12" t="s">
        <v>173</v>
      </c>
      <c r="B11" s="20" t="n">
        <f aca="false">ROUND(MIN(B10,37700)*0.2+MAX(0,MIN(B10,125140)-37700)*0.4+MAX(0,B10-125140)*0.45,2)</f>
        <v>0</v>
      </c>
      <c r="C11" s="20" t="n">
        <f aca="false">ROUND(MIN(C10,37700)*0.2+MAX(0,MIN(C10,125140)-37700)*0.4+MAX(0,C10-125140)*0.45,2)</f>
        <v>0</v>
      </c>
      <c r="D11" s="5" t="s">
        <v>174</v>
      </c>
    </row>
    <row r="12" customFormat="false" ht="15" hidden="false" customHeight="false" outlineLevel="0" collapsed="false">
      <c r="A12" s="19" t="s">
        <v>175</v>
      </c>
      <c r="B12" s="20" t="n">
        <f aca="false">ROUND(MAX(0,MIN(B4,50270)-12570)*0.06+MAX(0,B4-50270)*0.02,2)</f>
        <v>0</v>
      </c>
      <c r="C12" s="20" t="n">
        <f aca="false">ROUND(MAX(0,MIN(C4,50270)-12570)*0.06+MAX(0,C4-50270)*0.02,2)</f>
        <v>0</v>
      </c>
      <c r="D12" s="4" t="s">
        <v>176</v>
      </c>
    </row>
    <row r="13" customFormat="false" ht="15" hidden="false" customHeight="false" outlineLevel="0" collapsed="false">
      <c r="A13" s="21" t="s">
        <v>177</v>
      </c>
      <c r="B13" s="22" t="n">
        <f aca="false">B11+B12</f>
        <v>0</v>
      </c>
      <c r="C13" s="22" t="n">
        <f aca="false">C11+C12</f>
        <v>0</v>
      </c>
      <c r="D13" s="4"/>
    </row>
    <row r="14" customFormat="false" ht="15" hidden="false" customHeight="false" outlineLevel="0" collapsed="false">
      <c r="A14" s="24" t="s">
        <v>178</v>
      </c>
      <c r="B14" s="22" t="n">
        <f aca="false">B13-B6</f>
        <v>0</v>
      </c>
      <c r="C14" s="22" t="n">
        <f aca="false">C13-C6</f>
        <v>0</v>
      </c>
      <c r="D14" s="4" t="s">
        <v>179</v>
      </c>
    </row>
    <row r="15" customFormat="false" ht="26.85" hidden="false" customHeight="false" outlineLevel="0" collapsed="false">
      <c r="A15" s="12" t="s">
        <v>180</v>
      </c>
      <c r="B15" s="25" t="str">
        <f aca="false">IF(AND(B14&gt;1000,B6&lt;B13*0.8),"対象の可能性大","おそらく対象外")</f>
        <v>おそらく対象外</v>
      </c>
      <c r="C15" s="25" t="str">
        <f aca="false">IF(AND(C14&gt;1000,C6&lt;C13*0.8),"対象の可能性大","おそらく対象外")</f>
        <v>おそらく対象外</v>
      </c>
      <c r="D15" s="4" t="s">
        <v>181</v>
      </c>
    </row>
    <row r="17" customFormat="false" ht="15" hidden="false" customHeight="false" outlineLevel="0" collapsed="false">
      <c r="A17" s="28" t="s">
        <v>182</v>
      </c>
    </row>
    <row r="18" customFormat="false" ht="15" hidden="false" customHeight="false" outlineLevel="0" collapsed="false">
      <c r="A18" s="28" t="s">
        <v>183</v>
      </c>
    </row>
    <row r="19" customFormat="false" ht="15" hidden="false" customHeight="false" outlineLevel="0" collapsed="false">
      <c r="A19" s="7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="このタブは2025年4月です。年や月が正しいか確認してください" errorStyle="warning" operator="between" showDropDown="false" showErrorMessage="true" showInputMessage="false" sqref="A6:A25 A30:A69" type="date">
      <formula1>DATE(2025,4,1)</formula1>
      <formula2>DATE(2025,4,30)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5月です。年や月が正しいか確認してください" errorStyle="warning" operator="between" showDropDown="false" showErrorMessage="true" showInputMessage="false" sqref="A6:A25 A30:A69" type="date">
      <formula1>DATE(2025,5,1)</formula1>
      <formula2>DATE(2025,5,31)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6月です。年や月が正しいか確認してください" errorStyle="warning" operator="between" showDropDown="false" showErrorMessage="true" showInputMessage="false" sqref="A6:A25 A30:A69" type="date">
      <formula1>DATE(2025,6,1)</formula1>
      <formula2>DATE(2025,6,30)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7月です。年や月が正しいか確認してください" errorStyle="warning" operator="between" showDropDown="false" showErrorMessage="true" showInputMessage="false" sqref="A6:A25 A30:A69" type="date">
      <formula1>DATE(2025,7,1)</formula1>
      <formula2>DATE(2025,7,31)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8月です。年や月が正しいか確認してください" errorStyle="warning" operator="between" showDropDown="false" showErrorMessage="true" showInputMessage="false" sqref="A6:A25 A30:A69" type="date">
      <formula1>DATE(2025,8,1)</formula1>
      <formula2>DATE(2025,8,31)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9月です。年や月が正しいか確認してください" errorStyle="warning" operator="between" showDropDown="false" showErrorMessage="true" showInputMessage="false" sqref="A6:A25 A30:A69" type="date">
      <formula1>DATE(2025,9,1)</formula1>
      <formula2>DATE(2025,9,30)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10月です。年や月が正しいか確認してください" errorStyle="warning" operator="between" showDropDown="false" showErrorMessage="true" showInputMessage="false" sqref="A6:A25 A30:A69" type="date">
      <formula1>DATE(2025,10,1)</formula1>
      <formula2>DATE(2025,10,31)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11月です。年や月が正しいか確認してください" errorStyle="warning" operator="between" showDropDown="false" showErrorMessage="true" showInputMessage="false" sqref="A6:A25 A30:A69" type="date">
      <formula1>DATE(2025,11,1)</formula1>
      <formula2>DATE(2025,11,30)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5年12月です。年や月が正しいか確認してください" errorStyle="warning" operator="between" showDropDown="false" showErrorMessage="true" showInputMessage="false" sqref="A6:A25 A30:A69" type="date">
      <formula1>DATE(2025,12,1)</formula1>
      <formula2>DATE(2025,12,31)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1月です。年や月が正しいか確認してください" errorStyle="warning" operator="between" showDropDown="false" showErrorMessage="true" showInputMessage="false" sqref="A6:A25 A30:A69" type="date">
      <formula1>DATE(2026,1,1)</formula1>
      <formula2>DATE(2026,1,31)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2月です。年や月が正しいか確認してください" errorStyle="warning" operator="between" showDropDown="false" showErrorMessage="true" showInputMessage="false" sqref="A6:A25 A30:A69" type="date">
      <formula1>DATE(2026,2,1)</formula1>
      <formula2>DATE(2026,2,28)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3月です。年や月が正しいか確認してください" errorStyle="warning" operator="between" showDropDown="false" showErrorMessage="true" showInputMessage="false" sqref="A6:A25 A30:A69" type="date">
      <formula1>DATE(2026,3,1)</formula1>
      <formula2>DATE(2026,3,31)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4月です。年や月が正しいか確認してください" errorStyle="warning" operator="between" showDropDown="false" showErrorMessage="true" showInputMessage="false" sqref="A6:A25 A30:A69" type="date">
      <formula1>DATE(2026,4,1)</formula1>
      <formula2>DATE(2026,4,30)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5月です。年や月が正しいか確認してください" errorStyle="warning" operator="between" showDropDown="false" showErrorMessage="true" showInputMessage="false" sqref="A6:A25 A30:A69" type="date">
      <formula1>DATE(2026,5,1)</formula1>
      <formula2>DATE(2026,5,31)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6月です。年や月が正しいか確認してください" errorStyle="warning" operator="between" showDropDown="false" showErrorMessage="true" showInputMessage="false" sqref="A6:A25 A30:A69" type="date">
      <formula1>DATE(2026,6,1)</formula1>
      <formula2>DATE(2026,6,30)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7月です。年や月が正しいか確認してください" errorStyle="warning" operator="between" showDropDown="false" showErrorMessage="true" showInputMessage="false" sqref="A6:A25 A30:A69" type="date">
      <formula1>DATE(2026,7,1)</formula1>
      <formula2>DATE(2026,7,31)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229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8月です。年や月が正しいか確認してください" errorStyle="warning" operator="between" showDropDown="false" showErrorMessage="true" showInputMessage="false" sqref="A6:A25 A30:A69" type="date">
      <formula1>DATE(2026,8,1)</formula1>
      <formula2>DATE(2026,8,31)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9月です。年や月が正しいか確認してください" errorStyle="warning" operator="between" showDropDown="false" showErrorMessage="true" showInputMessage="false" sqref="A6:A25 A30:A69" type="date">
      <formula1>DATE(2026,9,1)</formula1>
      <formula2>DATE(2026,9,30)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231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10月です。年や月が正しいか確認してください" errorStyle="warning" operator="between" showDropDown="false" showErrorMessage="true" showInputMessage="false" sqref="A6:A25 A30:A69" type="date">
      <formula1>DATE(2026,10,1)</formula1>
      <formula2>DATE(2026,10,31)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11月です。年や月が正しいか確認してください" errorStyle="warning" operator="between" showDropDown="false" showErrorMessage="true" showInputMessage="false" sqref="A6:A25 A30:A69" type="date">
      <formula1>DATE(2026,11,1)</formula1>
      <formula2>DATE(2026,11,30)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233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29" t="s">
        <v>187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</row>
    <row r="5" customFormat="false" ht="30" hidden="false" customHeight="true" outlineLevel="0" collapsed="false">
      <c r="A5" s="9" t="s">
        <v>86</v>
      </c>
      <c r="B5" s="9" t="s">
        <v>188</v>
      </c>
      <c r="C5" s="9" t="s">
        <v>189</v>
      </c>
      <c r="D5" s="9" t="s">
        <v>190</v>
      </c>
      <c r="E5" s="9" t="s">
        <v>32</v>
      </c>
      <c r="F5" s="9" t="s">
        <v>191</v>
      </c>
      <c r="G5" s="9" t="s">
        <v>192</v>
      </c>
      <c r="H5" s="9" t="s">
        <v>193</v>
      </c>
      <c r="I5" s="9" t="s">
        <v>194</v>
      </c>
      <c r="J5" s="9" t="s">
        <v>195</v>
      </c>
      <c r="K5" s="9" t="s">
        <v>196</v>
      </c>
      <c r="L5" s="9" t="s">
        <v>197</v>
      </c>
      <c r="M5" s="9" t="s">
        <v>198</v>
      </c>
    </row>
    <row r="6" customFormat="false" ht="15" hidden="false" customHeight="false" outlineLevel="0" collapsed="false">
      <c r="A6" s="31"/>
      <c r="B6" s="15"/>
      <c r="C6" s="15"/>
      <c r="D6" s="15"/>
      <c r="E6" s="15"/>
      <c r="F6" s="13"/>
      <c r="G6" s="27"/>
      <c r="H6" s="32"/>
      <c r="I6" s="33" t="str">
        <f aca="false">IF(OR(E6="",E6="GBP"),"",IF(H6&lt;&gt;"",H6,IFERROR(1/(1/INDEX(日次レート!$C$5:$D$644,MATCH(A6,日次レート!$A$5:$A$644,0),IF(E6="JPY",1,2))),"未入力")))</f>
        <v/>
      </c>
      <c r="J6" s="20" t="str">
        <f aca="false">IF(G6&lt;&gt;"",G6,IF(F6="","",IF(OR(E6="",E6="GBP"),F6,IF(ISNUMBER(I6),ROUND(F6/I6,2),"レート未入力"))))</f>
        <v/>
      </c>
      <c r="K6" s="15"/>
      <c r="L6" s="25" t="str">
        <f aca="false">IF(A6="","",IF(A6&lt;DATE(2026,4,6),"2025/26",IF(A6&lt;DATE(2027,4,6),"2026/27","2027/28")))</f>
        <v/>
      </c>
      <c r="M6" s="15"/>
    </row>
    <row r="7" customFormat="false" ht="15" hidden="false" customHeight="false" outlineLevel="0" collapsed="false">
      <c r="A7" s="31"/>
      <c r="B7" s="15"/>
      <c r="C7" s="15"/>
      <c r="D7" s="15"/>
      <c r="E7" s="15"/>
      <c r="F7" s="13"/>
      <c r="G7" s="27"/>
      <c r="H7" s="32"/>
      <c r="I7" s="33" t="str">
        <f aca="false">IF(OR(E7="",E7="GBP"),"",IF(H7&lt;&gt;"",H7,IFERROR(1/(1/INDEX(日次レート!$C$5:$D$644,MATCH(A7,日次レート!$A$5:$A$644,0),IF(E7="JPY",1,2))),"未入力")))</f>
        <v/>
      </c>
      <c r="J7" s="20" t="str">
        <f aca="false">IF(G7&lt;&gt;"",G7,IF(F7="","",IF(OR(E7="",E7="GBP"),F7,IF(ISNUMBER(I7),ROUND(F7/I7,2),"レート未入力"))))</f>
        <v/>
      </c>
      <c r="K7" s="15"/>
      <c r="L7" s="25" t="str">
        <f aca="false">IF(A7="","",IF(A7&lt;DATE(2026,4,6),"2025/26",IF(A7&lt;DATE(2027,4,6),"2026/27","2027/28")))</f>
        <v/>
      </c>
      <c r="M7" s="15"/>
    </row>
    <row r="8" customFormat="false" ht="15" hidden="false" customHeight="false" outlineLevel="0" collapsed="false">
      <c r="A8" s="31"/>
      <c r="B8" s="15"/>
      <c r="C8" s="15"/>
      <c r="D8" s="15"/>
      <c r="E8" s="15"/>
      <c r="F8" s="13"/>
      <c r="G8" s="27"/>
      <c r="H8" s="32"/>
      <c r="I8" s="33" t="str">
        <f aca="false">IF(OR(E8="",E8="GBP"),"",IF(H8&lt;&gt;"",H8,IFERROR(1/(1/INDEX(日次レート!$C$5:$D$644,MATCH(A8,日次レート!$A$5:$A$644,0),IF(E8="JPY",1,2))),"未入力")))</f>
        <v/>
      </c>
      <c r="J8" s="20" t="str">
        <f aca="false">IF(G8&lt;&gt;"",G8,IF(F8="","",IF(OR(E8="",E8="GBP"),F8,IF(ISNUMBER(I8),ROUND(F8/I8,2),"レート未入力"))))</f>
        <v/>
      </c>
      <c r="K8" s="15"/>
      <c r="L8" s="25" t="str">
        <f aca="false">IF(A8="","",IF(A8&lt;DATE(2026,4,6),"2025/26",IF(A8&lt;DATE(2027,4,6),"2026/27","2027/28")))</f>
        <v/>
      </c>
      <c r="M8" s="15"/>
    </row>
    <row r="9" customFormat="false" ht="15" hidden="false" customHeight="false" outlineLevel="0" collapsed="false">
      <c r="A9" s="31"/>
      <c r="B9" s="15"/>
      <c r="C9" s="15"/>
      <c r="D9" s="15"/>
      <c r="E9" s="15"/>
      <c r="F9" s="13"/>
      <c r="G9" s="27"/>
      <c r="H9" s="32"/>
      <c r="I9" s="33" t="str">
        <f aca="false">IF(OR(E9="",E9="GBP"),"",IF(H9&lt;&gt;"",H9,IFERROR(1/(1/INDEX(日次レート!$C$5:$D$644,MATCH(A9,日次レート!$A$5:$A$644,0),IF(E9="JPY",1,2))),"未入力")))</f>
        <v/>
      </c>
      <c r="J9" s="20" t="str">
        <f aca="false">IF(G9&lt;&gt;"",G9,IF(F9="","",IF(OR(E9="",E9="GBP"),F9,IF(ISNUMBER(I9),ROUND(F9/I9,2),"レート未入力"))))</f>
        <v/>
      </c>
      <c r="K9" s="15"/>
      <c r="L9" s="25" t="str">
        <f aca="false">IF(A9="","",IF(A9&lt;DATE(2026,4,6),"2025/26",IF(A9&lt;DATE(2027,4,6),"2026/27","2027/28")))</f>
        <v/>
      </c>
      <c r="M9" s="15"/>
    </row>
    <row r="10" customFormat="false" ht="15" hidden="false" customHeight="false" outlineLevel="0" collapsed="false">
      <c r="A10" s="31"/>
      <c r="B10" s="15"/>
      <c r="C10" s="15"/>
      <c r="D10" s="15"/>
      <c r="E10" s="15"/>
      <c r="F10" s="13"/>
      <c r="G10" s="27"/>
      <c r="H10" s="32"/>
      <c r="I10" s="33" t="str">
        <f aca="false">IF(OR(E10="",E10="GBP"),"",IF(H10&lt;&gt;"",H10,IFERROR(1/(1/INDEX(日次レート!$C$5:$D$644,MATCH(A10,日次レート!$A$5:$A$644,0),IF(E10="JPY",1,2))),"未入力")))</f>
        <v/>
      </c>
      <c r="J10" s="20" t="str">
        <f aca="false">IF(G10&lt;&gt;"",G10,IF(F10="","",IF(OR(E10="",E10="GBP"),F10,IF(ISNUMBER(I10),ROUND(F10/I10,2),"レート未入力"))))</f>
        <v/>
      </c>
      <c r="K10" s="15"/>
      <c r="L10" s="25" t="str">
        <f aca="false">IF(A10="","",IF(A10&lt;DATE(2026,4,6),"2025/26",IF(A10&lt;DATE(2027,4,6),"2026/27","2027/28")))</f>
        <v/>
      </c>
      <c r="M10" s="15"/>
    </row>
    <row r="11" customFormat="false" ht="15" hidden="false" customHeight="false" outlineLevel="0" collapsed="false">
      <c r="A11" s="31"/>
      <c r="B11" s="15"/>
      <c r="C11" s="15"/>
      <c r="D11" s="15"/>
      <c r="E11" s="15"/>
      <c r="F11" s="13"/>
      <c r="G11" s="27"/>
      <c r="H11" s="32"/>
      <c r="I11" s="33" t="str">
        <f aca="false">IF(OR(E11="",E11="GBP"),"",IF(H11&lt;&gt;"",H11,IFERROR(1/(1/INDEX(日次レート!$C$5:$D$644,MATCH(A11,日次レート!$A$5:$A$644,0),IF(E11="JPY",1,2))),"未入力")))</f>
        <v/>
      </c>
      <c r="J11" s="20" t="str">
        <f aca="false">IF(G11&lt;&gt;"",G11,IF(F11="","",IF(OR(E11="",E11="GBP"),F11,IF(ISNUMBER(I11),ROUND(F11/I11,2),"レート未入力"))))</f>
        <v/>
      </c>
      <c r="K11" s="15"/>
      <c r="L11" s="25" t="str">
        <f aca="false">IF(A11="","",IF(A11&lt;DATE(2026,4,6),"2025/26",IF(A11&lt;DATE(2027,4,6),"2026/27","2027/28")))</f>
        <v/>
      </c>
      <c r="M11" s="15"/>
    </row>
    <row r="12" customFormat="false" ht="15" hidden="false" customHeight="false" outlineLevel="0" collapsed="false">
      <c r="A12" s="31"/>
      <c r="B12" s="15"/>
      <c r="C12" s="15"/>
      <c r="D12" s="15"/>
      <c r="E12" s="15"/>
      <c r="F12" s="13"/>
      <c r="G12" s="27"/>
      <c r="H12" s="32"/>
      <c r="I12" s="33" t="str">
        <f aca="false">IF(OR(E12="",E12="GBP"),"",IF(H12&lt;&gt;"",H12,IFERROR(1/(1/INDEX(日次レート!$C$5:$D$644,MATCH(A12,日次レート!$A$5:$A$644,0),IF(E12="JPY",1,2))),"未入力")))</f>
        <v/>
      </c>
      <c r="J12" s="20" t="str">
        <f aca="false">IF(G12&lt;&gt;"",G12,IF(F12="","",IF(OR(E12="",E12="GBP"),F12,IF(ISNUMBER(I12),ROUND(F12/I12,2),"レート未入力"))))</f>
        <v/>
      </c>
      <c r="K12" s="15"/>
      <c r="L12" s="25" t="str">
        <f aca="false">IF(A12="","",IF(A12&lt;DATE(2026,4,6),"2025/26",IF(A12&lt;DATE(2027,4,6),"2026/27","2027/28")))</f>
        <v/>
      </c>
      <c r="M12" s="15"/>
    </row>
    <row r="13" customFormat="false" ht="15" hidden="false" customHeight="false" outlineLevel="0" collapsed="false">
      <c r="A13" s="31"/>
      <c r="B13" s="15"/>
      <c r="C13" s="15"/>
      <c r="D13" s="15"/>
      <c r="E13" s="15"/>
      <c r="F13" s="13"/>
      <c r="G13" s="27"/>
      <c r="H13" s="32"/>
      <c r="I13" s="33" t="str">
        <f aca="false">IF(OR(E13="",E13="GBP"),"",IF(H13&lt;&gt;"",H13,IFERROR(1/(1/INDEX(日次レート!$C$5:$D$644,MATCH(A13,日次レート!$A$5:$A$644,0),IF(E13="JPY",1,2))),"未入力")))</f>
        <v/>
      </c>
      <c r="J13" s="20" t="str">
        <f aca="false">IF(G13&lt;&gt;"",G13,IF(F13="","",IF(OR(E13="",E13="GBP"),F13,IF(ISNUMBER(I13),ROUND(F13/I13,2),"レート未入力"))))</f>
        <v/>
      </c>
      <c r="K13" s="15"/>
      <c r="L13" s="25" t="str">
        <f aca="false">IF(A13="","",IF(A13&lt;DATE(2026,4,6),"2025/26",IF(A13&lt;DATE(2027,4,6),"2026/27","2027/28")))</f>
        <v/>
      </c>
      <c r="M13" s="15"/>
    </row>
    <row r="14" customFormat="false" ht="15" hidden="false" customHeight="false" outlineLevel="0" collapsed="false">
      <c r="A14" s="31"/>
      <c r="B14" s="15"/>
      <c r="C14" s="15"/>
      <c r="D14" s="15"/>
      <c r="E14" s="15"/>
      <c r="F14" s="13"/>
      <c r="G14" s="27"/>
      <c r="H14" s="32"/>
      <c r="I14" s="33" t="str">
        <f aca="false">IF(OR(E14="",E14="GBP"),"",IF(H14&lt;&gt;"",H14,IFERROR(1/(1/INDEX(日次レート!$C$5:$D$644,MATCH(A14,日次レート!$A$5:$A$644,0),IF(E14="JPY",1,2))),"未入力")))</f>
        <v/>
      </c>
      <c r="J14" s="20" t="str">
        <f aca="false">IF(G14&lt;&gt;"",G14,IF(F14="","",IF(OR(E14="",E14="GBP"),F14,IF(ISNUMBER(I14),ROUND(F14/I14,2),"レート未入力"))))</f>
        <v/>
      </c>
      <c r="K14" s="15"/>
      <c r="L14" s="25" t="str">
        <f aca="false">IF(A14="","",IF(A14&lt;DATE(2026,4,6),"2025/26",IF(A14&lt;DATE(2027,4,6),"2026/27","2027/28")))</f>
        <v/>
      </c>
      <c r="M14" s="15"/>
    </row>
    <row r="15" customFormat="false" ht="15" hidden="false" customHeight="false" outlineLevel="0" collapsed="false">
      <c r="A15" s="31"/>
      <c r="B15" s="15"/>
      <c r="C15" s="15"/>
      <c r="D15" s="15"/>
      <c r="E15" s="15"/>
      <c r="F15" s="13"/>
      <c r="G15" s="27"/>
      <c r="H15" s="32"/>
      <c r="I15" s="33" t="str">
        <f aca="false">IF(OR(E15="",E15="GBP"),"",IF(H15&lt;&gt;"",H15,IFERROR(1/(1/INDEX(日次レート!$C$5:$D$644,MATCH(A15,日次レート!$A$5:$A$644,0),IF(E15="JPY",1,2))),"未入力")))</f>
        <v/>
      </c>
      <c r="J15" s="20" t="str">
        <f aca="false">IF(G15&lt;&gt;"",G15,IF(F15="","",IF(OR(E15="",E15="GBP"),F15,IF(ISNUMBER(I15),ROUND(F15/I15,2),"レート未入力"))))</f>
        <v/>
      </c>
      <c r="K15" s="15"/>
      <c r="L15" s="25" t="str">
        <f aca="false">IF(A15="","",IF(A15&lt;DATE(2026,4,6),"2025/26",IF(A15&lt;DATE(2027,4,6),"2026/27","2027/28")))</f>
        <v/>
      </c>
      <c r="M15" s="15"/>
    </row>
    <row r="16" customFormat="false" ht="15" hidden="false" customHeight="false" outlineLevel="0" collapsed="false">
      <c r="A16" s="31"/>
      <c r="B16" s="15"/>
      <c r="C16" s="15"/>
      <c r="D16" s="15"/>
      <c r="E16" s="15"/>
      <c r="F16" s="13"/>
      <c r="G16" s="27"/>
      <c r="H16" s="32"/>
      <c r="I16" s="33" t="str">
        <f aca="false">IF(OR(E16="",E16="GBP"),"",IF(H16&lt;&gt;"",H16,IFERROR(1/(1/INDEX(日次レート!$C$5:$D$644,MATCH(A16,日次レート!$A$5:$A$644,0),IF(E16="JPY",1,2))),"未入力")))</f>
        <v/>
      </c>
      <c r="J16" s="20" t="str">
        <f aca="false">IF(G16&lt;&gt;"",G16,IF(F16="","",IF(OR(E16="",E16="GBP"),F16,IF(ISNUMBER(I16),ROUND(F16/I16,2),"レート未入力"))))</f>
        <v/>
      </c>
      <c r="K16" s="15"/>
      <c r="L16" s="25" t="str">
        <f aca="false">IF(A16="","",IF(A16&lt;DATE(2026,4,6),"2025/26",IF(A16&lt;DATE(2027,4,6),"2026/27","2027/28")))</f>
        <v/>
      </c>
      <c r="M16" s="15"/>
    </row>
    <row r="17" customFormat="false" ht="15" hidden="false" customHeight="false" outlineLevel="0" collapsed="false">
      <c r="A17" s="31"/>
      <c r="B17" s="15"/>
      <c r="C17" s="15"/>
      <c r="D17" s="15"/>
      <c r="E17" s="15"/>
      <c r="F17" s="13"/>
      <c r="G17" s="27"/>
      <c r="H17" s="32"/>
      <c r="I17" s="33" t="str">
        <f aca="false">IF(OR(E17="",E17="GBP"),"",IF(H17&lt;&gt;"",H17,IFERROR(1/(1/INDEX(日次レート!$C$5:$D$644,MATCH(A17,日次レート!$A$5:$A$644,0),IF(E17="JPY",1,2))),"未入力")))</f>
        <v/>
      </c>
      <c r="J17" s="20" t="str">
        <f aca="false">IF(G17&lt;&gt;"",G17,IF(F17="","",IF(OR(E17="",E17="GBP"),F17,IF(ISNUMBER(I17),ROUND(F17/I17,2),"レート未入力"))))</f>
        <v/>
      </c>
      <c r="K17" s="15"/>
      <c r="L17" s="25" t="str">
        <f aca="false">IF(A17="","",IF(A17&lt;DATE(2026,4,6),"2025/26",IF(A17&lt;DATE(2027,4,6),"2026/27","2027/28")))</f>
        <v/>
      </c>
      <c r="M17" s="15"/>
    </row>
    <row r="18" customFormat="false" ht="15" hidden="false" customHeight="false" outlineLevel="0" collapsed="false">
      <c r="A18" s="31"/>
      <c r="B18" s="15"/>
      <c r="C18" s="15"/>
      <c r="D18" s="15"/>
      <c r="E18" s="15"/>
      <c r="F18" s="13"/>
      <c r="G18" s="27"/>
      <c r="H18" s="32"/>
      <c r="I18" s="33" t="str">
        <f aca="false">IF(OR(E18="",E18="GBP"),"",IF(H18&lt;&gt;"",H18,IFERROR(1/(1/INDEX(日次レート!$C$5:$D$644,MATCH(A18,日次レート!$A$5:$A$644,0),IF(E18="JPY",1,2))),"未入力")))</f>
        <v/>
      </c>
      <c r="J18" s="20" t="str">
        <f aca="false">IF(G18&lt;&gt;"",G18,IF(F18="","",IF(OR(E18="",E18="GBP"),F18,IF(ISNUMBER(I18),ROUND(F18/I18,2),"レート未入力"))))</f>
        <v/>
      </c>
      <c r="K18" s="15"/>
      <c r="L18" s="25" t="str">
        <f aca="false">IF(A18="","",IF(A18&lt;DATE(2026,4,6),"2025/26",IF(A18&lt;DATE(2027,4,6),"2026/27","2027/28")))</f>
        <v/>
      </c>
      <c r="M18" s="15"/>
    </row>
    <row r="19" customFormat="false" ht="15" hidden="false" customHeight="false" outlineLevel="0" collapsed="false">
      <c r="A19" s="31"/>
      <c r="B19" s="15"/>
      <c r="C19" s="15"/>
      <c r="D19" s="15"/>
      <c r="E19" s="15"/>
      <c r="F19" s="13"/>
      <c r="G19" s="27"/>
      <c r="H19" s="32"/>
      <c r="I19" s="33" t="str">
        <f aca="false">IF(OR(E19="",E19="GBP"),"",IF(H19&lt;&gt;"",H19,IFERROR(1/(1/INDEX(日次レート!$C$5:$D$644,MATCH(A19,日次レート!$A$5:$A$644,0),IF(E19="JPY",1,2))),"未入力")))</f>
        <v/>
      </c>
      <c r="J19" s="20" t="str">
        <f aca="false">IF(G19&lt;&gt;"",G19,IF(F19="","",IF(OR(E19="",E19="GBP"),F19,IF(ISNUMBER(I19),ROUND(F19/I19,2),"レート未入力"))))</f>
        <v/>
      </c>
      <c r="K19" s="15"/>
      <c r="L19" s="25" t="str">
        <f aca="false">IF(A19="","",IF(A19&lt;DATE(2026,4,6),"2025/26",IF(A19&lt;DATE(2027,4,6),"2026/27","2027/28")))</f>
        <v/>
      </c>
      <c r="M19" s="15"/>
    </row>
    <row r="20" customFormat="false" ht="15" hidden="false" customHeight="false" outlineLevel="0" collapsed="false">
      <c r="A20" s="31"/>
      <c r="B20" s="15"/>
      <c r="C20" s="15"/>
      <c r="D20" s="15"/>
      <c r="E20" s="15"/>
      <c r="F20" s="13"/>
      <c r="G20" s="27"/>
      <c r="H20" s="32"/>
      <c r="I20" s="33" t="str">
        <f aca="false">IF(OR(E20="",E20="GBP"),"",IF(H20&lt;&gt;"",H20,IFERROR(1/(1/INDEX(日次レート!$C$5:$D$644,MATCH(A20,日次レート!$A$5:$A$644,0),IF(E20="JPY",1,2))),"未入力")))</f>
        <v/>
      </c>
      <c r="J20" s="20" t="str">
        <f aca="false">IF(G20&lt;&gt;"",G20,IF(F20="","",IF(OR(E20="",E20="GBP"),F20,IF(ISNUMBER(I20),ROUND(F20/I20,2),"レート未入力"))))</f>
        <v/>
      </c>
      <c r="K20" s="15"/>
      <c r="L20" s="25" t="str">
        <f aca="false">IF(A20="","",IF(A20&lt;DATE(2026,4,6),"2025/26",IF(A20&lt;DATE(2027,4,6),"2026/27","2027/28")))</f>
        <v/>
      </c>
      <c r="M20" s="15"/>
    </row>
    <row r="21" customFormat="false" ht="15" hidden="false" customHeight="false" outlineLevel="0" collapsed="false">
      <c r="A21" s="31"/>
      <c r="B21" s="15"/>
      <c r="C21" s="15"/>
      <c r="D21" s="15"/>
      <c r="E21" s="15"/>
      <c r="F21" s="13"/>
      <c r="G21" s="27"/>
      <c r="H21" s="32"/>
      <c r="I21" s="33" t="str">
        <f aca="false">IF(OR(E21="",E21="GBP"),"",IF(H21&lt;&gt;"",H21,IFERROR(1/(1/INDEX(日次レート!$C$5:$D$644,MATCH(A21,日次レート!$A$5:$A$644,0),IF(E21="JPY",1,2))),"未入力")))</f>
        <v/>
      </c>
      <c r="J21" s="20" t="str">
        <f aca="false">IF(G21&lt;&gt;"",G21,IF(F21="","",IF(OR(E21="",E21="GBP"),F21,IF(ISNUMBER(I21),ROUND(F21/I21,2),"レート未入力"))))</f>
        <v/>
      </c>
      <c r="K21" s="15"/>
      <c r="L21" s="25" t="str">
        <f aca="false">IF(A21="","",IF(A21&lt;DATE(2026,4,6),"2025/26",IF(A21&lt;DATE(2027,4,6),"2026/27","2027/28")))</f>
        <v/>
      </c>
      <c r="M21" s="15"/>
    </row>
    <row r="22" customFormat="false" ht="15" hidden="false" customHeight="false" outlineLevel="0" collapsed="false">
      <c r="A22" s="31"/>
      <c r="B22" s="15"/>
      <c r="C22" s="15"/>
      <c r="D22" s="15"/>
      <c r="E22" s="15"/>
      <c r="F22" s="13"/>
      <c r="G22" s="27"/>
      <c r="H22" s="32"/>
      <c r="I22" s="33" t="str">
        <f aca="false">IF(OR(E22="",E22="GBP"),"",IF(H22&lt;&gt;"",H22,IFERROR(1/(1/INDEX(日次レート!$C$5:$D$644,MATCH(A22,日次レート!$A$5:$A$644,0),IF(E22="JPY",1,2))),"未入力")))</f>
        <v/>
      </c>
      <c r="J22" s="20" t="str">
        <f aca="false">IF(G22&lt;&gt;"",G22,IF(F22="","",IF(OR(E22="",E22="GBP"),F22,IF(ISNUMBER(I22),ROUND(F22/I22,2),"レート未入力"))))</f>
        <v/>
      </c>
      <c r="K22" s="15"/>
      <c r="L22" s="25" t="str">
        <f aca="false">IF(A22="","",IF(A22&lt;DATE(2026,4,6),"2025/26",IF(A22&lt;DATE(2027,4,6),"2026/27","2027/28")))</f>
        <v/>
      </c>
      <c r="M22" s="15"/>
    </row>
    <row r="23" customFormat="false" ht="15" hidden="false" customHeight="false" outlineLevel="0" collapsed="false">
      <c r="A23" s="31"/>
      <c r="B23" s="15"/>
      <c r="C23" s="15"/>
      <c r="D23" s="15"/>
      <c r="E23" s="15"/>
      <c r="F23" s="13"/>
      <c r="G23" s="27"/>
      <c r="H23" s="32"/>
      <c r="I23" s="33" t="str">
        <f aca="false">IF(OR(E23="",E23="GBP"),"",IF(H23&lt;&gt;"",H23,IFERROR(1/(1/INDEX(日次レート!$C$5:$D$644,MATCH(A23,日次レート!$A$5:$A$644,0),IF(E23="JPY",1,2))),"未入力")))</f>
        <v/>
      </c>
      <c r="J23" s="20" t="str">
        <f aca="false">IF(G23&lt;&gt;"",G23,IF(F23="","",IF(OR(E23="",E23="GBP"),F23,IF(ISNUMBER(I23),ROUND(F23/I23,2),"レート未入力"))))</f>
        <v/>
      </c>
      <c r="K23" s="15"/>
      <c r="L23" s="25" t="str">
        <f aca="false">IF(A23="","",IF(A23&lt;DATE(2026,4,6),"2025/26",IF(A23&lt;DATE(2027,4,6),"2026/27","2027/28")))</f>
        <v/>
      </c>
      <c r="M23" s="15"/>
    </row>
    <row r="24" customFormat="false" ht="15" hidden="false" customHeight="false" outlineLevel="0" collapsed="false">
      <c r="A24" s="31"/>
      <c r="B24" s="15"/>
      <c r="C24" s="15"/>
      <c r="D24" s="15"/>
      <c r="E24" s="15"/>
      <c r="F24" s="13"/>
      <c r="G24" s="27"/>
      <c r="H24" s="32"/>
      <c r="I24" s="33" t="str">
        <f aca="false">IF(OR(E24="",E24="GBP"),"",IF(H24&lt;&gt;"",H24,IFERROR(1/(1/INDEX(日次レート!$C$5:$D$644,MATCH(A24,日次レート!$A$5:$A$644,0),IF(E24="JPY",1,2))),"未入力")))</f>
        <v/>
      </c>
      <c r="J24" s="20" t="str">
        <f aca="false">IF(G24&lt;&gt;"",G24,IF(F24="","",IF(OR(E24="",E24="GBP"),F24,IF(ISNUMBER(I24),ROUND(F24/I24,2),"レート未入力"))))</f>
        <v/>
      </c>
      <c r="K24" s="15"/>
      <c r="L24" s="25" t="str">
        <f aca="false">IF(A24="","",IF(A24&lt;DATE(2026,4,6),"2025/26",IF(A24&lt;DATE(2027,4,6),"2026/27","2027/28")))</f>
        <v/>
      </c>
      <c r="M24" s="15"/>
    </row>
    <row r="25" customFormat="false" ht="15" hidden="false" customHeight="false" outlineLevel="0" collapsed="false">
      <c r="A25" s="31"/>
      <c r="B25" s="15"/>
      <c r="C25" s="15"/>
      <c r="D25" s="15"/>
      <c r="E25" s="15"/>
      <c r="F25" s="13"/>
      <c r="G25" s="27"/>
      <c r="H25" s="32"/>
      <c r="I25" s="33" t="str">
        <f aca="false">IF(OR(E25="",E25="GBP"),"",IF(H25&lt;&gt;"",H25,IFERROR(1/(1/INDEX(日次レート!$C$5:$D$644,MATCH(A25,日次レート!$A$5:$A$644,0),IF(E25="JPY",1,2))),"未入力")))</f>
        <v/>
      </c>
      <c r="J25" s="20" t="str">
        <f aca="false">IF(G25&lt;&gt;"",G25,IF(F25="","",IF(OR(E25="",E25="GBP"),F25,IF(ISNUMBER(I25),ROUND(F25/I25,2),"レート未入力"))))</f>
        <v/>
      </c>
      <c r="K25" s="15"/>
      <c r="L25" s="25" t="str">
        <f aca="false">IF(A25="","",IF(A25&lt;DATE(2026,4,6),"2025/26",IF(A25&lt;DATE(2027,4,6),"2026/27","2027/28")))</f>
        <v/>
      </c>
      <c r="M25" s="15"/>
    </row>
    <row r="26" customFormat="false" ht="15" hidden="false" customHeight="false" outlineLevel="0" collapsed="false">
      <c r="A26" s="3" t="s">
        <v>199</v>
      </c>
      <c r="J26" s="22" t="n">
        <f aca="false">SUM(J6:J25)</f>
        <v>0</v>
      </c>
    </row>
    <row r="28" customFormat="false" ht="15" hidden="false" customHeight="false" outlineLevel="0" collapsed="false">
      <c r="A28" s="29" t="s">
        <v>200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customFormat="false" ht="30" hidden="false" customHeight="true" outlineLevel="0" collapsed="false">
      <c r="A29" s="9" t="s">
        <v>86</v>
      </c>
      <c r="B29" s="9" t="s">
        <v>201</v>
      </c>
      <c r="C29" s="9" t="s">
        <v>189</v>
      </c>
      <c r="D29" s="9" t="s">
        <v>48</v>
      </c>
      <c r="E29" s="9" t="s">
        <v>32</v>
      </c>
      <c r="F29" s="9" t="s">
        <v>191</v>
      </c>
      <c r="G29" s="9" t="s">
        <v>192</v>
      </c>
      <c r="H29" s="9" t="s">
        <v>193</v>
      </c>
      <c r="I29" s="9" t="s">
        <v>194</v>
      </c>
      <c r="J29" s="10" t="s">
        <v>202</v>
      </c>
      <c r="K29" s="9" t="s">
        <v>203</v>
      </c>
      <c r="L29" s="9" t="s">
        <v>204</v>
      </c>
      <c r="M29" s="9" t="s">
        <v>205</v>
      </c>
      <c r="N29" s="9" t="s">
        <v>197</v>
      </c>
      <c r="O29" s="9" t="s">
        <v>198</v>
      </c>
    </row>
    <row r="30" customFormat="false" ht="15" hidden="false" customHeight="false" outlineLevel="0" collapsed="false">
      <c r="A30" s="31"/>
      <c r="B30" s="15"/>
      <c r="C30" s="15"/>
      <c r="D30" s="15"/>
      <c r="E30" s="15"/>
      <c r="F30" s="13"/>
      <c r="G30" s="27"/>
      <c r="H30" s="32"/>
      <c r="I30" s="33" t="str">
        <f aca="false">IF(OR(E30="",E30="GBP"),"",IF(H30&lt;&gt;"",H30,IFERROR(1/(1/INDEX(日次レート!$C$5:$D$644,MATCH(A30,日次レート!$A$5:$A$644,0),IF(E30="JPY",1,2))),"未入力")))</f>
        <v/>
      </c>
      <c r="J30" s="20" t="str">
        <f aca="false">IF(G30&lt;&gt;"",G30,IF(F30="","",IF(OR(E30="",E30="GBP"),F30,IF(ISNUMBER(I30),ROUND(F30/I30,2),"レート未入力"))))</f>
        <v/>
      </c>
      <c r="K30" s="34"/>
      <c r="L30" s="20" t="str">
        <f aca="false">IF(ISNUMBER(J30),ROUND(J30*IF(K30="",1,K30),2),"")</f>
        <v/>
      </c>
      <c r="M30" s="35"/>
      <c r="N30" s="25" t="str">
        <f aca="false">IF(A30="","",IF(A30&lt;DATE(2026,4,6),"2025/26",IF(A30&lt;DATE(2027,4,6),"2026/27","2027/28")))</f>
        <v/>
      </c>
      <c r="O30" s="15"/>
    </row>
    <row r="31" customFormat="false" ht="15" hidden="false" customHeight="false" outlineLevel="0" collapsed="false">
      <c r="A31" s="31"/>
      <c r="B31" s="15"/>
      <c r="C31" s="15"/>
      <c r="D31" s="15"/>
      <c r="E31" s="15"/>
      <c r="F31" s="13"/>
      <c r="G31" s="27"/>
      <c r="H31" s="32"/>
      <c r="I31" s="33" t="str">
        <f aca="false">IF(OR(E31="",E31="GBP"),"",IF(H31&lt;&gt;"",H31,IFERROR(1/(1/INDEX(日次レート!$C$5:$D$644,MATCH(A31,日次レート!$A$5:$A$644,0),IF(E31="JPY",1,2))),"未入力")))</f>
        <v/>
      </c>
      <c r="J31" s="20" t="str">
        <f aca="false">IF(G31&lt;&gt;"",G31,IF(F31="","",IF(OR(E31="",E31="GBP"),F31,IF(ISNUMBER(I31),ROUND(F31/I31,2),"レート未入力"))))</f>
        <v/>
      </c>
      <c r="K31" s="34"/>
      <c r="L31" s="20" t="str">
        <f aca="false">IF(ISNUMBER(J31),ROUND(J31*IF(K31="",1,K31),2),"")</f>
        <v/>
      </c>
      <c r="M31" s="35"/>
      <c r="N31" s="25" t="str">
        <f aca="false">IF(A31="","",IF(A31&lt;DATE(2026,4,6),"2025/26",IF(A31&lt;DATE(2027,4,6),"2026/27","2027/28")))</f>
        <v/>
      </c>
      <c r="O31" s="15"/>
    </row>
    <row r="32" customFormat="false" ht="15" hidden="false" customHeight="false" outlineLevel="0" collapsed="false">
      <c r="A32" s="31"/>
      <c r="B32" s="15"/>
      <c r="C32" s="15"/>
      <c r="D32" s="15"/>
      <c r="E32" s="15"/>
      <c r="F32" s="13"/>
      <c r="G32" s="27"/>
      <c r="H32" s="32"/>
      <c r="I32" s="33" t="str">
        <f aca="false">IF(OR(E32="",E32="GBP"),"",IF(H32&lt;&gt;"",H32,IFERROR(1/(1/INDEX(日次レート!$C$5:$D$644,MATCH(A32,日次レート!$A$5:$A$644,0),IF(E32="JPY",1,2))),"未入力")))</f>
        <v/>
      </c>
      <c r="J32" s="20" t="str">
        <f aca="false">IF(G32&lt;&gt;"",G32,IF(F32="","",IF(OR(E32="",E32="GBP"),F32,IF(ISNUMBER(I32),ROUND(F32/I32,2),"レート未入力"))))</f>
        <v/>
      </c>
      <c r="K32" s="34"/>
      <c r="L32" s="20" t="str">
        <f aca="false">IF(ISNUMBER(J32),ROUND(J32*IF(K32="",1,K32),2),"")</f>
        <v/>
      </c>
      <c r="M32" s="35"/>
      <c r="N32" s="25" t="str">
        <f aca="false">IF(A32="","",IF(A32&lt;DATE(2026,4,6),"2025/26",IF(A32&lt;DATE(2027,4,6),"2026/27","2027/28")))</f>
        <v/>
      </c>
      <c r="O32" s="15"/>
    </row>
    <row r="33" customFormat="false" ht="15" hidden="false" customHeight="false" outlineLevel="0" collapsed="false">
      <c r="A33" s="31"/>
      <c r="B33" s="15"/>
      <c r="C33" s="15"/>
      <c r="D33" s="15"/>
      <c r="E33" s="15"/>
      <c r="F33" s="13"/>
      <c r="G33" s="27"/>
      <c r="H33" s="32"/>
      <c r="I33" s="33" t="str">
        <f aca="false">IF(OR(E33="",E33="GBP"),"",IF(H33&lt;&gt;"",H33,IFERROR(1/(1/INDEX(日次レート!$C$5:$D$644,MATCH(A33,日次レート!$A$5:$A$644,0),IF(E33="JPY",1,2))),"未入力")))</f>
        <v/>
      </c>
      <c r="J33" s="20" t="str">
        <f aca="false">IF(G33&lt;&gt;"",G33,IF(F33="","",IF(OR(E33="",E33="GBP"),F33,IF(ISNUMBER(I33),ROUND(F33/I33,2),"レート未入力"))))</f>
        <v/>
      </c>
      <c r="K33" s="34"/>
      <c r="L33" s="20" t="str">
        <f aca="false">IF(ISNUMBER(J33),ROUND(J33*IF(K33="",1,K33),2),"")</f>
        <v/>
      </c>
      <c r="M33" s="35"/>
      <c r="N33" s="25" t="str">
        <f aca="false">IF(A33="","",IF(A33&lt;DATE(2026,4,6),"2025/26",IF(A33&lt;DATE(2027,4,6),"2026/27","2027/28")))</f>
        <v/>
      </c>
      <c r="O33" s="15"/>
    </row>
    <row r="34" customFormat="false" ht="15" hidden="false" customHeight="false" outlineLevel="0" collapsed="false">
      <c r="A34" s="31"/>
      <c r="B34" s="15"/>
      <c r="C34" s="15"/>
      <c r="D34" s="15"/>
      <c r="E34" s="15"/>
      <c r="F34" s="13"/>
      <c r="G34" s="27"/>
      <c r="H34" s="32"/>
      <c r="I34" s="33" t="str">
        <f aca="false">IF(OR(E34="",E34="GBP"),"",IF(H34&lt;&gt;"",H34,IFERROR(1/(1/INDEX(日次レート!$C$5:$D$644,MATCH(A34,日次レート!$A$5:$A$644,0),IF(E34="JPY",1,2))),"未入力")))</f>
        <v/>
      </c>
      <c r="J34" s="20" t="str">
        <f aca="false">IF(G34&lt;&gt;"",G34,IF(F34="","",IF(OR(E34="",E34="GBP"),F34,IF(ISNUMBER(I34),ROUND(F34/I34,2),"レート未入力"))))</f>
        <v/>
      </c>
      <c r="K34" s="34"/>
      <c r="L34" s="20" t="str">
        <f aca="false">IF(ISNUMBER(J34),ROUND(J34*IF(K34="",1,K34),2),"")</f>
        <v/>
      </c>
      <c r="M34" s="35"/>
      <c r="N34" s="25" t="str">
        <f aca="false">IF(A34="","",IF(A34&lt;DATE(2026,4,6),"2025/26",IF(A34&lt;DATE(2027,4,6),"2026/27","2027/28")))</f>
        <v/>
      </c>
      <c r="O34" s="15"/>
    </row>
    <row r="35" customFormat="false" ht="15" hidden="false" customHeight="false" outlineLevel="0" collapsed="false">
      <c r="A35" s="31"/>
      <c r="B35" s="15"/>
      <c r="C35" s="15"/>
      <c r="D35" s="15"/>
      <c r="E35" s="15"/>
      <c r="F35" s="13"/>
      <c r="G35" s="27"/>
      <c r="H35" s="32"/>
      <c r="I35" s="33" t="str">
        <f aca="false">IF(OR(E35="",E35="GBP"),"",IF(H35&lt;&gt;"",H35,IFERROR(1/(1/INDEX(日次レート!$C$5:$D$644,MATCH(A35,日次レート!$A$5:$A$644,0),IF(E35="JPY",1,2))),"未入力")))</f>
        <v/>
      </c>
      <c r="J35" s="20" t="str">
        <f aca="false">IF(G35&lt;&gt;"",G35,IF(F35="","",IF(OR(E35="",E35="GBP"),F35,IF(ISNUMBER(I35),ROUND(F35/I35,2),"レート未入力"))))</f>
        <v/>
      </c>
      <c r="K35" s="34"/>
      <c r="L35" s="20" t="str">
        <f aca="false">IF(ISNUMBER(J35),ROUND(J35*IF(K35="",1,K35),2),"")</f>
        <v/>
      </c>
      <c r="M35" s="35"/>
      <c r="N35" s="25" t="str">
        <f aca="false">IF(A35="","",IF(A35&lt;DATE(2026,4,6),"2025/26",IF(A35&lt;DATE(2027,4,6),"2026/27","2027/28")))</f>
        <v/>
      </c>
      <c r="O35" s="15"/>
    </row>
    <row r="36" customFormat="false" ht="15" hidden="false" customHeight="false" outlineLevel="0" collapsed="false">
      <c r="A36" s="31"/>
      <c r="B36" s="15"/>
      <c r="C36" s="15"/>
      <c r="D36" s="15"/>
      <c r="E36" s="15"/>
      <c r="F36" s="13"/>
      <c r="G36" s="27"/>
      <c r="H36" s="32"/>
      <c r="I36" s="33" t="str">
        <f aca="false">IF(OR(E36="",E36="GBP"),"",IF(H36&lt;&gt;"",H36,IFERROR(1/(1/INDEX(日次レート!$C$5:$D$644,MATCH(A36,日次レート!$A$5:$A$644,0),IF(E36="JPY",1,2))),"未入力")))</f>
        <v/>
      </c>
      <c r="J36" s="20" t="str">
        <f aca="false">IF(G36&lt;&gt;"",G36,IF(F36="","",IF(OR(E36="",E36="GBP"),F36,IF(ISNUMBER(I36),ROUND(F36/I36,2),"レート未入力"))))</f>
        <v/>
      </c>
      <c r="K36" s="34"/>
      <c r="L36" s="20" t="str">
        <f aca="false">IF(ISNUMBER(J36),ROUND(J36*IF(K36="",1,K36),2),"")</f>
        <v/>
      </c>
      <c r="M36" s="35"/>
      <c r="N36" s="25" t="str">
        <f aca="false">IF(A36="","",IF(A36&lt;DATE(2026,4,6),"2025/26",IF(A36&lt;DATE(2027,4,6),"2026/27","2027/28")))</f>
        <v/>
      </c>
      <c r="O36" s="15"/>
    </row>
    <row r="37" customFormat="false" ht="15" hidden="false" customHeight="false" outlineLevel="0" collapsed="false">
      <c r="A37" s="31"/>
      <c r="B37" s="15"/>
      <c r="C37" s="15"/>
      <c r="D37" s="15"/>
      <c r="E37" s="15"/>
      <c r="F37" s="13"/>
      <c r="G37" s="27"/>
      <c r="H37" s="32"/>
      <c r="I37" s="33" t="str">
        <f aca="false">IF(OR(E37="",E37="GBP"),"",IF(H37&lt;&gt;"",H37,IFERROR(1/(1/INDEX(日次レート!$C$5:$D$644,MATCH(A37,日次レート!$A$5:$A$644,0),IF(E37="JPY",1,2))),"未入力")))</f>
        <v/>
      </c>
      <c r="J37" s="20" t="str">
        <f aca="false">IF(G37&lt;&gt;"",G37,IF(F37="","",IF(OR(E37="",E37="GBP"),F37,IF(ISNUMBER(I37),ROUND(F37/I37,2),"レート未入力"))))</f>
        <v/>
      </c>
      <c r="K37" s="34"/>
      <c r="L37" s="20" t="str">
        <f aca="false">IF(ISNUMBER(J37),ROUND(J37*IF(K37="",1,K37),2),"")</f>
        <v/>
      </c>
      <c r="M37" s="35"/>
      <c r="N37" s="25" t="str">
        <f aca="false">IF(A37="","",IF(A37&lt;DATE(2026,4,6),"2025/26",IF(A37&lt;DATE(2027,4,6),"2026/27","2027/28")))</f>
        <v/>
      </c>
      <c r="O37" s="15"/>
    </row>
    <row r="38" customFormat="false" ht="15" hidden="false" customHeight="false" outlineLevel="0" collapsed="false">
      <c r="A38" s="31"/>
      <c r="B38" s="15"/>
      <c r="C38" s="15"/>
      <c r="D38" s="15"/>
      <c r="E38" s="15"/>
      <c r="F38" s="13"/>
      <c r="G38" s="27"/>
      <c r="H38" s="32"/>
      <c r="I38" s="33" t="str">
        <f aca="false">IF(OR(E38="",E38="GBP"),"",IF(H38&lt;&gt;"",H38,IFERROR(1/(1/INDEX(日次レート!$C$5:$D$644,MATCH(A38,日次レート!$A$5:$A$644,0),IF(E38="JPY",1,2))),"未入力")))</f>
        <v/>
      </c>
      <c r="J38" s="20" t="str">
        <f aca="false">IF(G38&lt;&gt;"",G38,IF(F38="","",IF(OR(E38="",E38="GBP"),F38,IF(ISNUMBER(I38),ROUND(F38/I38,2),"レート未入力"))))</f>
        <v/>
      </c>
      <c r="K38" s="34"/>
      <c r="L38" s="20" t="str">
        <f aca="false">IF(ISNUMBER(J38),ROUND(J38*IF(K38="",1,K38),2),"")</f>
        <v/>
      </c>
      <c r="M38" s="35"/>
      <c r="N38" s="25" t="str">
        <f aca="false">IF(A38="","",IF(A38&lt;DATE(2026,4,6),"2025/26",IF(A38&lt;DATE(2027,4,6),"2026/27","2027/28")))</f>
        <v/>
      </c>
      <c r="O38" s="15"/>
    </row>
    <row r="39" customFormat="false" ht="15" hidden="false" customHeight="false" outlineLevel="0" collapsed="false">
      <c r="A39" s="31"/>
      <c r="B39" s="15"/>
      <c r="C39" s="15"/>
      <c r="D39" s="15"/>
      <c r="E39" s="15"/>
      <c r="F39" s="13"/>
      <c r="G39" s="27"/>
      <c r="H39" s="32"/>
      <c r="I39" s="33" t="str">
        <f aca="false">IF(OR(E39="",E39="GBP"),"",IF(H39&lt;&gt;"",H39,IFERROR(1/(1/INDEX(日次レート!$C$5:$D$644,MATCH(A39,日次レート!$A$5:$A$644,0),IF(E39="JPY",1,2))),"未入力")))</f>
        <v/>
      </c>
      <c r="J39" s="20" t="str">
        <f aca="false">IF(G39&lt;&gt;"",G39,IF(F39="","",IF(OR(E39="",E39="GBP"),F39,IF(ISNUMBER(I39),ROUND(F39/I39,2),"レート未入力"))))</f>
        <v/>
      </c>
      <c r="K39" s="34"/>
      <c r="L39" s="20" t="str">
        <f aca="false">IF(ISNUMBER(J39),ROUND(J39*IF(K39="",1,K39),2),"")</f>
        <v/>
      </c>
      <c r="M39" s="35"/>
      <c r="N39" s="25" t="str">
        <f aca="false">IF(A39="","",IF(A39&lt;DATE(2026,4,6),"2025/26",IF(A39&lt;DATE(2027,4,6),"2026/27","2027/28")))</f>
        <v/>
      </c>
      <c r="O39" s="15"/>
    </row>
    <row r="40" customFormat="false" ht="15" hidden="false" customHeight="false" outlineLevel="0" collapsed="false">
      <c r="A40" s="31"/>
      <c r="B40" s="15"/>
      <c r="C40" s="15"/>
      <c r="D40" s="15"/>
      <c r="E40" s="15"/>
      <c r="F40" s="13"/>
      <c r="G40" s="27"/>
      <c r="H40" s="32"/>
      <c r="I40" s="33" t="str">
        <f aca="false">IF(OR(E40="",E40="GBP"),"",IF(H40&lt;&gt;"",H40,IFERROR(1/(1/INDEX(日次レート!$C$5:$D$644,MATCH(A40,日次レート!$A$5:$A$644,0),IF(E40="JPY",1,2))),"未入力")))</f>
        <v/>
      </c>
      <c r="J40" s="20" t="str">
        <f aca="false">IF(G40&lt;&gt;"",G40,IF(F40="","",IF(OR(E40="",E40="GBP"),F40,IF(ISNUMBER(I40),ROUND(F40/I40,2),"レート未入力"))))</f>
        <v/>
      </c>
      <c r="K40" s="34"/>
      <c r="L40" s="20" t="str">
        <f aca="false">IF(ISNUMBER(J40),ROUND(J40*IF(K40="",1,K40),2),"")</f>
        <v/>
      </c>
      <c r="M40" s="35"/>
      <c r="N40" s="25" t="str">
        <f aca="false">IF(A40="","",IF(A40&lt;DATE(2026,4,6),"2025/26",IF(A40&lt;DATE(2027,4,6),"2026/27","2027/28")))</f>
        <v/>
      </c>
      <c r="O40" s="15"/>
    </row>
    <row r="41" customFormat="false" ht="15" hidden="false" customHeight="false" outlineLevel="0" collapsed="false">
      <c r="A41" s="31"/>
      <c r="B41" s="15"/>
      <c r="C41" s="15"/>
      <c r="D41" s="15"/>
      <c r="E41" s="15"/>
      <c r="F41" s="13"/>
      <c r="G41" s="27"/>
      <c r="H41" s="32"/>
      <c r="I41" s="33" t="str">
        <f aca="false">IF(OR(E41="",E41="GBP"),"",IF(H41&lt;&gt;"",H41,IFERROR(1/(1/INDEX(日次レート!$C$5:$D$644,MATCH(A41,日次レート!$A$5:$A$644,0),IF(E41="JPY",1,2))),"未入力")))</f>
        <v/>
      </c>
      <c r="J41" s="20" t="str">
        <f aca="false">IF(G41&lt;&gt;"",G41,IF(F41="","",IF(OR(E41="",E41="GBP"),F41,IF(ISNUMBER(I41),ROUND(F41/I41,2),"レート未入力"))))</f>
        <v/>
      </c>
      <c r="K41" s="34"/>
      <c r="L41" s="20" t="str">
        <f aca="false">IF(ISNUMBER(J41),ROUND(J41*IF(K41="",1,K41),2),"")</f>
        <v/>
      </c>
      <c r="M41" s="35"/>
      <c r="N41" s="25" t="str">
        <f aca="false">IF(A41="","",IF(A41&lt;DATE(2026,4,6),"2025/26",IF(A41&lt;DATE(2027,4,6),"2026/27","2027/28")))</f>
        <v/>
      </c>
      <c r="O41" s="15"/>
    </row>
    <row r="42" customFormat="false" ht="15" hidden="false" customHeight="false" outlineLevel="0" collapsed="false">
      <c r="A42" s="31"/>
      <c r="B42" s="15"/>
      <c r="C42" s="15"/>
      <c r="D42" s="15"/>
      <c r="E42" s="15"/>
      <c r="F42" s="13"/>
      <c r="G42" s="27"/>
      <c r="H42" s="32"/>
      <c r="I42" s="33" t="str">
        <f aca="false">IF(OR(E42="",E42="GBP"),"",IF(H42&lt;&gt;"",H42,IFERROR(1/(1/INDEX(日次レート!$C$5:$D$644,MATCH(A42,日次レート!$A$5:$A$644,0),IF(E42="JPY",1,2))),"未入力")))</f>
        <v/>
      </c>
      <c r="J42" s="20" t="str">
        <f aca="false">IF(G42&lt;&gt;"",G42,IF(F42="","",IF(OR(E42="",E42="GBP"),F42,IF(ISNUMBER(I42),ROUND(F42/I42,2),"レート未入力"))))</f>
        <v/>
      </c>
      <c r="K42" s="34"/>
      <c r="L42" s="20" t="str">
        <f aca="false">IF(ISNUMBER(J42),ROUND(J42*IF(K42="",1,K42),2),"")</f>
        <v/>
      </c>
      <c r="M42" s="35"/>
      <c r="N42" s="25" t="str">
        <f aca="false">IF(A42="","",IF(A42&lt;DATE(2026,4,6),"2025/26",IF(A42&lt;DATE(2027,4,6),"2026/27","2027/28")))</f>
        <v/>
      </c>
      <c r="O42" s="15"/>
    </row>
    <row r="43" customFormat="false" ht="15" hidden="false" customHeight="false" outlineLevel="0" collapsed="false">
      <c r="A43" s="31"/>
      <c r="B43" s="15"/>
      <c r="C43" s="15"/>
      <c r="D43" s="15"/>
      <c r="E43" s="15"/>
      <c r="F43" s="13"/>
      <c r="G43" s="27"/>
      <c r="H43" s="32"/>
      <c r="I43" s="33" t="str">
        <f aca="false">IF(OR(E43="",E43="GBP"),"",IF(H43&lt;&gt;"",H43,IFERROR(1/(1/INDEX(日次レート!$C$5:$D$644,MATCH(A43,日次レート!$A$5:$A$644,0),IF(E43="JPY",1,2))),"未入力")))</f>
        <v/>
      </c>
      <c r="J43" s="20" t="str">
        <f aca="false">IF(G43&lt;&gt;"",G43,IF(F43="","",IF(OR(E43="",E43="GBP"),F43,IF(ISNUMBER(I43),ROUND(F43/I43,2),"レート未入力"))))</f>
        <v/>
      </c>
      <c r="K43" s="34"/>
      <c r="L43" s="20" t="str">
        <f aca="false">IF(ISNUMBER(J43),ROUND(J43*IF(K43="",1,K43),2),"")</f>
        <v/>
      </c>
      <c r="M43" s="35"/>
      <c r="N43" s="25" t="str">
        <f aca="false">IF(A43="","",IF(A43&lt;DATE(2026,4,6),"2025/26",IF(A43&lt;DATE(2027,4,6),"2026/27","2027/28")))</f>
        <v/>
      </c>
      <c r="O43" s="15"/>
    </row>
    <row r="44" customFormat="false" ht="15" hidden="false" customHeight="false" outlineLevel="0" collapsed="false">
      <c r="A44" s="31"/>
      <c r="B44" s="15"/>
      <c r="C44" s="15"/>
      <c r="D44" s="15"/>
      <c r="E44" s="15"/>
      <c r="F44" s="13"/>
      <c r="G44" s="27"/>
      <c r="H44" s="32"/>
      <c r="I44" s="33" t="str">
        <f aca="false">IF(OR(E44="",E44="GBP"),"",IF(H44&lt;&gt;"",H44,IFERROR(1/(1/INDEX(日次レート!$C$5:$D$644,MATCH(A44,日次レート!$A$5:$A$644,0),IF(E44="JPY",1,2))),"未入力")))</f>
        <v/>
      </c>
      <c r="J44" s="20" t="str">
        <f aca="false">IF(G44&lt;&gt;"",G44,IF(F44="","",IF(OR(E44="",E44="GBP"),F44,IF(ISNUMBER(I44),ROUND(F44/I44,2),"レート未入力"))))</f>
        <v/>
      </c>
      <c r="K44" s="34"/>
      <c r="L44" s="20" t="str">
        <f aca="false">IF(ISNUMBER(J44),ROUND(J44*IF(K44="",1,K44),2),"")</f>
        <v/>
      </c>
      <c r="M44" s="35"/>
      <c r="N44" s="25" t="str">
        <f aca="false">IF(A44="","",IF(A44&lt;DATE(2026,4,6),"2025/26",IF(A44&lt;DATE(2027,4,6),"2026/27","2027/28")))</f>
        <v/>
      </c>
      <c r="O44" s="15"/>
    </row>
    <row r="45" customFormat="false" ht="15" hidden="false" customHeight="false" outlineLevel="0" collapsed="false">
      <c r="A45" s="31"/>
      <c r="B45" s="15"/>
      <c r="C45" s="15"/>
      <c r="D45" s="15"/>
      <c r="E45" s="15"/>
      <c r="F45" s="13"/>
      <c r="G45" s="27"/>
      <c r="H45" s="32"/>
      <c r="I45" s="33" t="str">
        <f aca="false">IF(OR(E45="",E45="GBP"),"",IF(H45&lt;&gt;"",H45,IFERROR(1/(1/INDEX(日次レート!$C$5:$D$644,MATCH(A45,日次レート!$A$5:$A$644,0),IF(E45="JPY",1,2))),"未入力")))</f>
        <v/>
      </c>
      <c r="J45" s="20" t="str">
        <f aca="false">IF(G45&lt;&gt;"",G45,IF(F45="","",IF(OR(E45="",E45="GBP"),F45,IF(ISNUMBER(I45),ROUND(F45/I45,2),"レート未入力"))))</f>
        <v/>
      </c>
      <c r="K45" s="34"/>
      <c r="L45" s="20" t="str">
        <f aca="false">IF(ISNUMBER(J45),ROUND(J45*IF(K45="",1,K45),2),"")</f>
        <v/>
      </c>
      <c r="M45" s="35"/>
      <c r="N45" s="25" t="str">
        <f aca="false">IF(A45="","",IF(A45&lt;DATE(2026,4,6),"2025/26",IF(A45&lt;DATE(2027,4,6),"2026/27","2027/28")))</f>
        <v/>
      </c>
      <c r="O45" s="15"/>
    </row>
    <row r="46" customFormat="false" ht="15" hidden="false" customHeight="false" outlineLevel="0" collapsed="false">
      <c r="A46" s="31"/>
      <c r="B46" s="15"/>
      <c r="C46" s="15"/>
      <c r="D46" s="15"/>
      <c r="E46" s="15"/>
      <c r="F46" s="13"/>
      <c r="G46" s="27"/>
      <c r="H46" s="32"/>
      <c r="I46" s="33" t="str">
        <f aca="false">IF(OR(E46="",E46="GBP"),"",IF(H46&lt;&gt;"",H46,IFERROR(1/(1/INDEX(日次レート!$C$5:$D$644,MATCH(A46,日次レート!$A$5:$A$644,0),IF(E46="JPY",1,2))),"未入力")))</f>
        <v/>
      </c>
      <c r="J46" s="20" t="str">
        <f aca="false">IF(G46&lt;&gt;"",G46,IF(F46="","",IF(OR(E46="",E46="GBP"),F46,IF(ISNUMBER(I46),ROUND(F46/I46,2),"レート未入力"))))</f>
        <v/>
      </c>
      <c r="K46" s="34"/>
      <c r="L46" s="20" t="str">
        <f aca="false">IF(ISNUMBER(J46),ROUND(J46*IF(K46="",1,K46),2),"")</f>
        <v/>
      </c>
      <c r="M46" s="35"/>
      <c r="N46" s="25" t="str">
        <f aca="false">IF(A46="","",IF(A46&lt;DATE(2026,4,6),"2025/26",IF(A46&lt;DATE(2027,4,6),"2026/27","2027/28")))</f>
        <v/>
      </c>
      <c r="O46" s="15"/>
    </row>
    <row r="47" customFormat="false" ht="15" hidden="false" customHeight="false" outlineLevel="0" collapsed="false">
      <c r="A47" s="31"/>
      <c r="B47" s="15"/>
      <c r="C47" s="15"/>
      <c r="D47" s="15"/>
      <c r="E47" s="15"/>
      <c r="F47" s="13"/>
      <c r="G47" s="27"/>
      <c r="H47" s="32"/>
      <c r="I47" s="33" t="str">
        <f aca="false">IF(OR(E47="",E47="GBP"),"",IF(H47&lt;&gt;"",H47,IFERROR(1/(1/INDEX(日次レート!$C$5:$D$644,MATCH(A47,日次レート!$A$5:$A$644,0),IF(E47="JPY",1,2))),"未入力")))</f>
        <v/>
      </c>
      <c r="J47" s="20" t="str">
        <f aca="false">IF(G47&lt;&gt;"",G47,IF(F47="","",IF(OR(E47="",E47="GBP"),F47,IF(ISNUMBER(I47),ROUND(F47/I47,2),"レート未入力"))))</f>
        <v/>
      </c>
      <c r="K47" s="34"/>
      <c r="L47" s="20" t="str">
        <f aca="false">IF(ISNUMBER(J47),ROUND(J47*IF(K47="",1,K47),2),"")</f>
        <v/>
      </c>
      <c r="M47" s="35"/>
      <c r="N47" s="25" t="str">
        <f aca="false">IF(A47="","",IF(A47&lt;DATE(2026,4,6),"2025/26",IF(A47&lt;DATE(2027,4,6),"2026/27","2027/28")))</f>
        <v/>
      </c>
      <c r="O47" s="15"/>
    </row>
    <row r="48" customFormat="false" ht="15" hidden="false" customHeight="false" outlineLevel="0" collapsed="false">
      <c r="A48" s="31"/>
      <c r="B48" s="15"/>
      <c r="C48" s="15"/>
      <c r="D48" s="15"/>
      <c r="E48" s="15"/>
      <c r="F48" s="13"/>
      <c r="G48" s="27"/>
      <c r="H48" s="32"/>
      <c r="I48" s="33" t="str">
        <f aca="false">IF(OR(E48="",E48="GBP"),"",IF(H48&lt;&gt;"",H48,IFERROR(1/(1/INDEX(日次レート!$C$5:$D$644,MATCH(A48,日次レート!$A$5:$A$644,0),IF(E48="JPY",1,2))),"未入力")))</f>
        <v/>
      </c>
      <c r="J48" s="20" t="str">
        <f aca="false">IF(G48&lt;&gt;"",G48,IF(F48="","",IF(OR(E48="",E48="GBP"),F48,IF(ISNUMBER(I48),ROUND(F48/I48,2),"レート未入力"))))</f>
        <v/>
      </c>
      <c r="K48" s="34"/>
      <c r="L48" s="20" t="str">
        <f aca="false">IF(ISNUMBER(J48),ROUND(J48*IF(K48="",1,K48),2),"")</f>
        <v/>
      </c>
      <c r="M48" s="35"/>
      <c r="N48" s="25" t="str">
        <f aca="false">IF(A48="","",IF(A48&lt;DATE(2026,4,6),"2025/26",IF(A48&lt;DATE(2027,4,6),"2026/27","2027/28")))</f>
        <v/>
      </c>
      <c r="O48" s="15"/>
    </row>
    <row r="49" customFormat="false" ht="15" hidden="false" customHeight="false" outlineLevel="0" collapsed="false">
      <c r="A49" s="31"/>
      <c r="B49" s="15"/>
      <c r="C49" s="15"/>
      <c r="D49" s="15"/>
      <c r="E49" s="15"/>
      <c r="F49" s="13"/>
      <c r="G49" s="27"/>
      <c r="H49" s="32"/>
      <c r="I49" s="33" t="str">
        <f aca="false">IF(OR(E49="",E49="GBP"),"",IF(H49&lt;&gt;"",H49,IFERROR(1/(1/INDEX(日次レート!$C$5:$D$644,MATCH(A49,日次レート!$A$5:$A$644,0),IF(E49="JPY",1,2))),"未入力")))</f>
        <v/>
      </c>
      <c r="J49" s="20" t="str">
        <f aca="false">IF(G49&lt;&gt;"",G49,IF(F49="","",IF(OR(E49="",E49="GBP"),F49,IF(ISNUMBER(I49),ROUND(F49/I49,2),"レート未入力"))))</f>
        <v/>
      </c>
      <c r="K49" s="34"/>
      <c r="L49" s="20" t="str">
        <f aca="false">IF(ISNUMBER(J49),ROUND(J49*IF(K49="",1,K49),2),"")</f>
        <v/>
      </c>
      <c r="M49" s="35"/>
      <c r="N49" s="25" t="str">
        <f aca="false">IF(A49="","",IF(A49&lt;DATE(2026,4,6),"2025/26",IF(A49&lt;DATE(2027,4,6),"2026/27","2027/28")))</f>
        <v/>
      </c>
      <c r="O49" s="15"/>
    </row>
    <row r="50" customFormat="false" ht="15" hidden="false" customHeight="false" outlineLevel="0" collapsed="false">
      <c r="A50" s="31"/>
      <c r="B50" s="15"/>
      <c r="C50" s="15"/>
      <c r="D50" s="15"/>
      <c r="E50" s="15"/>
      <c r="F50" s="13"/>
      <c r="G50" s="27"/>
      <c r="H50" s="32"/>
      <c r="I50" s="33" t="str">
        <f aca="false">IF(OR(E50="",E50="GBP"),"",IF(H50&lt;&gt;"",H50,IFERROR(1/(1/INDEX(日次レート!$C$5:$D$644,MATCH(A50,日次レート!$A$5:$A$644,0),IF(E50="JPY",1,2))),"未入力")))</f>
        <v/>
      </c>
      <c r="J50" s="20" t="str">
        <f aca="false">IF(G50&lt;&gt;"",G50,IF(F50="","",IF(OR(E50="",E50="GBP"),F50,IF(ISNUMBER(I50),ROUND(F50/I50,2),"レート未入力"))))</f>
        <v/>
      </c>
      <c r="K50" s="34"/>
      <c r="L50" s="20" t="str">
        <f aca="false">IF(ISNUMBER(J50),ROUND(J50*IF(K50="",1,K50),2),"")</f>
        <v/>
      </c>
      <c r="M50" s="35"/>
      <c r="N50" s="25" t="str">
        <f aca="false">IF(A50="","",IF(A50&lt;DATE(2026,4,6),"2025/26",IF(A50&lt;DATE(2027,4,6),"2026/27","2027/28")))</f>
        <v/>
      </c>
      <c r="O50" s="15"/>
    </row>
    <row r="51" customFormat="false" ht="15" hidden="false" customHeight="false" outlineLevel="0" collapsed="false">
      <c r="A51" s="31"/>
      <c r="B51" s="15"/>
      <c r="C51" s="15"/>
      <c r="D51" s="15"/>
      <c r="E51" s="15"/>
      <c r="F51" s="13"/>
      <c r="G51" s="27"/>
      <c r="H51" s="32"/>
      <c r="I51" s="33" t="str">
        <f aca="false">IF(OR(E51="",E51="GBP"),"",IF(H51&lt;&gt;"",H51,IFERROR(1/(1/INDEX(日次レート!$C$5:$D$644,MATCH(A51,日次レート!$A$5:$A$644,0),IF(E51="JPY",1,2))),"未入力")))</f>
        <v/>
      </c>
      <c r="J51" s="20" t="str">
        <f aca="false">IF(G51&lt;&gt;"",G51,IF(F51="","",IF(OR(E51="",E51="GBP"),F51,IF(ISNUMBER(I51),ROUND(F51/I51,2),"レート未入力"))))</f>
        <v/>
      </c>
      <c r="K51" s="34"/>
      <c r="L51" s="20" t="str">
        <f aca="false">IF(ISNUMBER(J51),ROUND(J51*IF(K51="",1,K51),2),"")</f>
        <v/>
      </c>
      <c r="M51" s="35"/>
      <c r="N51" s="25" t="str">
        <f aca="false">IF(A51="","",IF(A51&lt;DATE(2026,4,6),"2025/26",IF(A51&lt;DATE(2027,4,6),"2026/27","2027/28")))</f>
        <v/>
      </c>
      <c r="O51" s="15"/>
    </row>
    <row r="52" customFormat="false" ht="15" hidden="false" customHeight="false" outlineLevel="0" collapsed="false">
      <c r="A52" s="31"/>
      <c r="B52" s="15"/>
      <c r="C52" s="15"/>
      <c r="D52" s="15"/>
      <c r="E52" s="15"/>
      <c r="F52" s="13"/>
      <c r="G52" s="27"/>
      <c r="H52" s="32"/>
      <c r="I52" s="33" t="str">
        <f aca="false">IF(OR(E52="",E52="GBP"),"",IF(H52&lt;&gt;"",H52,IFERROR(1/(1/INDEX(日次レート!$C$5:$D$644,MATCH(A52,日次レート!$A$5:$A$644,0),IF(E52="JPY",1,2))),"未入力")))</f>
        <v/>
      </c>
      <c r="J52" s="20" t="str">
        <f aca="false">IF(G52&lt;&gt;"",G52,IF(F52="","",IF(OR(E52="",E52="GBP"),F52,IF(ISNUMBER(I52),ROUND(F52/I52,2),"レート未入力"))))</f>
        <v/>
      </c>
      <c r="K52" s="34"/>
      <c r="L52" s="20" t="str">
        <f aca="false">IF(ISNUMBER(J52),ROUND(J52*IF(K52="",1,K52),2),"")</f>
        <v/>
      </c>
      <c r="M52" s="35"/>
      <c r="N52" s="25" t="str">
        <f aca="false">IF(A52="","",IF(A52&lt;DATE(2026,4,6),"2025/26",IF(A52&lt;DATE(2027,4,6),"2026/27","2027/28")))</f>
        <v/>
      </c>
      <c r="O52" s="15"/>
    </row>
    <row r="53" customFormat="false" ht="15" hidden="false" customHeight="false" outlineLevel="0" collapsed="false">
      <c r="A53" s="31"/>
      <c r="B53" s="15"/>
      <c r="C53" s="15"/>
      <c r="D53" s="15"/>
      <c r="E53" s="15"/>
      <c r="F53" s="13"/>
      <c r="G53" s="27"/>
      <c r="H53" s="32"/>
      <c r="I53" s="33" t="str">
        <f aca="false">IF(OR(E53="",E53="GBP"),"",IF(H53&lt;&gt;"",H53,IFERROR(1/(1/INDEX(日次レート!$C$5:$D$644,MATCH(A53,日次レート!$A$5:$A$644,0),IF(E53="JPY",1,2))),"未入力")))</f>
        <v/>
      </c>
      <c r="J53" s="20" t="str">
        <f aca="false">IF(G53&lt;&gt;"",G53,IF(F53="","",IF(OR(E53="",E53="GBP"),F53,IF(ISNUMBER(I53),ROUND(F53/I53,2),"レート未入力"))))</f>
        <v/>
      </c>
      <c r="K53" s="34"/>
      <c r="L53" s="20" t="str">
        <f aca="false">IF(ISNUMBER(J53),ROUND(J53*IF(K53="",1,K53),2),"")</f>
        <v/>
      </c>
      <c r="M53" s="35"/>
      <c r="N53" s="25" t="str">
        <f aca="false">IF(A53="","",IF(A53&lt;DATE(2026,4,6),"2025/26",IF(A53&lt;DATE(2027,4,6),"2026/27","2027/28")))</f>
        <v/>
      </c>
      <c r="O53" s="15"/>
    </row>
    <row r="54" customFormat="false" ht="15" hidden="false" customHeight="false" outlineLevel="0" collapsed="false">
      <c r="A54" s="31"/>
      <c r="B54" s="15"/>
      <c r="C54" s="15"/>
      <c r="D54" s="15"/>
      <c r="E54" s="15"/>
      <c r="F54" s="13"/>
      <c r="G54" s="27"/>
      <c r="H54" s="32"/>
      <c r="I54" s="33" t="str">
        <f aca="false">IF(OR(E54="",E54="GBP"),"",IF(H54&lt;&gt;"",H54,IFERROR(1/(1/INDEX(日次レート!$C$5:$D$644,MATCH(A54,日次レート!$A$5:$A$644,0),IF(E54="JPY",1,2))),"未入力")))</f>
        <v/>
      </c>
      <c r="J54" s="20" t="str">
        <f aca="false">IF(G54&lt;&gt;"",G54,IF(F54="","",IF(OR(E54="",E54="GBP"),F54,IF(ISNUMBER(I54),ROUND(F54/I54,2),"レート未入力"))))</f>
        <v/>
      </c>
      <c r="K54" s="34"/>
      <c r="L54" s="20" t="str">
        <f aca="false">IF(ISNUMBER(J54),ROUND(J54*IF(K54="",1,K54),2),"")</f>
        <v/>
      </c>
      <c r="M54" s="35"/>
      <c r="N54" s="25" t="str">
        <f aca="false">IF(A54="","",IF(A54&lt;DATE(2026,4,6),"2025/26",IF(A54&lt;DATE(2027,4,6),"2026/27","2027/28")))</f>
        <v/>
      </c>
      <c r="O54" s="15"/>
    </row>
    <row r="55" customFormat="false" ht="15" hidden="false" customHeight="false" outlineLevel="0" collapsed="false">
      <c r="A55" s="31"/>
      <c r="B55" s="15"/>
      <c r="C55" s="15"/>
      <c r="D55" s="15"/>
      <c r="E55" s="15"/>
      <c r="F55" s="13"/>
      <c r="G55" s="27"/>
      <c r="H55" s="32"/>
      <c r="I55" s="33" t="str">
        <f aca="false">IF(OR(E55="",E55="GBP"),"",IF(H55&lt;&gt;"",H55,IFERROR(1/(1/INDEX(日次レート!$C$5:$D$644,MATCH(A55,日次レート!$A$5:$A$644,0),IF(E55="JPY",1,2))),"未入力")))</f>
        <v/>
      </c>
      <c r="J55" s="20" t="str">
        <f aca="false">IF(G55&lt;&gt;"",G55,IF(F55="","",IF(OR(E55="",E55="GBP"),F55,IF(ISNUMBER(I55),ROUND(F55/I55,2),"レート未入力"))))</f>
        <v/>
      </c>
      <c r="K55" s="34"/>
      <c r="L55" s="20" t="str">
        <f aca="false">IF(ISNUMBER(J55),ROUND(J55*IF(K55="",1,K55),2),"")</f>
        <v/>
      </c>
      <c r="M55" s="35"/>
      <c r="N55" s="25" t="str">
        <f aca="false">IF(A55="","",IF(A55&lt;DATE(2026,4,6),"2025/26",IF(A55&lt;DATE(2027,4,6),"2026/27","2027/28")))</f>
        <v/>
      </c>
      <c r="O55" s="15"/>
    </row>
    <row r="56" customFormat="false" ht="15" hidden="false" customHeight="false" outlineLevel="0" collapsed="false">
      <c r="A56" s="31"/>
      <c r="B56" s="15"/>
      <c r="C56" s="15"/>
      <c r="D56" s="15"/>
      <c r="E56" s="15"/>
      <c r="F56" s="13"/>
      <c r="G56" s="27"/>
      <c r="H56" s="32"/>
      <c r="I56" s="33" t="str">
        <f aca="false">IF(OR(E56="",E56="GBP"),"",IF(H56&lt;&gt;"",H56,IFERROR(1/(1/INDEX(日次レート!$C$5:$D$644,MATCH(A56,日次レート!$A$5:$A$644,0),IF(E56="JPY",1,2))),"未入力")))</f>
        <v/>
      </c>
      <c r="J56" s="20" t="str">
        <f aca="false">IF(G56&lt;&gt;"",G56,IF(F56="","",IF(OR(E56="",E56="GBP"),F56,IF(ISNUMBER(I56),ROUND(F56/I56,2),"レート未入力"))))</f>
        <v/>
      </c>
      <c r="K56" s="34"/>
      <c r="L56" s="20" t="str">
        <f aca="false">IF(ISNUMBER(J56),ROUND(J56*IF(K56="",1,K56),2),"")</f>
        <v/>
      </c>
      <c r="M56" s="35"/>
      <c r="N56" s="25" t="str">
        <f aca="false">IF(A56="","",IF(A56&lt;DATE(2026,4,6),"2025/26",IF(A56&lt;DATE(2027,4,6),"2026/27","2027/28")))</f>
        <v/>
      </c>
      <c r="O56" s="15"/>
    </row>
    <row r="57" customFormat="false" ht="15" hidden="false" customHeight="false" outlineLevel="0" collapsed="false">
      <c r="A57" s="31"/>
      <c r="B57" s="15"/>
      <c r="C57" s="15"/>
      <c r="D57" s="15"/>
      <c r="E57" s="15"/>
      <c r="F57" s="13"/>
      <c r="G57" s="27"/>
      <c r="H57" s="32"/>
      <c r="I57" s="33" t="str">
        <f aca="false">IF(OR(E57="",E57="GBP"),"",IF(H57&lt;&gt;"",H57,IFERROR(1/(1/INDEX(日次レート!$C$5:$D$644,MATCH(A57,日次レート!$A$5:$A$644,0),IF(E57="JPY",1,2))),"未入力")))</f>
        <v/>
      </c>
      <c r="J57" s="20" t="str">
        <f aca="false">IF(G57&lt;&gt;"",G57,IF(F57="","",IF(OR(E57="",E57="GBP"),F57,IF(ISNUMBER(I57),ROUND(F57/I57,2),"レート未入力"))))</f>
        <v/>
      </c>
      <c r="K57" s="34"/>
      <c r="L57" s="20" t="str">
        <f aca="false">IF(ISNUMBER(J57),ROUND(J57*IF(K57="",1,K57),2),"")</f>
        <v/>
      </c>
      <c r="M57" s="35"/>
      <c r="N57" s="25" t="str">
        <f aca="false">IF(A57="","",IF(A57&lt;DATE(2026,4,6),"2025/26",IF(A57&lt;DATE(2027,4,6),"2026/27","2027/28")))</f>
        <v/>
      </c>
      <c r="O57" s="15"/>
    </row>
    <row r="58" customFormat="false" ht="15" hidden="false" customHeight="false" outlineLevel="0" collapsed="false">
      <c r="A58" s="31"/>
      <c r="B58" s="15"/>
      <c r="C58" s="15"/>
      <c r="D58" s="15"/>
      <c r="E58" s="15"/>
      <c r="F58" s="13"/>
      <c r="G58" s="27"/>
      <c r="H58" s="32"/>
      <c r="I58" s="33" t="str">
        <f aca="false">IF(OR(E58="",E58="GBP"),"",IF(H58&lt;&gt;"",H58,IFERROR(1/(1/INDEX(日次レート!$C$5:$D$644,MATCH(A58,日次レート!$A$5:$A$644,0),IF(E58="JPY",1,2))),"未入力")))</f>
        <v/>
      </c>
      <c r="J58" s="20" t="str">
        <f aca="false">IF(G58&lt;&gt;"",G58,IF(F58="","",IF(OR(E58="",E58="GBP"),F58,IF(ISNUMBER(I58),ROUND(F58/I58,2),"レート未入力"))))</f>
        <v/>
      </c>
      <c r="K58" s="34"/>
      <c r="L58" s="20" t="str">
        <f aca="false">IF(ISNUMBER(J58),ROUND(J58*IF(K58="",1,K58),2),"")</f>
        <v/>
      </c>
      <c r="M58" s="35"/>
      <c r="N58" s="25" t="str">
        <f aca="false">IF(A58="","",IF(A58&lt;DATE(2026,4,6),"2025/26",IF(A58&lt;DATE(2027,4,6),"2026/27","2027/28")))</f>
        <v/>
      </c>
      <c r="O58" s="15"/>
    </row>
    <row r="59" customFormat="false" ht="15" hidden="false" customHeight="false" outlineLevel="0" collapsed="false">
      <c r="A59" s="31"/>
      <c r="B59" s="15"/>
      <c r="C59" s="15"/>
      <c r="D59" s="15"/>
      <c r="E59" s="15"/>
      <c r="F59" s="13"/>
      <c r="G59" s="27"/>
      <c r="H59" s="32"/>
      <c r="I59" s="33" t="str">
        <f aca="false">IF(OR(E59="",E59="GBP"),"",IF(H59&lt;&gt;"",H59,IFERROR(1/(1/INDEX(日次レート!$C$5:$D$644,MATCH(A59,日次レート!$A$5:$A$644,0),IF(E59="JPY",1,2))),"未入力")))</f>
        <v/>
      </c>
      <c r="J59" s="20" t="str">
        <f aca="false">IF(G59&lt;&gt;"",G59,IF(F59="","",IF(OR(E59="",E59="GBP"),F59,IF(ISNUMBER(I59),ROUND(F59/I59,2),"レート未入力"))))</f>
        <v/>
      </c>
      <c r="K59" s="34"/>
      <c r="L59" s="20" t="str">
        <f aca="false">IF(ISNUMBER(J59),ROUND(J59*IF(K59="",1,K59),2),"")</f>
        <v/>
      </c>
      <c r="M59" s="35"/>
      <c r="N59" s="25" t="str">
        <f aca="false">IF(A59="","",IF(A59&lt;DATE(2026,4,6),"2025/26",IF(A59&lt;DATE(2027,4,6),"2026/27","2027/28")))</f>
        <v/>
      </c>
      <c r="O59" s="15"/>
    </row>
    <row r="60" customFormat="false" ht="15" hidden="false" customHeight="false" outlineLevel="0" collapsed="false">
      <c r="A60" s="31"/>
      <c r="B60" s="15"/>
      <c r="C60" s="15"/>
      <c r="D60" s="15"/>
      <c r="E60" s="15"/>
      <c r="F60" s="13"/>
      <c r="G60" s="27"/>
      <c r="H60" s="32"/>
      <c r="I60" s="33" t="str">
        <f aca="false">IF(OR(E60="",E60="GBP"),"",IF(H60&lt;&gt;"",H60,IFERROR(1/(1/INDEX(日次レート!$C$5:$D$644,MATCH(A60,日次レート!$A$5:$A$644,0),IF(E60="JPY",1,2))),"未入力")))</f>
        <v/>
      </c>
      <c r="J60" s="20" t="str">
        <f aca="false">IF(G60&lt;&gt;"",G60,IF(F60="","",IF(OR(E60="",E60="GBP"),F60,IF(ISNUMBER(I60),ROUND(F60/I60,2),"レート未入力"))))</f>
        <v/>
      </c>
      <c r="K60" s="34"/>
      <c r="L60" s="20" t="str">
        <f aca="false">IF(ISNUMBER(J60),ROUND(J60*IF(K60="",1,K60),2),"")</f>
        <v/>
      </c>
      <c r="M60" s="35"/>
      <c r="N60" s="25" t="str">
        <f aca="false">IF(A60="","",IF(A60&lt;DATE(2026,4,6),"2025/26",IF(A60&lt;DATE(2027,4,6),"2026/27","2027/28")))</f>
        <v/>
      </c>
      <c r="O60" s="15"/>
    </row>
    <row r="61" customFormat="false" ht="15" hidden="false" customHeight="false" outlineLevel="0" collapsed="false">
      <c r="A61" s="31"/>
      <c r="B61" s="15"/>
      <c r="C61" s="15"/>
      <c r="D61" s="15"/>
      <c r="E61" s="15"/>
      <c r="F61" s="13"/>
      <c r="G61" s="27"/>
      <c r="H61" s="32"/>
      <c r="I61" s="33" t="str">
        <f aca="false">IF(OR(E61="",E61="GBP"),"",IF(H61&lt;&gt;"",H61,IFERROR(1/(1/INDEX(日次レート!$C$5:$D$644,MATCH(A61,日次レート!$A$5:$A$644,0),IF(E61="JPY",1,2))),"未入力")))</f>
        <v/>
      </c>
      <c r="J61" s="20" t="str">
        <f aca="false">IF(G61&lt;&gt;"",G61,IF(F61="","",IF(OR(E61="",E61="GBP"),F61,IF(ISNUMBER(I61),ROUND(F61/I61,2),"レート未入力"))))</f>
        <v/>
      </c>
      <c r="K61" s="34"/>
      <c r="L61" s="20" t="str">
        <f aca="false">IF(ISNUMBER(J61),ROUND(J61*IF(K61="",1,K61),2),"")</f>
        <v/>
      </c>
      <c r="M61" s="35"/>
      <c r="N61" s="25" t="str">
        <f aca="false">IF(A61="","",IF(A61&lt;DATE(2026,4,6),"2025/26",IF(A61&lt;DATE(2027,4,6),"2026/27","2027/28")))</f>
        <v/>
      </c>
      <c r="O61" s="15"/>
    </row>
    <row r="62" customFormat="false" ht="15" hidden="false" customHeight="false" outlineLevel="0" collapsed="false">
      <c r="A62" s="31"/>
      <c r="B62" s="15"/>
      <c r="C62" s="15"/>
      <c r="D62" s="15"/>
      <c r="E62" s="15"/>
      <c r="F62" s="13"/>
      <c r="G62" s="27"/>
      <c r="H62" s="32"/>
      <c r="I62" s="33" t="str">
        <f aca="false">IF(OR(E62="",E62="GBP"),"",IF(H62&lt;&gt;"",H62,IFERROR(1/(1/INDEX(日次レート!$C$5:$D$644,MATCH(A62,日次レート!$A$5:$A$644,0),IF(E62="JPY",1,2))),"未入力")))</f>
        <v/>
      </c>
      <c r="J62" s="20" t="str">
        <f aca="false">IF(G62&lt;&gt;"",G62,IF(F62="","",IF(OR(E62="",E62="GBP"),F62,IF(ISNUMBER(I62),ROUND(F62/I62,2),"レート未入力"))))</f>
        <v/>
      </c>
      <c r="K62" s="34"/>
      <c r="L62" s="20" t="str">
        <f aca="false">IF(ISNUMBER(J62),ROUND(J62*IF(K62="",1,K62),2),"")</f>
        <v/>
      </c>
      <c r="M62" s="35"/>
      <c r="N62" s="25" t="str">
        <f aca="false">IF(A62="","",IF(A62&lt;DATE(2026,4,6),"2025/26",IF(A62&lt;DATE(2027,4,6),"2026/27","2027/28")))</f>
        <v/>
      </c>
      <c r="O62" s="15"/>
    </row>
    <row r="63" customFormat="false" ht="15" hidden="false" customHeight="false" outlineLevel="0" collapsed="false">
      <c r="A63" s="31"/>
      <c r="B63" s="15"/>
      <c r="C63" s="15"/>
      <c r="D63" s="15"/>
      <c r="E63" s="15"/>
      <c r="F63" s="13"/>
      <c r="G63" s="27"/>
      <c r="H63" s="32"/>
      <c r="I63" s="33" t="str">
        <f aca="false">IF(OR(E63="",E63="GBP"),"",IF(H63&lt;&gt;"",H63,IFERROR(1/(1/INDEX(日次レート!$C$5:$D$644,MATCH(A63,日次レート!$A$5:$A$644,0),IF(E63="JPY",1,2))),"未入力")))</f>
        <v/>
      </c>
      <c r="J63" s="20" t="str">
        <f aca="false">IF(G63&lt;&gt;"",G63,IF(F63="","",IF(OR(E63="",E63="GBP"),F63,IF(ISNUMBER(I63),ROUND(F63/I63,2),"レート未入力"))))</f>
        <v/>
      </c>
      <c r="K63" s="34"/>
      <c r="L63" s="20" t="str">
        <f aca="false">IF(ISNUMBER(J63),ROUND(J63*IF(K63="",1,K63),2),"")</f>
        <v/>
      </c>
      <c r="M63" s="35"/>
      <c r="N63" s="25" t="str">
        <f aca="false">IF(A63="","",IF(A63&lt;DATE(2026,4,6),"2025/26",IF(A63&lt;DATE(2027,4,6),"2026/27","2027/28")))</f>
        <v/>
      </c>
      <c r="O63" s="15"/>
    </row>
    <row r="64" customFormat="false" ht="15" hidden="false" customHeight="false" outlineLevel="0" collapsed="false">
      <c r="A64" s="31"/>
      <c r="B64" s="15"/>
      <c r="C64" s="15"/>
      <c r="D64" s="15"/>
      <c r="E64" s="15"/>
      <c r="F64" s="13"/>
      <c r="G64" s="27"/>
      <c r="H64" s="32"/>
      <c r="I64" s="33" t="str">
        <f aca="false">IF(OR(E64="",E64="GBP"),"",IF(H64&lt;&gt;"",H64,IFERROR(1/(1/INDEX(日次レート!$C$5:$D$644,MATCH(A64,日次レート!$A$5:$A$644,0),IF(E64="JPY",1,2))),"未入力")))</f>
        <v/>
      </c>
      <c r="J64" s="20" t="str">
        <f aca="false">IF(G64&lt;&gt;"",G64,IF(F64="","",IF(OR(E64="",E64="GBP"),F64,IF(ISNUMBER(I64),ROUND(F64/I64,2),"レート未入力"))))</f>
        <v/>
      </c>
      <c r="K64" s="34"/>
      <c r="L64" s="20" t="str">
        <f aca="false">IF(ISNUMBER(J64),ROUND(J64*IF(K64="",1,K64),2),"")</f>
        <v/>
      </c>
      <c r="M64" s="35"/>
      <c r="N64" s="25" t="str">
        <f aca="false">IF(A64="","",IF(A64&lt;DATE(2026,4,6),"2025/26",IF(A64&lt;DATE(2027,4,6),"2026/27","2027/28")))</f>
        <v/>
      </c>
      <c r="O64" s="15"/>
    </row>
    <row r="65" customFormat="false" ht="15" hidden="false" customHeight="false" outlineLevel="0" collapsed="false">
      <c r="A65" s="31"/>
      <c r="B65" s="15"/>
      <c r="C65" s="15"/>
      <c r="D65" s="15"/>
      <c r="E65" s="15"/>
      <c r="F65" s="13"/>
      <c r="G65" s="27"/>
      <c r="H65" s="32"/>
      <c r="I65" s="33" t="str">
        <f aca="false">IF(OR(E65="",E65="GBP"),"",IF(H65&lt;&gt;"",H65,IFERROR(1/(1/INDEX(日次レート!$C$5:$D$644,MATCH(A65,日次レート!$A$5:$A$644,0),IF(E65="JPY",1,2))),"未入力")))</f>
        <v/>
      </c>
      <c r="J65" s="20" t="str">
        <f aca="false">IF(G65&lt;&gt;"",G65,IF(F65="","",IF(OR(E65="",E65="GBP"),F65,IF(ISNUMBER(I65),ROUND(F65/I65,2),"レート未入力"))))</f>
        <v/>
      </c>
      <c r="K65" s="34"/>
      <c r="L65" s="20" t="str">
        <f aca="false">IF(ISNUMBER(J65),ROUND(J65*IF(K65="",1,K65),2),"")</f>
        <v/>
      </c>
      <c r="M65" s="35"/>
      <c r="N65" s="25" t="str">
        <f aca="false">IF(A65="","",IF(A65&lt;DATE(2026,4,6),"2025/26",IF(A65&lt;DATE(2027,4,6),"2026/27","2027/28")))</f>
        <v/>
      </c>
      <c r="O65" s="15"/>
    </row>
    <row r="66" customFormat="false" ht="15" hidden="false" customHeight="false" outlineLevel="0" collapsed="false">
      <c r="A66" s="31"/>
      <c r="B66" s="15"/>
      <c r="C66" s="15"/>
      <c r="D66" s="15"/>
      <c r="E66" s="15"/>
      <c r="F66" s="13"/>
      <c r="G66" s="27"/>
      <c r="H66" s="32"/>
      <c r="I66" s="33" t="str">
        <f aca="false">IF(OR(E66="",E66="GBP"),"",IF(H66&lt;&gt;"",H66,IFERROR(1/(1/INDEX(日次レート!$C$5:$D$644,MATCH(A66,日次レート!$A$5:$A$644,0),IF(E66="JPY",1,2))),"未入力")))</f>
        <v/>
      </c>
      <c r="J66" s="20" t="str">
        <f aca="false">IF(G66&lt;&gt;"",G66,IF(F66="","",IF(OR(E66="",E66="GBP"),F66,IF(ISNUMBER(I66),ROUND(F66/I66,2),"レート未入力"))))</f>
        <v/>
      </c>
      <c r="K66" s="34"/>
      <c r="L66" s="20" t="str">
        <f aca="false">IF(ISNUMBER(J66),ROUND(J66*IF(K66="",1,K66),2),"")</f>
        <v/>
      </c>
      <c r="M66" s="35"/>
      <c r="N66" s="25" t="str">
        <f aca="false">IF(A66="","",IF(A66&lt;DATE(2026,4,6),"2025/26",IF(A66&lt;DATE(2027,4,6),"2026/27","2027/28")))</f>
        <v/>
      </c>
      <c r="O66" s="15"/>
    </row>
    <row r="67" customFormat="false" ht="15" hidden="false" customHeight="false" outlineLevel="0" collapsed="false">
      <c r="A67" s="31"/>
      <c r="B67" s="15"/>
      <c r="C67" s="15"/>
      <c r="D67" s="15"/>
      <c r="E67" s="15"/>
      <c r="F67" s="13"/>
      <c r="G67" s="27"/>
      <c r="H67" s="32"/>
      <c r="I67" s="33" t="str">
        <f aca="false">IF(OR(E67="",E67="GBP"),"",IF(H67&lt;&gt;"",H67,IFERROR(1/(1/INDEX(日次レート!$C$5:$D$644,MATCH(A67,日次レート!$A$5:$A$644,0),IF(E67="JPY",1,2))),"未入力")))</f>
        <v/>
      </c>
      <c r="J67" s="20" t="str">
        <f aca="false">IF(G67&lt;&gt;"",G67,IF(F67="","",IF(OR(E67="",E67="GBP"),F67,IF(ISNUMBER(I67),ROUND(F67/I67,2),"レート未入力"))))</f>
        <v/>
      </c>
      <c r="K67" s="34"/>
      <c r="L67" s="20" t="str">
        <f aca="false">IF(ISNUMBER(J67),ROUND(J67*IF(K67="",1,K67),2),"")</f>
        <v/>
      </c>
      <c r="M67" s="35"/>
      <c r="N67" s="25" t="str">
        <f aca="false">IF(A67="","",IF(A67&lt;DATE(2026,4,6),"2025/26",IF(A67&lt;DATE(2027,4,6),"2026/27","2027/28")))</f>
        <v/>
      </c>
      <c r="O67" s="15"/>
    </row>
    <row r="68" customFormat="false" ht="15" hidden="false" customHeight="false" outlineLevel="0" collapsed="false">
      <c r="A68" s="31"/>
      <c r="B68" s="15"/>
      <c r="C68" s="15"/>
      <c r="D68" s="15"/>
      <c r="E68" s="15"/>
      <c r="F68" s="13"/>
      <c r="G68" s="27"/>
      <c r="H68" s="32"/>
      <c r="I68" s="33" t="str">
        <f aca="false">IF(OR(E68="",E68="GBP"),"",IF(H68&lt;&gt;"",H68,IFERROR(1/(1/INDEX(日次レート!$C$5:$D$644,MATCH(A68,日次レート!$A$5:$A$644,0),IF(E68="JPY",1,2))),"未入力")))</f>
        <v/>
      </c>
      <c r="J68" s="20" t="str">
        <f aca="false">IF(G68&lt;&gt;"",G68,IF(F68="","",IF(OR(E68="",E68="GBP"),F68,IF(ISNUMBER(I68),ROUND(F68/I68,2),"レート未入力"))))</f>
        <v/>
      </c>
      <c r="K68" s="34"/>
      <c r="L68" s="20" t="str">
        <f aca="false">IF(ISNUMBER(J68),ROUND(J68*IF(K68="",1,K68),2),"")</f>
        <v/>
      </c>
      <c r="M68" s="35"/>
      <c r="N68" s="25" t="str">
        <f aca="false">IF(A68="","",IF(A68&lt;DATE(2026,4,6),"2025/26",IF(A68&lt;DATE(2027,4,6),"2026/27","2027/28")))</f>
        <v/>
      </c>
      <c r="O68" s="15"/>
    </row>
    <row r="69" customFormat="false" ht="15" hidden="false" customHeight="false" outlineLevel="0" collapsed="false">
      <c r="A69" s="31"/>
      <c r="B69" s="15"/>
      <c r="C69" s="15"/>
      <c r="D69" s="15"/>
      <c r="E69" s="15"/>
      <c r="F69" s="13"/>
      <c r="G69" s="27"/>
      <c r="H69" s="32"/>
      <c r="I69" s="33" t="str">
        <f aca="false">IF(OR(E69="",E69="GBP"),"",IF(H69&lt;&gt;"",H69,IFERROR(1/(1/INDEX(日次レート!$C$5:$D$644,MATCH(A69,日次レート!$A$5:$A$644,0),IF(E69="JPY",1,2))),"未入力")))</f>
        <v/>
      </c>
      <c r="J69" s="20" t="str">
        <f aca="false">IF(G69&lt;&gt;"",G69,IF(F69="","",IF(OR(E69="",E69="GBP"),F69,IF(ISNUMBER(I69),ROUND(F69/I69,2),"レート未入力"))))</f>
        <v/>
      </c>
      <c r="K69" s="34"/>
      <c r="L69" s="20" t="str">
        <f aca="false">IF(ISNUMBER(J69),ROUND(J69*IF(K69="",1,K69),2),"")</f>
        <v/>
      </c>
      <c r="M69" s="35"/>
      <c r="N69" s="25" t="str">
        <f aca="false">IF(A69="","",IF(A69&lt;DATE(2026,4,6),"2025/26",IF(A69&lt;DATE(2027,4,6),"2026/27","2027/28")))</f>
        <v/>
      </c>
      <c r="O69" s="15"/>
    </row>
    <row r="70" customFormat="false" ht="15" hidden="false" customHeight="false" outlineLevel="0" collapsed="false">
      <c r="A70" s="3" t="s">
        <v>206</v>
      </c>
      <c r="L70" s="22" t="n">
        <f aca="false">SUM(L30:L69)</f>
        <v>0</v>
      </c>
    </row>
    <row r="72" customFormat="false" ht="15" hidden="false" customHeight="false" outlineLevel="0" collapsed="false">
      <c r="A72" s="29" t="s">
        <v>207</v>
      </c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</row>
    <row r="73" customFormat="false" ht="15" hidden="false" customHeight="false" outlineLevel="0" collapsed="false">
      <c r="A73" s="21" t="s">
        <v>159</v>
      </c>
      <c r="D73" s="36" t="s">
        <v>16</v>
      </c>
      <c r="E73" s="36" t="s">
        <v>18</v>
      </c>
      <c r="F73" s="36"/>
    </row>
    <row r="74" customFormat="false" ht="15" hidden="false" customHeight="false" outlineLevel="0" collapsed="false">
      <c r="A74" s="21" t="s">
        <v>199</v>
      </c>
      <c r="D74" s="22" t="n">
        <f aca="false">SUMIFS($J$6:$J$25,$L$6:$L$25,"2025/26")</f>
        <v>0</v>
      </c>
      <c r="E74" s="22" t="n">
        <f aca="false">SUMIFS($J$6:$J$25,$L$6:$L$25,"2026/27")</f>
        <v>0</v>
      </c>
      <c r="F74" s="22"/>
    </row>
    <row r="75" customFormat="false" ht="15" hidden="false" customHeight="false" outlineLevel="0" collapsed="false">
      <c r="A75" s="12" t="s">
        <v>51</v>
      </c>
      <c r="D75" s="20" t="n">
        <f aca="false">SUMIFS($L$30:$L$69,$D$30:$D$69,$A75,$N$30:$N$69,"2025/26")</f>
        <v>0</v>
      </c>
      <c r="E75" s="20" t="n">
        <f aca="false">SUMIFS($L$30:$L$69,$D$30:$D$69,$A75,$N$30:$N$69,"2026/27")</f>
        <v>0</v>
      </c>
      <c r="F75" s="20"/>
    </row>
    <row r="76" customFormat="false" ht="15" hidden="false" customHeight="false" outlineLevel="0" collapsed="false">
      <c r="A76" s="12" t="s">
        <v>53</v>
      </c>
      <c r="D76" s="20" t="n">
        <f aca="false">SUMIFS($L$30:$L$69,$D$30:$D$69,$A76,$N$30:$N$69,"2025/26")</f>
        <v>0</v>
      </c>
      <c r="E76" s="20" t="n">
        <f aca="false">SUMIFS($L$30:$L$69,$D$30:$D$69,$A76,$N$30:$N$69,"2026/27")</f>
        <v>0</v>
      </c>
      <c r="F76" s="20"/>
    </row>
    <row r="77" customFormat="false" ht="15" hidden="false" customHeight="false" outlineLevel="0" collapsed="false">
      <c r="A77" s="12" t="s">
        <v>55</v>
      </c>
      <c r="D77" s="20" t="n">
        <f aca="false">SUMIFS($L$30:$L$69,$D$30:$D$69,$A77,$N$30:$N$69,"2025/26")</f>
        <v>0</v>
      </c>
      <c r="E77" s="20" t="n">
        <f aca="false">SUMIFS($L$30:$L$69,$D$30:$D$69,$A77,$N$30:$N$69,"2026/27")</f>
        <v>0</v>
      </c>
      <c r="F77" s="20"/>
    </row>
    <row r="78" customFormat="false" ht="15" hidden="false" customHeight="false" outlineLevel="0" collapsed="false">
      <c r="A78" s="12" t="s">
        <v>57</v>
      </c>
      <c r="D78" s="20" t="n">
        <f aca="false">SUMIFS($L$30:$L$69,$D$30:$D$69,$A78,$N$30:$N$69,"2025/26")</f>
        <v>0</v>
      </c>
      <c r="E78" s="20" t="n">
        <f aca="false">SUMIFS($L$30:$L$69,$D$30:$D$69,$A78,$N$30:$N$69,"2026/27")</f>
        <v>0</v>
      </c>
      <c r="F78" s="20"/>
    </row>
    <row r="79" customFormat="false" ht="15" hidden="false" customHeight="false" outlineLevel="0" collapsed="false">
      <c r="A79" s="12" t="s">
        <v>59</v>
      </c>
      <c r="D79" s="20" t="n">
        <f aca="false">SUMIFS($L$30:$L$69,$D$30:$D$69,$A79,$N$30:$N$69,"2025/26")</f>
        <v>0</v>
      </c>
      <c r="E79" s="20" t="n">
        <f aca="false">SUMIFS($L$30:$L$69,$D$30:$D$69,$A79,$N$30:$N$69,"2026/27")</f>
        <v>0</v>
      </c>
      <c r="F79" s="20"/>
    </row>
    <row r="80" customFormat="false" ht="15" hidden="false" customHeight="false" outlineLevel="0" collapsed="false">
      <c r="A80" s="12" t="s">
        <v>61</v>
      </c>
      <c r="D80" s="20" t="n">
        <f aca="false">SUMIFS($L$30:$L$69,$D$30:$D$69,$A80,$N$30:$N$69,"2025/26")</f>
        <v>0</v>
      </c>
      <c r="E80" s="20" t="n">
        <f aca="false">SUMIFS($L$30:$L$69,$D$30:$D$69,$A80,$N$30:$N$69,"2026/27")</f>
        <v>0</v>
      </c>
      <c r="F80" s="20"/>
    </row>
    <row r="81" customFormat="false" ht="15" hidden="false" customHeight="false" outlineLevel="0" collapsed="false">
      <c r="A81" s="12" t="s">
        <v>63</v>
      </c>
      <c r="D81" s="20" t="n">
        <f aca="false">SUMIFS($L$30:$L$69,$D$30:$D$69,$A81,$N$30:$N$69,"2025/26")</f>
        <v>0</v>
      </c>
      <c r="E81" s="20" t="n">
        <f aca="false">SUMIFS($L$30:$L$69,$D$30:$D$69,$A81,$N$30:$N$69,"2026/27")</f>
        <v>0</v>
      </c>
      <c r="F81" s="20"/>
    </row>
    <row r="82" customFormat="false" ht="15" hidden="false" customHeight="false" outlineLevel="0" collapsed="false">
      <c r="A82" s="12" t="s">
        <v>65</v>
      </c>
      <c r="D82" s="20" t="n">
        <f aca="false">SUMIFS($L$30:$L$69,$D$30:$D$69,$A82,$N$30:$N$69,"2025/26")</f>
        <v>0</v>
      </c>
      <c r="E82" s="20" t="n">
        <f aca="false">SUMIFS($L$30:$L$69,$D$30:$D$69,$A82,$N$30:$N$69,"2026/27")</f>
        <v>0</v>
      </c>
      <c r="F82" s="20"/>
    </row>
    <row r="83" customFormat="false" ht="15" hidden="false" customHeight="false" outlineLevel="0" collapsed="false">
      <c r="A83" s="12" t="s">
        <v>67</v>
      </c>
      <c r="D83" s="20" t="n">
        <f aca="false">SUMIFS($L$30:$L$69,$D$30:$D$69,$A83,$N$30:$N$69,"2025/26")</f>
        <v>0</v>
      </c>
      <c r="E83" s="20" t="n">
        <f aca="false">SUMIFS($L$30:$L$69,$D$30:$D$69,$A83,$N$30:$N$69,"2026/27")</f>
        <v>0</v>
      </c>
      <c r="F83" s="20"/>
    </row>
    <row r="84" customFormat="false" ht="15" hidden="false" customHeight="false" outlineLevel="0" collapsed="false">
      <c r="A84" s="12" t="s">
        <v>69</v>
      </c>
      <c r="D84" s="20" t="n">
        <f aca="false">SUMIFS($L$30:$L$69,$D$30:$D$69,$A84,$N$30:$N$69,"2025/26")</f>
        <v>0</v>
      </c>
      <c r="E84" s="20" t="n">
        <f aca="false">SUMIFS($L$30:$L$69,$D$30:$D$69,$A84,$N$30:$N$69,"2026/27")</f>
        <v>0</v>
      </c>
      <c r="F84" s="20"/>
    </row>
    <row r="85" customFormat="false" ht="15" hidden="false" customHeight="false" outlineLevel="0" collapsed="false">
      <c r="A85" s="12" t="s">
        <v>71</v>
      </c>
      <c r="D85" s="20" t="n">
        <f aca="false">SUMIFS($L$30:$L$69,$D$30:$D$69,$A85,$N$30:$N$69,"2025/26")</f>
        <v>0</v>
      </c>
      <c r="E85" s="20" t="n">
        <f aca="false">SUMIFS($L$30:$L$69,$D$30:$D$69,$A85,$N$30:$N$69,"2026/27")</f>
        <v>0</v>
      </c>
      <c r="F85" s="20"/>
    </row>
    <row r="86" customFormat="false" ht="15" hidden="false" customHeight="false" outlineLevel="0" collapsed="false">
      <c r="A86" s="12" t="s">
        <v>73</v>
      </c>
      <c r="D86" s="20" t="n">
        <f aca="false">SUMIFS($L$30:$L$69,$D$30:$D$69,$A86,$N$30:$N$69,"2025/26")</f>
        <v>0</v>
      </c>
      <c r="E86" s="20" t="n">
        <f aca="false">SUMIFS($L$30:$L$69,$D$30:$D$69,$A86,$N$30:$N$69,"2026/27")</f>
        <v>0</v>
      </c>
      <c r="F86" s="20"/>
    </row>
    <row r="87" customFormat="false" ht="15" hidden="false" customHeight="false" outlineLevel="0" collapsed="false">
      <c r="A87" s="12" t="s">
        <v>74</v>
      </c>
      <c r="D87" s="20" t="n">
        <f aca="false">SUMIFS($L$30:$L$69,$D$30:$D$69,$A87,$N$30:$N$69,"2025/26")</f>
        <v>0</v>
      </c>
      <c r="E87" s="20" t="n">
        <f aca="false">SUMIFS($L$30:$L$69,$D$30:$D$69,$A87,$N$30:$N$69,"2026/27")</f>
        <v>0</v>
      </c>
      <c r="F87" s="20"/>
    </row>
    <row r="88" customFormat="false" ht="15" hidden="false" customHeight="false" outlineLevel="0" collapsed="false">
      <c r="A88" s="21" t="s">
        <v>208</v>
      </c>
      <c r="D88" s="22" t="n">
        <f aca="false">SUM(D75:D86)</f>
        <v>0</v>
      </c>
      <c r="E88" s="22" t="n">
        <f aca="false">SUM(E75:E86)</f>
        <v>0</v>
      </c>
      <c r="F88" s="22"/>
    </row>
    <row r="89" customFormat="false" ht="15" hidden="false" customHeight="false" outlineLevel="0" collapsed="false">
      <c r="A89" s="21" t="s">
        <v>209</v>
      </c>
      <c r="D89" s="22" t="n">
        <f aca="false">D74-D88-D87</f>
        <v>0</v>
      </c>
      <c r="E89" s="22" t="n">
        <f aca="false">E74-E88-E87</f>
        <v>0</v>
      </c>
      <c r="F89" s="22"/>
    </row>
    <row r="90" customFormat="false" ht="15" hidden="false" customHeight="false" outlineLevel="0" collapsed="false">
      <c r="A90" s="37" t="s">
        <v>210</v>
      </c>
    </row>
    <row r="91" customFormat="false" ht="15" hidden="false" customHeight="false" outlineLevel="0" collapsed="false">
      <c r="A91" s="12" t="s">
        <v>211</v>
      </c>
      <c r="D91" s="20" t="n">
        <f aca="false">SUMIFS($L$30:$L$69,$D$30:$D$69,"")</f>
        <v>0</v>
      </c>
    </row>
    <row r="92" customFormat="false" ht="15" hidden="false" customHeight="false" outlineLevel="0" collapsed="false">
      <c r="A92" s="12" t="s">
        <v>212</v>
      </c>
      <c r="D92" s="26" t="n">
        <f aca="false">COUNTIF($J$6:$J$25,"レート未入力")+COUNTIF($J$30:$J$69,"レート未入力")</f>
        <v>0</v>
      </c>
    </row>
    <row r="93" customFormat="false" ht="15" hidden="false" customHeight="false" outlineLevel="0" collapsed="false">
      <c r="A93" s="12" t="s">
        <v>213</v>
      </c>
      <c r="D93" s="26" t="n">
        <f aca="false">SUMPRODUCT(($A$6:$A$25="")*(($F$6:$F$25&lt;&gt;"")+($G$6:$G$25&lt;&gt;"")&gt;0))+SUMPRODUCT(($A$30:$A$69="")*(($F$30:$F$69&lt;&gt;"")+($G$30:$G$69&lt;&gt;"")&gt;0))</f>
        <v>0</v>
      </c>
    </row>
  </sheetData>
  <mergeCells count="17"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</mergeCells>
  <dataValidations count="6">
    <dataValidation allowBlank="true" error="0%〜100%で入力してください" errorStyle="stop" operator="between" showDropDown="false" showErrorMessage="true" showInputMessage="false" sqref="K30:K69" type="decimal">
      <formula1>0</formula1>
      <formula2>1</formula2>
    </dataValidation>
    <dataValidation allowBlank="true" error="数字だけを入力してください（例：420、1380）。$や円は付けない" errorStyle="stop" operator="greaterThan" showDropDown="false" showErrorMessage="true" showInputMessage="false" sqref="F6:H25 F30:H69" type="decimal">
      <formula1>0</formula1>
      <formula2>0</formula2>
    </dataValidation>
    <dataValidation allowBlank="true" errorStyle="stop" operator="between" showDropDown="false" showErrorMessage="false" showInputMessage="false" sqref="E6:E25 E30:E69" type="list">
      <formula1>_list!$B$1:$B$3</formula1>
      <formula2>0</formula2>
    </dataValidation>
    <dataValidation allowBlank="true" errorStyle="stop" operator="between" showDropDown="false" showErrorMessage="false" showInputMessage="false" sqref="D30:D69" type="list">
      <formula1>_list!$A$1:$A$13</formula1>
      <formula2>0</formula2>
    </dataValidation>
    <dataValidation allowBlank="true" errorStyle="stop" operator="between" showDropDown="false" showErrorMessage="false" showInputMessage="false" sqref="D6:D25" type="list">
      <formula1>_list!$C$1:$C$7</formula1>
      <formula2>0</formula2>
    </dataValidation>
    <dataValidation allowBlank="true" error="このタブは2026年12月です。年や月が正しいか確認してください" errorStyle="warning" operator="between" showDropDown="false" showErrorMessage="true" showInputMessage="false" sqref="A6:A25 A30:A69" type="date">
      <formula1>DATE(2026,12,1)</formula1>
      <formula2>DATE(2026,12,31)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8" t="s">
        <v>51</v>
      </c>
      <c r="B1" s="0" t="s">
        <v>234</v>
      </c>
      <c r="C1" s="38" t="s">
        <v>235</v>
      </c>
    </row>
    <row r="2" customFormat="false" ht="15" hidden="false" customHeight="false" outlineLevel="0" collapsed="false">
      <c r="A2" s="38" t="s">
        <v>53</v>
      </c>
      <c r="B2" s="0" t="s">
        <v>236</v>
      </c>
      <c r="C2" s="0" t="s">
        <v>237</v>
      </c>
    </row>
    <row r="3" customFormat="false" ht="15" hidden="false" customHeight="false" outlineLevel="0" collapsed="false">
      <c r="A3" s="38" t="s">
        <v>55</v>
      </c>
      <c r="B3" s="0" t="s">
        <v>238</v>
      </c>
      <c r="C3" s="0" t="s">
        <v>239</v>
      </c>
    </row>
    <row r="4" customFormat="false" ht="15" hidden="false" customHeight="false" outlineLevel="0" collapsed="false">
      <c r="A4" s="38" t="s">
        <v>57</v>
      </c>
      <c r="C4" s="0" t="s">
        <v>240</v>
      </c>
    </row>
    <row r="5" customFormat="false" ht="15" hidden="false" customHeight="false" outlineLevel="0" collapsed="false">
      <c r="A5" s="38" t="s">
        <v>59</v>
      </c>
      <c r="C5" s="38" t="s">
        <v>241</v>
      </c>
    </row>
    <row r="6" customFormat="false" ht="15" hidden="false" customHeight="false" outlineLevel="0" collapsed="false">
      <c r="A6" s="38" t="s">
        <v>61</v>
      </c>
      <c r="C6" s="38" t="s">
        <v>242</v>
      </c>
    </row>
    <row r="7" customFormat="false" ht="15" hidden="false" customHeight="false" outlineLevel="0" collapsed="false">
      <c r="A7" s="38" t="s">
        <v>63</v>
      </c>
      <c r="C7" s="38" t="s">
        <v>243</v>
      </c>
    </row>
    <row r="8" customFormat="false" ht="15" hidden="false" customHeight="false" outlineLevel="0" collapsed="false">
      <c r="A8" s="38" t="s">
        <v>65</v>
      </c>
    </row>
    <row r="9" customFormat="false" ht="15" hidden="false" customHeight="false" outlineLevel="0" collapsed="false">
      <c r="A9" s="38" t="s">
        <v>67</v>
      </c>
    </row>
    <row r="10" customFormat="false" ht="15" hidden="false" customHeight="false" outlineLevel="0" collapsed="false">
      <c r="A10" s="38" t="s">
        <v>69</v>
      </c>
    </row>
    <row r="11" customFormat="false" ht="15" hidden="false" customHeight="false" outlineLevel="0" collapsed="false">
      <c r="A11" s="38" t="s">
        <v>71</v>
      </c>
    </row>
    <row r="12" customFormat="false" ht="15" hidden="false" customHeight="false" outlineLevel="0" collapsed="false">
      <c r="A12" s="38" t="s">
        <v>73</v>
      </c>
    </row>
    <row r="13" customFormat="false" ht="15" hidden="false" customHeight="false" outlineLevel="0" collapsed="false">
      <c r="A13" s="38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2026-10-22T00:20:49Z</dcterms:created>
  <dc:creator>openpyxl</dc:creator>
  <dc:description/>
  <dc:language>en-US</dc:language>
  <cp:lastModifiedBy/>
  <dcterms:modified xsi:type="dcterms:W3CDTF">2026-10-22T00:20:50Z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