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為替レート" sheetId="2" state="visible" r:id="rId4"/>
    <sheet name="年度集計" sheetId="3" state="visible" r:id="rId5"/>
    <sheet name="税額シミュレーション" sheetId="4" state="visible" r:id="rId6"/>
    <sheet name="2025-04" sheetId="5" state="visible" r:id="rId7"/>
    <sheet name="2025-05" sheetId="6" state="visible" r:id="rId8"/>
    <sheet name="2025-06" sheetId="7" state="visible" r:id="rId9"/>
    <sheet name="2025-07" sheetId="8" state="visible" r:id="rId10"/>
    <sheet name="2025-08" sheetId="9" state="visible" r:id="rId11"/>
    <sheet name="2025-09" sheetId="10" state="visible" r:id="rId12"/>
    <sheet name="2025-10" sheetId="11" state="visible" r:id="rId13"/>
    <sheet name="2025-11" sheetId="12" state="visible" r:id="rId14"/>
    <sheet name="2025-12" sheetId="13" state="visible" r:id="rId15"/>
    <sheet name="2026-01" sheetId="14" state="visible" r:id="rId16"/>
    <sheet name="2026-02" sheetId="15" state="visible" r:id="rId17"/>
    <sheet name="2026-03" sheetId="16" state="visible" r:id="rId18"/>
    <sheet name="2026-04" sheetId="17" state="visible" r:id="rId19"/>
    <sheet name="2026-05" sheetId="18" state="visible" r:id="rId20"/>
    <sheet name="2026-06" sheetId="19" state="visible" r:id="rId21"/>
    <sheet name="2026-07" sheetId="20" state="visible" r:id="rId22"/>
    <sheet name="2026-08" sheetId="21" state="visible" r:id="rId23"/>
    <sheet name="2026-09" sheetId="22" state="visible" r:id="rId24"/>
    <sheet name="2026-10" sheetId="23" state="visible" r:id="rId25"/>
    <sheet name="2026-11" sheetId="24" state="visible" r:id="rId26"/>
    <sheet name="2026-12" sheetId="25" state="visible" r:id="rId27"/>
    <sheet name="_list" sheetId="26" state="hidden" r:id="rId2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<sst xmlns="http://schemas.openxmlformats.org/spreadsheetml/2006/main" count="1354" uniqueCount="229">
  <si>
    <r>
      <rPr>
        <b val="true"/>
        <sz val="14"/>
        <color rgb="FF000000"/>
        <rFont val="Arial"/>
        <family val="0"/>
        <charset val="1"/>
      </rPr>
      <t xml:space="preserve">Self Assessment </t>
    </r>
    <r>
      <rPr>
        <b val="true"/>
        <sz val="14"/>
        <color rgb="FF000000"/>
        <rFont val="WenQuanYi Zen Hei"/>
        <family val="2"/>
      </rPr>
      <t xml:space="preserve">記帳表（</t>
    </r>
    <r>
      <rPr>
        <b val="true"/>
        <sz val="14"/>
        <color rgb="FF000000"/>
        <rFont val="Arial"/>
        <family val="0"/>
        <charset val="1"/>
      </rPr>
      <t xml:space="preserve">2025</t>
    </r>
    <r>
      <rPr>
        <b val="true"/>
        <sz val="14"/>
        <color rgb="FF000000"/>
        <rFont val="WenQuanYi Zen Hei"/>
        <family val="2"/>
      </rPr>
      <t xml:space="preserve">年</t>
    </r>
    <r>
      <rPr>
        <b val="true"/>
        <sz val="14"/>
        <color rgb="FF000000"/>
        <rFont val="Arial"/>
        <family val="0"/>
        <charset val="1"/>
      </rPr>
      <t xml:space="preserve">4</t>
    </r>
    <r>
      <rPr>
        <b val="true"/>
        <sz val="14"/>
        <color rgb="FF000000"/>
        <rFont val="WenQuanYi Zen Hei"/>
        <family val="2"/>
      </rPr>
      <t xml:space="preserve">月〜</t>
    </r>
    <r>
      <rPr>
        <b val="true"/>
        <sz val="14"/>
        <color rgb="FF000000"/>
        <rFont val="Arial"/>
        <family val="0"/>
        <charset val="1"/>
      </rPr>
      <t xml:space="preserve">2026</t>
    </r>
    <r>
      <rPr>
        <b val="true"/>
        <sz val="14"/>
        <color rgb="FF000000"/>
        <rFont val="WenQuanYi Zen Hei"/>
        <family val="2"/>
      </rPr>
      <t xml:space="preserve">年</t>
    </r>
    <r>
      <rPr>
        <b val="true"/>
        <sz val="14"/>
        <color rgb="FF000000"/>
        <rFont val="Arial"/>
        <family val="0"/>
        <charset val="1"/>
      </rPr>
      <t xml:space="preserve">12</t>
    </r>
    <r>
      <rPr>
        <b val="true"/>
        <sz val="14"/>
        <color rgb="FF000000"/>
        <rFont val="WenQuanYi Zen Hei"/>
        <family val="2"/>
      </rPr>
      <t xml:space="preserve">月）</t>
    </r>
  </si>
  <si>
    <r>
      <rPr>
        <sz val="10"/>
        <color rgb="FF000000"/>
        <rFont val="WenQuanYi Zen Hei"/>
        <family val="2"/>
      </rPr>
      <t xml:space="preserve">対象：英国のソールトレーダー（個人事業主）。</t>
    </r>
    <r>
      <rPr>
        <sz val="10"/>
        <color rgb="FF000000"/>
        <rFont val="Arial"/>
        <family val="0"/>
        <charset val="1"/>
      </rPr>
      <t xml:space="preserve">£</t>
    </r>
    <r>
      <rPr>
        <sz val="10"/>
        <color rgb="FF000000"/>
        <rFont val="WenQuanYi Zen Hei"/>
        <family val="2"/>
      </rPr>
      <t xml:space="preserve">で収入を受け取り、日本円で外注費を払うケースに対応。</t>
    </r>
  </si>
  <si>
    <t xml:space="preserve">【タブの構成】</t>
  </si>
  <si>
    <t xml:space="preserve">使い方</t>
  </si>
  <si>
    <t xml:space="preserve">このシート</t>
  </si>
  <si>
    <t xml:space="preserve">為替レート</t>
  </si>
  <si>
    <r>
      <rPr>
        <sz val="10"/>
        <color rgb="FF000000"/>
        <rFont val="WenQuanYi Zen Hei"/>
        <family val="2"/>
      </rPr>
      <t xml:space="preserve">月ごとの円→ポンドの換算レート（</t>
    </r>
    <r>
      <rPr>
        <sz val="10"/>
        <color rgb="FF000000"/>
        <rFont val="Arial"/>
        <family val="0"/>
        <charset val="1"/>
      </rPr>
      <t xml:space="preserve">1£</t>
    </r>
    <r>
      <rPr>
        <sz val="10"/>
        <color rgb="FF000000"/>
        <rFont val="WenQuanYi Zen Hei"/>
        <family val="2"/>
      </rPr>
      <t xml:space="preserve">＝何円か）を入力。円で払った外注費などはここのレートで</t>
    </r>
    <r>
      <rPr>
        <sz val="10"/>
        <color rgb="FF000000"/>
        <rFont val="Arial"/>
        <family val="0"/>
        <charset val="1"/>
      </rPr>
      <t xml:space="preserve">£</t>
    </r>
    <r>
      <rPr>
        <sz val="10"/>
        <color rgb="FF000000"/>
        <rFont val="WenQuanYi Zen Hei"/>
        <family val="2"/>
      </rPr>
      <t xml:space="preserve">に自動換算</t>
    </r>
  </si>
  <si>
    <t xml:space="preserve">年度集計</t>
  </si>
  <si>
    <r>
      <rPr>
        <sz val="10"/>
        <color rgb="FF000000"/>
        <rFont val="Arial"/>
        <family val="0"/>
        <charset val="1"/>
      </rPr>
      <t xml:space="preserve">2025/26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2026/27</t>
    </r>
    <r>
      <rPr>
        <sz val="10"/>
        <color rgb="FF000000"/>
        <rFont val="WenQuanYi Zen Hei"/>
        <family val="2"/>
      </rPr>
      <t xml:space="preserve">の税年度別に、</t>
    </r>
    <r>
      <rPr>
        <sz val="10"/>
        <color rgb="FF000000"/>
        <rFont val="Arial"/>
        <family val="0"/>
        <charset val="1"/>
      </rPr>
      <t xml:space="preserve">Tax return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SA103 </t>
    </r>
    <r>
      <rPr>
        <sz val="10"/>
        <color rgb="FF000000"/>
        <rFont val="WenQuanYi Zen Hei"/>
        <family val="2"/>
      </rPr>
      <t xml:space="preserve">自営欄）に入れる数字が自動で集まる</t>
    </r>
  </si>
  <si>
    <t xml:space="preserve">税額シミュレーション</t>
  </si>
  <si>
    <r>
      <rPr>
        <sz val="10"/>
        <color rgb="FF000000"/>
        <rFont val="WenQuanYi Zen Hei"/>
        <family val="2"/>
      </rPr>
      <t xml:space="preserve">純利益から所得税・</t>
    </r>
    <r>
      <rPr>
        <sz val="10"/>
        <color rgb="FF000000"/>
        <rFont val="Arial"/>
        <family val="0"/>
        <charset val="1"/>
      </rPr>
      <t xml:space="preserve">Class 4 NIC</t>
    </r>
    <r>
      <rPr>
        <sz val="10"/>
        <color rgb="FF000000"/>
        <rFont val="WenQuanYi Zen Hei"/>
        <family val="2"/>
      </rPr>
      <t xml:space="preserve">を概算。会社員としての給与（</t>
    </r>
    <r>
      <rPr>
        <sz val="10"/>
        <color rgb="FF000000"/>
        <rFont val="Arial"/>
        <family val="0"/>
        <charset val="1"/>
      </rPr>
      <t xml:space="preserve">P60</t>
    </r>
    <r>
      <rPr>
        <sz val="10"/>
        <color rgb="FF000000"/>
        <rFont val="WenQuanYi Zen Hei"/>
        <family val="2"/>
      </rPr>
      <t xml:space="preserve">）があればここに入力</t>
    </r>
  </si>
  <si>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WenQuanYi Zen Hei"/>
        <family val="2"/>
      </rPr>
      <t xml:space="preserve">〜 </t>
    </r>
    <r>
      <rPr>
        <sz val="10"/>
        <color rgb="FF000000"/>
        <rFont val="Arial"/>
        <family val="0"/>
        <charset val="1"/>
      </rPr>
      <t xml:space="preserve">2026-12</t>
    </r>
  </si>
  <si>
    <r>
      <rPr>
        <sz val="10"/>
        <color rgb="FF000000"/>
        <rFont val="WenQuanYi Zen Hei"/>
        <family val="2"/>
      </rPr>
      <t xml:space="preserve">月ごとのタブ（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WenQuanYi Zen Hei"/>
        <family val="2"/>
      </rPr>
      <t xml:space="preserve">タブ）。収入と経費を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件で記入</t>
    </r>
  </si>
  <si>
    <t xml:space="preserve">【税年度について】</t>
  </si>
  <si>
    <t xml:space="preserve">英国の税年度</t>
  </si>
  <si>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日〜翌年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日。各行の「税年度」列が日付から自動判定されるので、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月タブに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日と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日以降が混在しても自動で振り分けられる</t>
    </r>
  </si>
  <si>
    <t xml:space="preserve">2025/26</t>
  </si>
  <si>
    <r>
      <rPr>
        <sz val="10"/>
        <color rgb="FF000000"/>
        <rFont val="Arial"/>
        <family val="0"/>
        <charset val="1"/>
      </rPr>
      <t xml:space="preserve">2025/4/6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2026/4/5</t>
    </r>
    <r>
      <rPr>
        <sz val="10"/>
        <color rgb="FF000000"/>
        <rFont val="WenQuanYi Zen Hei"/>
        <family val="2"/>
      </rPr>
      <t xml:space="preserve">。オンライン申告・納付期限：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WenQuanYi Zen Hei"/>
        <family val="2"/>
      </rPr>
      <t xml:space="preserve">日</t>
    </r>
  </si>
  <si>
    <t xml:space="preserve">2026/27</t>
  </si>
  <si>
    <r>
      <rPr>
        <sz val="10"/>
        <color rgb="FF000000"/>
        <rFont val="Arial"/>
        <family val="0"/>
        <charset val="1"/>
      </rPr>
      <t xml:space="preserve">2026/4/6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2027/4/5</t>
    </r>
    <r>
      <rPr>
        <sz val="10"/>
        <color rgb="FF000000"/>
        <rFont val="WenQuanYi Zen Hei"/>
        <family val="2"/>
      </rPr>
      <t xml:space="preserve">。このファイルは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月まで。申告期限：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WenQuanYi Zen Hei"/>
        <family val="2"/>
      </rPr>
      <t xml:space="preserve">日</t>
    </r>
  </si>
  <si>
    <t xml:space="preserve">【記録のルール】</t>
  </si>
  <si>
    <r>
      <rPr>
        <sz val="10"/>
        <color rgb="FF000000"/>
        <rFont val="Arial"/>
        <family val="0"/>
        <charset val="1"/>
      </rPr>
      <t xml:space="preserve">Cash basis</t>
    </r>
    <r>
      <rPr>
        <sz val="10"/>
        <color rgb="FF000000"/>
        <rFont val="WenQuanYi Zen Hei"/>
        <family val="2"/>
      </rPr>
      <t xml:space="preserve">（現金主義）</t>
    </r>
  </si>
  <si>
    <t xml:space="preserve">ソールトレーダーの既定方式。収入は入金した日、経費は支払った日で記録（請求書の日付ではない）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</si>
  <si>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行＝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件</t>
    </r>
  </si>
  <si>
    <r>
      <rPr>
        <sz val="10"/>
        <color rgb="FF000000"/>
        <rFont val="WenQuanYi Zen Hei"/>
        <family val="2"/>
      </rPr>
      <t xml:space="preserve">入金・支払い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件につき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行。レシートや明細の写真は日付順に保存しておく</t>
    </r>
  </si>
  <si>
    <t xml:space="preserve">事業使用率</t>
  </si>
  <si>
    <r>
      <rPr>
        <sz val="10"/>
        <color rgb="FF000000"/>
        <rFont val="WenQuanYi Zen Hei"/>
        <family val="2"/>
      </rPr>
      <t xml:space="preserve">仕事と私用で兼用するもの（スマホ、ネット等）は仕事の割合を入力（例：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）。空欄なら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として計算</t>
    </r>
  </si>
  <si>
    <t xml:space="preserve">領収書・明細</t>
  </si>
  <si>
    <r>
      <rPr>
        <sz val="10"/>
        <color rgb="FF000000"/>
        <rFont val="WenQuanYi Zen Hei"/>
        <family val="2"/>
      </rPr>
      <t xml:space="preserve">提出は不要だが、申告期限から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年間（</t>
    </r>
    <r>
      <rPr>
        <sz val="10"/>
        <color rgb="FF000000"/>
        <rFont val="Arial"/>
        <family val="0"/>
        <charset val="1"/>
      </rPr>
      <t xml:space="preserve">2025/26</t>
    </r>
    <r>
      <rPr>
        <sz val="10"/>
        <color rgb="FF000000"/>
        <rFont val="WenQuanYi Zen Hei"/>
        <family val="2"/>
      </rPr>
      <t xml:space="preserve">分は</t>
    </r>
    <r>
      <rPr>
        <sz val="10"/>
        <color rgb="FF000000"/>
        <rFont val="Arial"/>
        <family val="0"/>
        <charset val="1"/>
      </rPr>
      <t xml:space="preserve">2032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WenQuanYi Zen Hei"/>
        <family val="2"/>
      </rPr>
      <t xml:space="preserve">日まで）保管義務あり。写真・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WenQuanYi Zen Hei"/>
        <family val="2"/>
      </rPr>
      <t xml:space="preserve">でも</t>
    </r>
    <r>
      <rPr>
        <sz val="10"/>
        <color rgb="FF000000"/>
        <rFont val="Arial"/>
        <family val="0"/>
        <charset val="1"/>
      </rPr>
      <t xml:space="preserve">OK</t>
    </r>
  </si>
  <si>
    <t xml:space="preserve">色の意味</t>
  </si>
  <si>
    <r>
      <rPr>
        <sz val="10"/>
        <color rgb="FF000000"/>
        <rFont val="WenQuanYi Zen Hei"/>
        <family val="2"/>
      </rPr>
      <t xml:space="preserve">黄色＝記入するセル／緑＝自動計算（触らない）／</t>
    </r>
    <r>
      <rPr>
        <sz val="10"/>
        <color rgb="FF000000"/>
        <rFont val="Arial"/>
        <family val="0"/>
        <charset val="1"/>
      </rPr>
      <t xml:space="preserve">2025-04</t>
    </r>
    <r>
      <rPr>
        <sz val="10"/>
        <color rgb="FF000000"/>
        <rFont val="WenQuanYi Zen Hei"/>
        <family val="2"/>
      </rPr>
      <t xml:space="preserve">タブの「例」の行は確認後に削除</t>
    </r>
  </si>
  <si>
    <t xml:space="preserve">【日本円で払った外注費の記入方法】</t>
  </si>
  <si>
    <r>
      <rPr>
        <sz val="10"/>
        <color rgb="FF000000"/>
        <rFont val="WenQuanYi Zen Hei"/>
        <family val="2"/>
      </rPr>
      <t xml:space="preserve">① 実際の</t>
    </r>
    <r>
      <rPr>
        <sz val="10"/>
        <color rgb="FF000000"/>
        <rFont val="Arial"/>
        <family val="0"/>
        <charset val="1"/>
      </rPr>
      <t xml:space="preserve">£</t>
    </r>
    <r>
      <rPr>
        <sz val="10"/>
        <color rgb="FF000000"/>
        <rFont val="WenQuanYi Zen Hei"/>
        <family val="2"/>
      </rPr>
      <t xml:space="preserve">額がわかる場合</t>
    </r>
  </si>
  <si>
    <r>
      <rPr>
        <sz val="10"/>
        <color rgb="FF000000"/>
        <rFont val="Arial"/>
        <family val="0"/>
        <charset val="1"/>
      </rPr>
      <t xml:space="preserve">Wise</t>
    </r>
    <r>
      <rPr>
        <sz val="10"/>
        <color rgb="FF000000"/>
        <rFont val="WenQuanYi Zen Hei"/>
        <family val="2"/>
      </rPr>
      <t xml:space="preserve">・銀行の明細に引き落とされた</t>
    </r>
    <r>
      <rPr>
        <sz val="10"/>
        <color rgb="FF000000"/>
        <rFont val="Arial"/>
        <family val="0"/>
        <charset val="1"/>
      </rPr>
      <t xml:space="preserve">£</t>
    </r>
    <r>
      <rPr>
        <sz val="10"/>
        <color rgb="FF000000"/>
        <rFont val="WenQuanYi Zen Hei"/>
        <family val="2"/>
      </rPr>
      <t xml:space="preserve">額が載っていれば「実際の</t>
    </r>
    <r>
      <rPr>
        <sz val="10"/>
        <color rgb="FF000000"/>
        <rFont val="Arial"/>
        <family val="0"/>
        <charset val="1"/>
      </rPr>
      <t xml:space="preserve">£</t>
    </r>
    <r>
      <rPr>
        <sz val="10"/>
        <color rgb="FF000000"/>
        <rFont val="WenQuanYi Zen Hei"/>
        <family val="2"/>
      </rPr>
      <t xml:space="preserve">額」列に入力（最優先で使われる。送金手数料は別行で「銀行・カード・送金手数料」に記入）</t>
    </r>
  </si>
  <si>
    <t xml:space="preserve">② わからない場合</t>
  </si>
  <si>
    <r>
      <rPr>
        <sz val="10"/>
        <color rgb="FF000000"/>
        <rFont val="WenQuanYi Zen Hei"/>
        <family val="2"/>
      </rPr>
      <t xml:space="preserve">「通貨」を</t>
    </r>
    <r>
      <rPr>
        <sz val="10"/>
        <color rgb="FF000000"/>
        <rFont val="Arial"/>
        <family val="0"/>
        <charset val="1"/>
      </rPr>
      <t xml:space="preserve">JPY</t>
    </r>
    <r>
      <rPr>
        <sz val="10"/>
        <color rgb="FF000000"/>
        <rFont val="WenQuanYi Zen Hei"/>
        <family val="2"/>
      </rPr>
      <t xml:space="preserve">、「元の金額」に円の金額を入れるだけ。「為替レート」タブのその月のレートで自動換算</t>
    </r>
  </si>
  <si>
    <t xml:space="preserve">レートの出典</t>
  </si>
  <si>
    <r>
      <rPr>
        <sz val="10"/>
        <color rgb="FF000000"/>
        <rFont val="Arial"/>
        <family val="0"/>
        <charset val="1"/>
      </rPr>
      <t xml:space="preserve">HMRC</t>
    </r>
    <r>
      <rPr>
        <sz val="10"/>
        <color rgb="FF000000"/>
        <rFont val="WenQuanYi Zen Hei"/>
        <family val="2"/>
      </rPr>
      <t xml:space="preserve">の月次為替レート（</t>
    </r>
    <r>
      <rPr>
        <sz val="10"/>
        <color rgb="FF000000"/>
        <rFont val="Arial"/>
        <family val="0"/>
        <charset val="1"/>
      </rPr>
      <t xml:space="preserve">GOV.UK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HMRC exchange rates</t>
    </r>
    <r>
      <rPr>
        <sz val="10"/>
        <color rgb="FF000000"/>
        <rFont val="WenQuanYi Zen Hei"/>
        <family val="2"/>
      </rPr>
      <t xml:space="preserve">」で検索。</t>
    </r>
    <r>
      <rPr>
        <sz val="10"/>
        <color rgb="FF000000"/>
        <rFont val="Arial"/>
        <family val="0"/>
        <charset val="1"/>
      </rPr>
      <t xml:space="preserve">Trade Tariff</t>
    </r>
    <r>
      <rPr>
        <sz val="10"/>
        <color rgb="FF000000"/>
        <rFont val="WenQuanYi Zen Hei"/>
        <family val="2"/>
      </rPr>
      <t xml:space="preserve">サイトで月別に公開）か、自分の銀行の実レート。どちらでもよいが、年間を通じて同じ方法を使うこと</t>
    </r>
  </si>
  <si>
    <t xml:space="preserve">カテゴリ</t>
  </si>
  <si>
    <r>
      <rPr>
        <sz val="10"/>
        <color rgb="FF000000"/>
        <rFont val="WenQuanYi Zen Hei"/>
        <family val="2"/>
      </rPr>
      <t xml:space="preserve">日本の外注先（デザイナー、翻訳者など）への支払いは「外注費・仕入」。</t>
    </r>
    <r>
      <rPr>
        <sz val="10"/>
        <color rgb="FF000000"/>
        <rFont val="Arial"/>
        <family val="0"/>
        <charset val="1"/>
      </rPr>
      <t xml:space="preserve">SA103</t>
    </r>
    <r>
      <rPr>
        <sz val="10"/>
        <color rgb="FF000000"/>
        <rFont val="WenQuanYi Zen Hei"/>
        <family val="2"/>
      </rPr>
      <t xml:space="preserve">では </t>
    </r>
    <r>
      <rPr>
        <sz val="10"/>
        <color rgb="FF000000"/>
        <rFont val="Arial"/>
        <family val="0"/>
        <charset val="1"/>
      </rPr>
      <t xml:space="preserve">Costs of goods bought for resale or goods used </t>
    </r>
    <r>
      <rPr>
        <sz val="10"/>
        <color rgb="FF000000"/>
        <rFont val="WenQuanYi Zen Hei"/>
        <family val="2"/>
      </rPr>
      <t xml:space="preserve">欄に入る</t>
    </r>
  </si>
  <si>
    <r>
      <rPr>
        <b val="true"/>
        <sz val="10"/>
        <color rgb="FF000000"/>
        <rFont val="WenQuanYi Zen Hei"/>
        <family val="2"/>
      </rPr>
      <t xml:space="preserve">【カテゴリと</t>
    </r>
    <r>
      <rPr>
        <b val="true"/>
        <sz val="10"/>
        <color rgb="FF000000"/>
        <rFont val="Arial"/>
        <family val="0"/>
        <charset val="1"/>
      </rPr>
      <t xml:space="preserve">Tax return</t>
    </r>
    <r>
      <rPr>
        <b val="true"/>
        <sz val="10"/>
        <color rgb="FF000000"/>
        <rFont val="WenQuanYi Zen Hei"/>
        <family val="2"/>
      </rPr>
      <t xml:space="preserve">の欄の対応】</t>
    </r>
  </si>
  <si>
    <t xml:space="preserve">外注費・仕入</t>
  </si>
  <si>
    <r>
      <rPr>
        <sz val="10"/>
        <color rgb="FF000000"/>
        <rFont val="Arial"/>
        <family val="0"/>
        <charset val="1"/>
      </rPr>
      <t xml:space="preserve">Costs of goods bought for resale or goods used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CIS</t>
    </r>
    <r>
      <rPr>
        <sz val="10"/>
        <color rgb="FF000000"/>
        <rFont val="WenQuanYi Zen Hei"/>
        <family val="2"/>
      </rPr>
      <t xml:space="preserve">以外の外注費を含む）</t>
    </r>
  </si>
  <si>
    <t xml:space="preserve">給与・スタッフ費</t>
  </si>
  <si>
    <t xml:space="preserve">Wages, salaries and other staff costs</t>
  </si>
  <si>
    <t xml:space="preserve">交通費・車両費</t>
  </si>
  <si>
    <t xml:space="preserve">Car, van and travel expenses</t>
  </si>
  <si>
    <t xml:space="preserve">家賃・光熱費・保険（自宅オフィス含む）</t>
  </si>
  <si>
    <t xml:space="preserve">Rent, rates, power and insurance costs</t>
  </si>
  <si>
    <t xml:space="preserve">修繕・メンテナンス</t>
  </si>
  <si>
    <t xml:space="preserve">Repairs and maintenance of property and equipment</t>
  </si>
  <si>
    <t xml:space="preserve">通信・事務・ソフトウェア</t>
  </si>
  <si>
    <t xml:space="preserve">Phone, fax, stationery and other office costs</t>
  </si>
  <si>
    <t xml:space="preserve">広告・マーケティング</t>
  </si>
  <si>
    <r>
      <rPr>
        <sz val="10"/>
        <color rgb="FF000000"/>
        <rFont val="Arial"/>
        <family val="0"/>
        <charset val="1"/>
      </rPr>
      <t xml:space="preserve">Advertising and business entertainment costs</t>
    </r>
    <r>
      <rPr>
        <sz val="10"/>
        <color rgb="FF000000"/>
        <rFont val="WenQuanYi Zen Hei"/>
        <family val="2"/>
      </rPr>
      <t xml:space="preserve">（接待費は不可）</t>
    </r>
  </si>
  <si>
    <t xml:space="preserve">借入金の利息</t>
  </si>
  <si>
    <t xml:space="preserve">Interest on bank and other loans</t>
  </si>
  <si>
    <t xml:space="preserve">銀行・カード・送金手数料</t>
  </si>
  <si>
    <t xml:space="preserve">Bank, credit card and other financial charges</t>
  </si>
  <si>
    <t xml:space="preserve">会計・法律・専門家費用</t>
  </si>
  <si>
    <t xml:space="preserve">Accountancy, legal and other professional fees</t>
  </si>
  <si>
    <t xml:space="preserve">研修・教材・書籍</t>
  </si>
  <si>
    <t xml:space="preserve">Other allowable business expenses</t>
  </si>
  <si>
    <t xml:space="preserve">その他経費</t>
  </si>
  <si>
    <r>
      <rPr>
        <sz val="10"/>
        <color rgb="FF000000"/>
        <rFont val="WenQuanYi Zen Hei"/>
        <family val="2"/>
      </rPr>
      <t xml:space="preserve">機材（資本的支出・</t>
    </r>
    <r>
      <rPr>
        <sz val="10"/>
        <color rgb="FF000000"/>
        <rFont val="Arial"/>
        <family val="0"/>
        <charset val="1"/>
      </rPr>
      <t xml:space="preserve">AIA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</si>
  <si>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Annual Investment Allowance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Capital allowances</t>
    </r>
    <r>
      <rPr>
        <sz val="10"/>
        <color rgb="FF000000"/>
        <rFont val="WenQuanYi Zen Hei"/>
        <family val="2"/>
      </rPr>
      <t xml:space="preserve">欄。経費欄ではない）</t>
    </r>
  </si>
  <si>
    <t xml:space="preserve">【経費にできないもの】</t>
  </si>
  <si>
    <t xml:space="preserve">私的な支出</t>
  </si>
  <si>
    <t xml:space="preserve">食事（通常の昼食など）、私用の服、通勤費（自宅→常設の職場）</t>
  </si>
  <si>
    <t xml:space="preserve">罰金・接待</t>
  </si>
  <si>
    <t xml:space="preserve">駐車違反の罰金、顧客の接待費</t>
  </si>
  <si>
    <t xml:space="preserve">税金</t>
  </si>
  <si>
    <r>
      <rPr>
        <sz val="10"/>
        <color rgb="FF000000"/>
        <rFont val="WenQuanYi Zen Hei"/>
        <family val="2"/>
      </rPr>
      <t xml:space="preserve">所得税・</t>
    </r>
    <r>
      <rPr>
        <sz val="10"/>
        <color rgb="FF000000"/>
        <rFont val="Arial"/>
        <family val="0"/>
        <charset val="1"/>
      </rPr>
      <t xml:space="preserve">NIC</t>
    </r>
    <r>
      <rPr>
        <sz val="10"/>
        <color rgb="FF000000"/>
        <rFont val="WenQuanYi Zen Hei"/>
        <family val="2"/>
      </rPr>
      <t xml:space="preserve">自体は経費にならない</t>
    </r>
  </si>
  <si>
    <r>
      <rPr>
        <sz val="10"/>
        <color rgb="FF595959"/>
        <rFont val="WenQuanYi Zen Hei"/>
        <family val="2"/>
      </rPr>
      <t xml:space="preserve">出典：</t>
    </r>
    <r>
      <rPr>
        <sz val="10"/>
        <color rgb="FF595959"/>
        <rFont val="Arial"/>
        <family val="0"/>
        <charset val="1"/>
      </rPr>
      <t xml:space="preserve">GOV.UK Self Assessment / Expenses if you're self-employed / Trading allowance</t>
    </r>
    <r>
      <rPr>
        <sz val="10"/>
        <color rgb="FF595959"/>
        <rFont val="WenQuanYi Zen Hei"/>
        <family val="2"/>
      </rPr>
      <t xml:space="preserve">（</t>
    </r>
    <r>
      <rPr>
        <sz val="10"/>
        <color rgb="FF595959"/>
        <rFont val="Arial"/>
        <family val="0"/>
        <charset val="1"/>
      </rPr>
      <t xml:space="preserve">gov.uk</t>
    </r>
    <r>
      <rPr>
        <sz val="10"/>
        <color rgb="FF595959"/>
        <rFont val="WenQuanYi Zen Hei"/>
        <family val="2"/>
      </rPr>
      <t xml:space="preserve">）。税額は概算で、正式な計算は</t>
    </r>
    <r>
      <rPr>
        <sz val="10"/>
        <color rgb="FF595959"/>
        <rFont val="Arial"/>
        <family val="0"/>
        <charset val="1"/>
      </rPr>
      <t xml:space="preserve">HMRC</t>
    </r>
    <r>
      <rPr>
        <sz val="10"/>
        <color rgb="FF595959"/>
        <rFont val="WenQuanYi Zen Hei"/>
        <family val="2"/>
      </rPr>
      <t xml:space="preserve">が行います。</t>
    </r>
  </si>
  <si>
    <r>
      <rPr>
        <b val="true"/>
        <sz val="14"/>
        <color rgb="FF000000"/>
        <rFont val="WenQuanYi Zen Hei"/>
        <family val="2"/>
      </rPr>
      <t xml:space="preserve">為替レート（</t>
    </r>
    <r>
      <rPr>
        <b val="true"/>
        <sz val="14"/>
        <color rgb="FF000000"/>
        <rFont val="Arial"/>
        <family val="0"/>
        <charset val="1"/>
      </rPr>
      <t xml:space="preserve">1£</t>
    </r>
    <r>
      <rPr>
        <b val="true"/>
        <sz val="14"/>
        <color rgb="FF000000"/>
        <rFont val="WenQuanYi Zen Hei"/>
        <family val="2"/>
      </rPr>
      <t xml:space="preserve">＝何円か）</t>
    </r>
  </si>
  <si>
    <r>
      <rPr>
        <sz val="10"/>
        <color rgb="FF000000"/>
        <rFont val="WenQuanYi Zen Hei"/>
        <family val="2"/>
      </rPr>
      <t xml:space="preserve">黄色のセルに毎月のレートを入力。</t>
    </r>
    <r>
      <rPr>
        <sz val="10"/>
        <color rgb="FF000000"/>
        <rFont val="Arial"/>
        <family val="0"/>
        <charset val="1"/>
      </rPr>
      <t xml:space="preserve">HMRC</t>
    </r>
    <r>
      <rPr>
        <sz val="10"/>
        <color rgb="FF000000"/>
        <rFont val="WenQuanYi Zen Hei"/>
        <family val="2"/>
      </rPr>
      <t xml:space="preserve">の月次為替レート（</t>
    </r>
    <r>
      <rPr>
        <sz val="10"/>
        <color rgb="FF000000"/>
        <rFont val="Arial"/>
        <family val="0"/>
        <charset val="1"/>
      </rPr>
      <t xml:space="preserve">GOV.UK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HMRC exchange rates</t>
    </r>
    <r>
      <rPr>
        <sz val="10"/>
        <color rgb="FF000000"/>
        <rFont val="WenQuanYi Zen Hei"/>
        <family val="2"/>
      </rPr>
      <t xml:space="preserve">」）を推奨。</t>
    </r>
  </si>
  <si>
    <t xml:space="preserve">月</t>
  </si>
  <si>
    <r>
      <rPr>
        <b val="true"/>
        <sz val="10"/>
        <color rgb="FFFFFFFF"/>
        <rFont val="Arial"/>
        <family val="0"/>
        <charset val="1"/>
      </rPr>
      <t xml:space="preserve">1£</t>
    </r>
    <r>
      <rPr>
        <b val="true"/>
        <sz val="10"/>
        <color rgb="FFFFFFFF"/>
        <rFont val="WenQuanYi Zen Hei"/>
        <family val="2"/>
      </rPr>
      <t xml:space="preserve">＝円（入力）</t>
    </r>
  </si>
  <si>
    <t xml:space="preserve">出典・メモ</t>
  </si>
  <si>
    <t xml:space="preserve">2025-04</t>
  </si>
  <si>
    <r>
      <rPr>
        <sz val="10"/>
        <color rgb="FF000000"/>
        <rFont val="WenQuanYi Zen Hei"/>
        <family val="2"/>
      </rPr>
      <t xml:space="preserve">例：仮の値。</t>
    </r>
    <r>
      <rPr>
        <sz val="10"/>
        <color rgb="FF000000"/>
        <rFont val="Arial"/>
        <family val="0"/>
        <charset val="1"/>
      </rPr>
      <t xml:space="preserve">HMRC</t>
    </r>
    <r>
      <rPr>
        <sz val="10"/>
        <color rgb="FF000000"/>
        <rFont val="WenQuanYi Zen Hei"/>
        <family val="2"/>
      </rPr>
      <t xml:space="preserve">の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月レートに置き換える</t>
    </r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</si>
  <si>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</si>
  <si>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</si>
  <si>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</si>
  <si>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</si>
  <si>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</si>
  <si>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</si>
  <si>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</si>
  <si>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</si>
  <si>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</si>
  <si>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</si>
  <si>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</si>
  <si>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</si>
  <si>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</si>
  <si>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</si>
  <si>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</si>
  <si>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</si>
  <si>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</si>
  <si>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</si>
  <si>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</si>
  <si>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</si>
  <si>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r>
      <rPr>
        <b val="true"/>
        <sz val="14"/>
        <color rgb="FF000000"/>
        <rFont val="WenQuanYi Zen Hei"/>
        <family val="2"/>
      </rPr>
      <t xml:space="preserve">年度集計（</t>
    </r>
    <r>
      <rPr>
        <b val="true"/>
        <sz val="14"/>
        <color rgb="FF000000"/>
        <rFont val="Arial"/>
        <family val="0"/>
        <charset val="1"/>
      </rPr>
      <t xml:space="preserve">Tax return</t>
    </r>
    <r>
      <rPr>
        <b val="true"/>
        <sz val="14"/>
        <color rgb="FF000000"/>
        <rFont val="WenQuanYi Zen Hei"/>
        <family val="2"/>
      </rPr>
      <t xml:space="preserve">用）</t>
    </r>
  </si>
  <si>
    <r>
      <rPr>
        <sz val="10"/>
        <color rgb="FF000000"/>
        <rFont val="WenQuanYi Zen Hei"/>
        <family val="2"/>
      </rPr>
      <t xml:space="preserve">すべて自動計算。各月タブの「月まとめ」から集まります。</t>
    </r>
    <r>
      <rPr>
        <sz val="10"/>
        <color rgb="FF000000"/>
        <rFont val="Arial"/>
        <family val="0"/>
        <charset val="1"/>
      </rPr>
      <t xml:space="preserve">2026/27</t>
    </r>
    <r>
      <rPr>
        <sz val="10"/>
        <color rgb="FF000000"/>
        <rFont val="WenQuanYi Zen Hei"/>
        <family val="2"/>
      </rPr>
      <t xml:space="preserve">は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月分までの途中集計です。</t>
    </r>
  </si>
  <si>
    <r>
      <rPr>
        <b val="true"/>
        <sz val="10"/>
        <color rgb="FFFFFFFF"/>
        <rFont val="WenQuanYi Zen Hei"/>
        <family val="2"/>
      </rPr>
      <t xml:space="preserve">収入 </t>
    </r>
    <r>
      <rPr>
        <b val="true"/>
        <sz val="10"/>
        <color rgb="FFFFFFFF"/>
        <rFont val="Arial"/>
        <family val="0"/>
        <charset val="1"/>
      </rPr>
      <t xml:space="preserve">2025/26</t>
    </r>
  </si>
  <si>
    <r>
      <rPr>
        <b val="true"/>
        <sz val="10"/>
        <color rgb="FFFFFFFF"/>
        <rFont val="WenQuanYi Zen Hei"/>
        <family val="2"/>
      </rPr>
      <t xml:space="preserve">経費 </t>
    </r>
    <r>
      <rPr>
        <b val="true"/>
        <sz val="10"/>
        <color rgb="FFFFFFFF"/>
        <rFont val="Arial"/>
        <family val="0"/>
        <charset val="1"/>
      </rPr>
      <t xml:space="preserve">2025/26</t>
    </r>
  </si>
  <si>
    <r>
      <rPr>
        <b val="true"/>
        <sz val="10"/>
        <color rgb="FFFFFFFF"/>
        <rFont val="WenQuanYi Zen Hei"/>
        <family val="2"/>
      </rPr>
      <t xml:space="preserve">収入 </t>
    </r>
    <r>
      <rPr>
        <b val="true"/>
        <sz val="10"/>
        <color rgb="FFFFFFFF"/>
        <rFont val="Arial"/>
        <family val="0"/>
        <charset val="1"/>
      </rPr>
      <t xml:space="preserve">2026/27</t>
    </r>
  </si>
  <si>
    <r>
      <rPr>
        <b val="true"/>
        <sz val="10"/>
        <color rgb="FFFFFFFF"/>
        <rFont val="WenQuanYi Zen Hei"/>
        <family val="2"/>
      </rPr>
      <t xml:space="preserve">経費 </t>
    </r>
    <r>
      <rPr>
        <b val="true"/>
        <sz val="10"/>
        <color rgb="FFFFFFFF"/>
        <rFont val="Arial"/>
        <family val="0"/>
        <charset val="1"/>
      </rPr>
      <t xml:space="preserve">2026/27</t>
    </r>
  </si>
  <si>
    <r>
      <rPr>
        <sz val="10"/>
        <color rgb="FF595959"/>
        <rFont val="WenQuanYi Zen Hei"/>
        <family val="2"/>
      </rPr>
      <t xml:space="preserve">※経費列は機材（</t>
    </r>
    <r>
      <rPr>
        <sz val="10"/>
        <color rgb="FF595959"/>
        <rFont val="Arial"/>
        <family val="0"/>
        <charset val="1"/>
      </rPr>
      <t xml:space="preserve">AIA</t>
    </r>
    <r>
      <rPr>
        <sz val="10"/>
        <color rgb="FF595959"/>
        <rFont val="WenQuanYi Zen Hei"/>
        <family val="2"/>
      </rPr>
      <t xml:space="preserve">）を含む</t>
    </r>
  </si>
  <si>
    <t xml:space="preserve">合計</t>
  </si>
  <si>
    <r>
      <rPr>
        <b val="true"/>
        <sz val="12"/>
        <color rgb="FF000000"/>
        <rFont val="WenQuanYi Zen Hei"/>
        <family val="2"/>
      </rPr>
      <t xml:space="preserve">【</t>
    </r>
    <r>
      <rPr>
        <b val="true"/>
        <sz val="12"/>
        <color rgb="FF000000"/>
        <rFont val="Arial"/>
        <family val="0"/>
        <charset val="1"/>
      </rPr>
      <t xml:space="preserve">SA103</t>
    </r>
    <r>
      <rPr>
        <b val="true"/>
        <sz val="12"/>
        <color rgb="FF000000"/>
        <rFont val="WenQuanYi Zen Hei"/>
        <family val="2"/>
      </rPr>
      <t xml:space="preserve">（自営業）に入力する数字】</t>
    </r>
  </si>
  <si>
    <r>
      <rPr>
        <b val="true"/>
        <sz val="10"/>
        <color rgb="FFFFFFFF"/>
        <rFont val="Arial"/>
        <family val="0"/>
        <charset val="1"/>
      </rPr>
      <t xml:space="preserve">SA103</t>
    </r>
    <r>
      <rPr>
        <b val="true"/>
        <sz val="10"/>
        <color rgb="FFFFFFFF"/>
        <rFont val="WenQuanYi Zen Hei"/>
        <family val="2"/>
      </rPr>
      <t xml:space="preserve">の欄（英語表記）</t>
    </r>
  </si>
  <si>
    <r>
      <rPr>
        <b val="true"/>
        <sz val="10"/>
        <color rgb="FF000000"/>
        <rFont val="Arial"/>
        <family val="0"/>
        <charset val="1"/>
      </rPr>
      <t xml:space="preserve">Turnover</t>
    </r>
    <r>
      <rPr>
        <b val="true"/>
        <sz val="10"/>
        <color rgb="FF000000"/>
        <rFont val="WenQuanYi Zen Hei"/>
        <family val="2"/>
      </rPr>
      <t xml:space="preserve">（売上・入金の合計）</t>
    </r>
  </si>
  <si>
    <t xml:space="preserve">Your turnover – the takings, fees, sales or money earned by your business</t>
  </si>
  <si>
    <t xml:space="preserve">  外注費・仕入</t>
  </si>
  <si>
    <t xml:space="preserve">  給与・スタッフ費</t>
  </si>
  <si>
    <t xml:space="preserve">  交通費・車両費</t>
  </si>
  <si>
    <t xml:space="preserve">  家賃・光熱費・保険（自宅オフィス含む）</t>
  </si>
  <si>
    <t xml:space="preserve">  修繕・メンテナンス</t>
  </si>
  <si>
    <t xml:space="preserve">  通信・事務・ソフトウェア</t>
  </si>
  <si>
    <t xml:space="preserve">  広告・マーケティング</t>
  </si>
  <si>
    <t xml:space="preserve">  借入金の利息</t>
  </si>
  <si>
    <t xml:space="preserve">  銀行・カード・送金手数料</t>
  </si>
  <si>
    <t xml:space="preserve">  会計・法律・専門家費用</t>
  </si>
  <si>
    <t xml:space="preserve">  研修・教材・書籍</t>
  </si>
  <si>
    <t xml:space="preserve">  その他経費</t>
  </si>
  <si>
    <r>
      <rPr>
        <b val="true"/>
        <sz val="10"/>
        <color rgb="FF000000"/>
        <rFont val="Arial"/>
        <family val="0"/>
        <charset val="1"/>
      </rPr>
      <t xml:space="preserve">Total allowable expenses</t>
    </r>
    <r>
      <rPr>
        <b val="true"/>
        <sz val="10"/>
        <color rgb="FF000000"/>
        <rFont val="WenQuanYi Zen Hei"/>
        <family val="2"/>
      </rPr>
      <t xml:space="preserve">（経費合計）</t>
    </r>
  </si>
  <si>
    <r>
      <rPr>
        <sz val="10"/>
        <color rgb="FF000000"/>
        <rFont val="WenQuanYi Zen Hei"/>
        <family val="2"/>
      </rPr>
      <t xml:space="preserve">売上が</t>
    </r>
    <r>
      <rPr>
        <sz val="10"/>
        <color rgb="FF000000"/>
        <rFont val="Arial"/>
        <family val="0"/>
        <charset val="1"/>
      </rPr>
      <t xml:space="preserve">£90,000</t>
    </r>
    <r>
      <rPr>
        <sz val="10"/>
        <color rgb="FF000000"/>
        <rFont val="WenQuanYi Zen Hei"/>
        <family val="2"/>
      </rPr>
      <t xml:space="preserve">未満なら、カテゴリ別ではなくこの合計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つだけの入力でも可</t>
    </r>
  </si>
  <si>
    <r>
      <rPr>
        <b val="true"/>
        <sz val="10"/>
        <color rgb="FF000000"/>
        <rFont val="Arial"/>
        <family val="0"/>
        <charset val="1"/>
      </rPr>
      <t xml:space="preserve">Capital allowances</t>
    </r>
    <r>
      <rPr>
        <b val="true"/>
        <sz val="10"/>
        <color rgb="FF000000"/>
        <rFont val="WenQuanYi Zen Hei"/>
        <family val="2"/>
      </rPr>
      <t xml:space="preserve">（機材・</t>
    </r>
    <r>
      <rPr>
        <b val="true"/>
        <sz val="10"/>
        <color rgb="FF000000"/>
        <rFont val="Arial"/>
        <family val="0"/>
        <charset val="1"/>
      </rPr>
      <t xml:space="preserve">AIA</t>
    </r>
    <r>
      <rPr>
        <b val="true"/>
        <sz val="10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</si>
  <si>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Net profit</t>
    </r>
    <r>
      <rPr>
        <b val="true"/>
        <sz val="10"/>
        <color rgb="FF000000"/>
        <rFont val="WenQuanYi Zen Hei"/>
        <family val="2"/>
      </rPr>
      <t xml:space="preserve">（純利益）</t>
    </r>
  </si>
  <si>
    <r>
      <rPr>
        <sz val="10"/>
        <color rgb="FF000000"/>
        <rFont val="WenQuanYi Zen Hei"/>
        <family val="2"/>
      </rPr>
      <t xml:space="preserve">マイナスの場合は </t>
    </r>
    <r>
      <rPr>
        <sz val="10"/>
        <color rgb="FF000000"/>
        <rFont val="Arial"/>
        <family val="0"/>
        <charset val="1"/>
      </rPr>
      <t xml:space="preserve">Loss</t>
    </r>
    <r>
      <rPr>
        <sz val="10"/>
        <color rgb="FF000000"/>
        <rFont val="WenQuanYi Zen Hei"/>
        <family val="2"/>
      </rPr>
      <t xml:space="preserve">（損失）として申告</t>
    </r>
  </si>
  <si>
    <t xml:space="preserve">【チェック】</t>
  </si>
  <si>
    <r>
      <rPr>
        <sz val="10"/>
        <color rgb="FF000000"/>
        <rFont val="Arial"/>
        <family val="0"/>
        <charset val="1"/>
      </rPr>
      <t xml:space="preserve">Trading allowance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£1,000</t>
    </r>
    <r>
      <rPr>
        <sz val="10"/>
        <color rgb="FF000000"/>
        <rFont val="WenQuanYi Zen Hei"/>
        <family val="2"/>
      </rPr>
      <t xml:space="preserve">定額控除）との比較</t>
    </r>
  </si>
  <si>
    <r>
      <rPr>
        <sz val="10"/>
        <color rgb="FF000000"/>
        <rFont val="WenQuanYi Zen Hei"/>
        <family val="2"/>
      </rPr>
      <t xml:space="preserve">経費が</t>
    </r>
    <r>
      <rPr>
        <sz val="10"/>
        <color rgb="FF000000"/>
        <rFont val="Arial"/>
        <family val="0"/>
        <charset val="1"/>
      </rPr>
      <t xml:space="preserve">£1,000</t>
    </r>
    <r>
      <rPr>
        <sz val="10"/>
        <color rgb="FF000000"/>
        <rFont val="WenQuanYi Zen Hei"/>
        <family val="2"/>
      </rPr>
      <t xml:space="preserve">未満なら、実費の代わりに</t>
    </r>
    <r>
      <rPr>
        <sz val="10"/>
        <color rgb="FF000000"/>
        <rFont val="Arial"/>
        <family val="0"/>
        <charset val="1"/>
      </rPr>
      <t xml:space="preserve">£1,000</t>
    </r>
    <r>
      <rPr>
        <sz val="10"/>
        <color rgb="FF000000"/>
        <rFont val="WenQuanYi Zen Hei"/>
        <family val="2"/>
      </rPr>
      <t xml:space="preserve">の定額控除を選べる（どちらか一方）</t>
    </r>
  </si>
  <si>
    <r>
      <rPr>
        <sz val="10"/>
        <color rgb="FF000000"/>
        <rFont val="Arial"/>
        <family val="0"/>
        <charset val="1"/>
      </rPr>
      <t xml:space="preserve">SA103S</t>
    </r>
    <r>
      <rPr>
        <sz val="10"/>
        <color rgb="FF000000"/>
        <rFont val="WenQuanYi Zen Hei"/>
        <family val="2"/>
      </rPr>
      <t xml:space="preserve">（簡易版）が使えるか</t>
    </r>
  </si>
  <si>
    <t xml:space="preserve">カテゴリ未選択の経費（全月合計）</t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</si>
  <si>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でなければ、どこかの月でカテゴリが空欄の経費あり</t>
    </r>
  </si>
  <si>
    <t xml:space="preserve">税額シミュレーション（イングランド・ウェールズ・北アイルランドの税率／概算）</t>
  </si>
  <si>
    <t xml:space="preserve">項目</t>
  </si>
  <si>
    <t xml:space="preserve">説明</t>
  </si>
  <si>
    <t xml:space="preserve">自営業の純利益</t>
  </si>
  <si>
    <t xml:space="preserve">年度集計タブから自動</t>
  </si>
  <si>
    <r>
      <rPr>
        <sz val="10"/>
        <color rgb="FF000000"/>
        <rFont val="WenQuanYi Zen Hei"/>
        <family val="2"/>
      </rPr>
      <t xml:space="preserve">会社員としての給与（</t>
    </r>
    <r>
      <rPr>
        <sz val="10"/>
        <color rgb="FF000000"/>
        <rFont val="Arial"/>
        <family val="0"/>
        <charset val="1"/>
      </rPr>
      <t xml:space="preserve">P60</t>
    </r>
    <r>
      <rPr>
        <sz val="10"/>
        <color rgb="FF000000"/>
        <rFont val="WenQuanYi Zen Hei"/>
        <family val="2"/>
      </rPr>
      <t xml:space="preserve">の </t>
    </r>
    <r>
      <rPr>
        <sz val="10"/>
        <color rgb="FF000000"/>
        <rFont val="Arial"/>
        <family val="0"/>
        <charset val="1"/>
      </rPr>
      <t xml:space="preserve">Pay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</si>
  <si>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勤め先からの給与があれば入力。なければ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</si>
  <si>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WenQuanYi Zen Hei"/>
        <family val="2"/>
      </rPr>
      <t xml:space="preserve">給与から天引き済みの所得税（</t>
    </r>
    <r>
      <rPr>
        <sz val="10"/>
        <color rgb="FF000000"/>
        <rFont val="Arial"/>
        <family val="0"/>
        <charset val="1"/>
      </rPr>
      <t xml:space="preserve">P60</t>
    </r>
    <r>
      <rPr>
        <sz val="10"/>
        <color rgb="FF000000"/>
        <rFont val="WenQuanYi Zen Hei"/>
        <family val="2"/>
      </rPr>
      <t xml:space="preserve">の </t>
    </r>
    <r>
      <rPr>
        <sz val="10"/>
        <color rgb="FF000000"/>
        <rFont val="Arial"/>
        <family val="0"/>
        <charset val="1"/>
      </rPr>
      <t xml:space="preserve">Tax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</si>
  <si>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PAYE</t>
    </r>
    <r>
      <rPr>
        <sz val="10"/>
        <color rgb="FF000000"/>
        <rFont val="WenQuanYi Zen Hei"/>
        <family val="2"/>
      </rPr>
      <t xml:space="preserve">で既に払った税金</t>
    </r>
  </si>
  <si>
    <t xml:space="preserve">その他の課税所得（利子・家賃収入など）</t>
  </si>
  <si>
    <r>
      <rPr>
        <sz val="10"/>
        <color rgb="FF000000"/>
        <rFont val="WenQuanYi Zen Hei"/>
        <family val="2"/>
      </rPr>
      <t xml:space="preserve">なければ</t>
    </r>
    <r>
      <rPr>
        <sz val="10"/>
        <color rgb="FF000000"/>
        <rFont val="Arial"/>
        <family val="0"/>
        <charset val="1"/>
      </rPr>
      <t xml:space="preserve">0</t>
    </r>
  </si>
  <si>
    <t xml:space="preserve">所得合計</t>
  </si>
  <si>
    <r>
      <rPr>
        <sz val="10"/>
        <color rgb="FF000000"/>
        <rFont val="Arial"/>
        <family val="0"/>
        <charset val="1"/>
      </rPr>
      <t xml:space="preserve">Personal Allowance</t>
    </r>
    <r>
      <rPr>
        <sz val="10"/>
        <color rgb="FF000000"/>
        <rFont val="WenQuanYi Zen Hei"/>
        <family val="2"/>
      </rPr>
      <t xml:space="preserve">（非課税枠）</t>
    </r>
  </si>
  <si>
    <r>
      <rPr>
        <sz val="10"/>
        <color rgb="FF000000"/>
        <rFont val="Arial"/>
        <family val="0"/>
        <charset val="1"/>
      </rPr>
      <t xml:space="preserve">£12,570</t>
    </r>
    <r>
      <rPr>
        <sz val="10"/>
        <color rgb="FF000000"/>
        <rFont val="WenQuanYi Zen Hei"/>
        <family val="2"/>
      </rPr>
      <t xml:space="preserve">。所得</t>
    </r>
    <r>
      <rPr>
        <sz val="10"/>
        <color rgb="FF000000"/>
        <rFont val="Arial"/>
        <family val="0"/>
        <charset val="1"/>
      </rPr>
      <t xml:space="preserve">£100,000</t>
    </r>
    <r>
      <rPr>
        <sz val="10"/>
        <color rgb="FF000000"/>
        <rFont val="WenQuanYi Zen Hei"/>
        <family val="2"/>
      </rPr>
      <t xml:space="preserve">超で</t>
    </r>
    <r>
      <rPr>
        <sz val="10"/>
        <color rgb="FF000000"/>
        <rFont val="Arial"/>
        <family val="0"/>
        <charset val="1"/>
      </rPr>
      <t xml:space="preserve">£2</t>
    </r>
    <r>
      <rPr>
        <sz val="10"/>
        <color rgb="FF000000"/>
        <rFont val="WenQuanYi Zen Hei"/>
        <family val="2"/>
      </rPr>
      <t xml:space="preserve">ごとに</t>
    </r>
    <r>
      <rPr>
        <sz val="10"/>
        <color rgb="FF000000"/>
        <rFont val="Arial"/>
        <family val="0"/>
        <charset val="1"/>
      </rPr>
      <t xml:space="preserve">£1</t>
    </r>
    <r>
      <rPr>
        <sz val="10"/>
        <color rgb="FF000000"/>
        <rFont val="WenQuanYi Zen Hei"/>
        <family val="2"/>
      </rPr>
      <t xml:space="preserve">減額</t>
    </r>
  </si>
  <si>
    <t xml:space="preserve">課税所得</t>
  </si>
  <si>
    <t xml:space="preserve">所得税</t>
  </si>
  <si>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WenQuanYi Zen Hei"/>
        <family val="2"/>
      </rPr>
      <t xml:space="preserve">（〜</t>
    </r>
    <r>
      <rPr>
        <sz val="10"/>
        <color rgb="FF000000"/>
        <rFont val="Arial"/>
        <family val="0"/>
        <charset val="1"/>
      </rPr>
      <t xml:space="preserve">£37,700</t>
    </r>
    <r>
      <rPr>
        <sz val="10"/>
        <color rgb="FF000000"/>
        <rFont val="WenQuanYi Zen Hei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（〜</t>
    </r>
    <r>
      <rPr>
        <sz val="10"/>
        <color rgb="FF000000"/>
        <rFont val="Arial"/>
        <family val="0"/>
        <charset val="1"/>
      </rPr>
      <t xml:space="preserve">£125,140</t>
    </r>
    <r>
      <rPr>
        <sz val="10"/>
        <color rgb="FF000000"/>
        <rFont val="WenQuanYi Zen Hei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WenQuanYi Zen Hei"/>
        <family val="2"/>
      </rPr>
      <t xml:space="preserve">（超過分）</t>
    </r>
  </si>
  <si>
    <r>
      <rPr>
        <sz val="10"/>
        <color rgb="FF000000"/>
        <rFont val="Arial"/>
        <family val="0"/>
        <charset val="1"/>
      </rPr>
      <t xml:space="preserve">Class 4 NIC</t>
    </r>
    <r>
      <rPr>
        <sz val="10"/>
        <color rgb="FF000000"/>
        <rFont val="WenQuanYi Zen Hei"/>
        <family val="2"/>
      </rPr>
      <t xml:space="preserve">（自営業分のみ）</t>
    </r>
  </si>
  <si>
    <r>
      <rPr>
        <sz val="10"/>
        <color rgb="FF000000"/>
        <rFont val="WenQuanYi Zen Hei"/>
        <family val="2"/>
      </rPr>
      <t xml:space="preserve">利益</t>
    </r>
    <r>
      <rPr>
        <sz val="10"/>
        <color rgb="FF000000"/>
        <rFont val="Arial"/>
        <family val="0"/>
        <charset val="1"/>
      </rPr>
      <t xml:space="preserve">£12,570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£50,270</t>
    </r>
    <r>
      <rPr>
        <sz val="10"/>
        <color rgb="FF000000"/>
        <rFont val="WenQuanYi Zen Hei"/>
        <family val="2"/>
      </rPr>
      <t xml:space="preserve">に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WenQuanYi Zen Hei"/>
        <family val="2"/>
      </rPr>
      <t xml:space="preserve">、超過分に</t>
    </r>
    <r>
      <rPr>
        <sz val="10"/>
        <color rgb="FF000000"/>
        <rFont val="Arial"/>
        <family val="0"/>
        <charset val="1"/>
      </rPr>
      <t xml:space="preserve">2%</t>
    </r>
  </si>
  <si>
    <t xml:space="preserve">税金の合計（概算）</t>
  </si>
  <si>
    <r>
      <rPr>
        <b val="true"/>
        <sz val="10"/>
        <color rgb="FF000000"/>
        <rFont val="Arial"/>
        <family val="0"/>
        <charset val="1"/>
      </rPr>
      <t xml:space="preserve">Self Assessment</t>
    </r>
    <r>
      <rPr>
        <b val="true"/>
        <sz val="10"/>
        <color rgb="FF000000"/>
        <rFont val="WenQuanYi Zen Hei"/>
        <family val="2"/>
      </rPr>
      <t xml:space="preserve">で払う額（概算）</t>
    </r>
  </si>
  <si>
    <t xml:space="preserve">合計から天引き済み分を差し引いた額</t>
  </si>
  <si>
    <r>
      <rPr>
        <sz val="10"/>
        <color rgb="FF000000"/>
        <rFont val="WenQuanYi Zen Hei"/>
        <family val="2"/>
      </rPr>
      <t xml:space="preserve">中間前払い（</t>
    </r>
    <r>
      <rPr>
        <sz val="10"/>
        <color rgb="FF000000"/>
        <rFont val="Arial"/>
        <family val="0"/>
        <charset val="1"/>
      </rPr>
      <t xml:space="preserve">Payments on Account</t>
    </r>
    <r>
      <rPr>
        <sz val="10"/>
        <color rgb="FF000000"/>
        <rFont val="WenQuanYi Zen Hei"/>
        <family val="2"/>
      </rPr>
      <t xml:space="preserve">）の可能性</t>
    </r>
  </si>
  <si>
    <r>
      <rPr>
        <sz val="10"/>
        <color rgb="FF000000"/>
        <rFont val="WenQuanYi Zen Hei"/>
        <family val="2"/>
      </rPr>
      <t xml:space="preserve">支払額が</t>
    </r>
    <r>
      <rPr>
        <sz val="10"/>
        <color rgb="FF000000"/>
        <rFont val="Arial"/>
        <family val="0"/>
        <charset val="1"/>
      </rPr>
      <t xml:space="preserve">£1,000</t>
    </r>
    <r>
      <rPr>
        <sz val="10"/>
        <color rgb="FF000000"/>
        <rFont val="WenQuanYi Zen Hei"/>
        <family val="2"/>
      </rPr>
      <t xml:space="preserve">超、かつ天引き分が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WenQuanYi Zen Hei"/>
        <family val="2"/>
      </rPr>
      <t xml:space="preserve">未満だと翌年度の前払いが必要（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WenQuanYi Zen Hei"/>
        <family val="2"/>
      </rPr>
      <t xml:space="preserve">日と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WenQuanYi Zen Hei"/>
        <family val="2"/>
      </rPr>
      <t xml:space="preserve">日に半額ずつ）</t>
    </r>
  </si>
  <si>
    <r>
      <rPr>
        <sz val="10"/>
        <color rgb="FF595959"/>
        <rFont val="Arial"/>
        <family val="0"/>
        <charset val="1"/>
      </rPr>
      <t xml:space="preserve">※2026/27</t>
    </r>
    <r>
      <rPr>
        <sz val="10"/>
        <color rgb="FF595959"/>
        <rFont val="WenQuanYi Zen Hei"/>
        <family val="2"/>
      </rPr>
      <t xml:space="preserve">は</t>
    </r>
    <r>
      <rPr>
        <sz val="10"/>
        <color rgb="FF595959"/>
        <rFont val="Arial"/>
        <family val="0"/>
        <charset val="1"/>
      </rPr>
      <t xml:space="preserve">2026</t>
    </r>
    <r>
      <rPr>
        <sz val="10"/>
        <color rgb="FF595959"/>
        <rFont val="WenQuanYi Zen Hei"/>
        <family val="2"/>
      </rPr>
      <t xml:space="preserve">年</t>
    </r>
    <r>
      <rPr>
        <sz val="10"/>
        <color rgb="FF595959"/>
        <rFont val="Arial"/>
        <family val="0"/>
        <charset val="1"/>
      </rPr>
      <t xml:space="preserve">12</t>
    </r>
    <r>
      <rPr>
        <sz val="10"/>
        <color rgb="FF595959"/>
        <rFont val="WenQuanYi Zen Hei"/>
        <family val="2"/>
      </rPr>
      <t xml:space="preserve">月までの途中データ・同じ税率を仮定。スコットランド在住の場合は所得税率が異なります。</t>
    </r>
  </si>
  <si>
    <r>
      <rPr>
        <sz val="10"/>
        <color rgb="FF595959"/>
        <rFont val="Arial"/>
        <family val="0"/>
        <charset val="1"/>
      </rPr>
      <t xml:space="preserve">※Class 2 NIC</t>
    </r>
    <r>
      <rPr>
        <sz val="10"/>
        <color rgb="FF595959"/>
        <rFont val="WenQuanYi Zen Hei"/>
        <family val="2"/>
      </rPr>
      <t xml:space="preserve">は</t>
    </r>
    <r>
      <rPr>
        <sz val="10"/>
        <color rgb="FF595959"/>
        <rFont val="Arial"/>
        <family val="0"/>
        <charset val="1"/>
      </rPr>
      <t xml:space="preserve">2024/25</t>
    </r>
    <r>
      <rPr>
        <sz val="10"/>
        <color rgb="FF595959"/>
        <rFont val="WenQuanYi Zen Hei"/>
        <family val="2"/>
      </rPr>
      <t xml:space="preserve">から廃止（利益</t>
    </r>
    <r>
      <rPr>
        <sz val="10"/>
        <color rgb="FF595959"/>
        <rFont val="Arial"/>
        <family val="0"/>
        <charset val="1"/>
      </rPr>
      <t xml:space="preserve">£6,845</t>
    </r>
    <r>
      <rPr>
        <sz val="10"/>
        <color rgb="FF595959"/>
        <rFont val="WenQuanYi Zen Hei"/>
        <family val="2"/>
      </rPr>
      <t xml:space="preserve">未満なら任意で納付し年金加入記録を残せる）。</t>
    </r>
  </si>
  <si>
    <r>
      <rPr>
        <sz val="10"/>
        <color rgb="FF595959"/>
        <rFont val="WenQuanYi Zen Hei"/>
        <family val="2"/>
      </rPr>
      <t xml:space="preserve">※学生ローン返済・</t>
    </r>
    <r>
      <rPr>
        <sz val="10"/>
        <color rgb="FF595959"/>
        <rFont val="Arial"/>
        <family val="0"/>
        <charset val="1"/>
      </rPr>
      <t xml:space="preserve">Gift Aid</t>
    </r>
    <r>
      <rPr>
        <sz val="10"/>
        <color rgb="FF595959"/>
        <rFont val="WenQuanYi Zen Hei"/>
        <family val="2"/>
      </rPr>
      <t xml:space="preserve">・個人年金の控除は未反映。正確な税額は申告後に</t>
    </r>
    <r>
      <rPr>
        <sz val="10"/>
        <color rgb="FF595959"/>
        <rFont val="Arial"/>
        <family val="0"/>
        <charset val="1"/>
      </rPr>
      <t xml:space="preserve">HMRC</t>
    </r>
    <r>
      <rPr>
        <sz val="10"/>
        <color rgb="FF595959"/>
        <rFont val="WenQuanYi Zen Hei"/>
        <family val="2"/>
      </rPr>
      <t xml:space="preserve">が計算します。</t>
    </r>
  </si>
  <si>
    <r>
      <rPr>
        <b val="true"/>
        <sz val="14"/>
        <color rgb="FF000000"/>
        <rFont val="Arial"/>
        <family val="0"/>
        <charset val="1"/>
      </rPr>
      <t xml:space="preserve">2025</t>
    </r>
    <r>
      <rPr>
        <b val="true"/>
        <sz val="14"/>
        <color rgb="FF000000"/>
        <rFont val="WenQuanYi Zen Hei"/>
        <family val="2"/>
      </rPr>
      <t xml:space="preserve">年</t>
    </r>
    <r>
      <rPr>
        <b val="true"/>
        <sz val="14"/>
        <color rgb="FF000000"/>
        <rFont val="Arial"/>
        <family val="0"/>
        <charset val="1"/>
      </rPr>
      <t xml:space="preserve">4</t>
    </r>
    <r>
      <rPr>
        <b val="true"/>
        <sz val="14"/>
        <color rgb="FF000000"/>
        <rFont val="WenQuanYi Zen Hei"/>
        <family val="2"/>
      </rPr>
      <t xml:space="preserve">月</t>
    </r>
  </si>
  <si>
    <r>
      <rPr>
        <b val="true"/>
        <sz val="10"/>
        <color rgb="FF000000"/>
        <rFont val="WenQuanYi Zen Hei"/>
        <family val="2"/>
      </rPr>
      <t xml:space="preserve">今月のレート </t>
    </r>
    <r>
      <rPr>
        <b val="true"/>
        <sz val="10"/>
        <color rgb="FF000000"/>
        <rFont val="Arial"/>
        <family val="0"/>
        <charset val="1"/>
      </rPr>
      <t xml:space="preserve">1£</t>
    </r>
    <r>
      <rPr>
        <b val="true"/>
        <sz val="10"/>
        <color rgb="FF000000"/>
        <rFont val="WenQuanYi Zen Hei"/>
        <family val="2"/>
      </rPr>
      <t xml:space="preserve">＝</t>
    </r>
  </si>
  <si>
    <r>
      <rPr>
        <sz val="10"/>
        <color rgb="FF000000"/>
        <rFont val="WenQuanYi Zen Hei"/>
        <family val="2"/>
      </rPr>
      <t xml:space="preserve">黄色＝記入／緑＝自動計算。円の支払いは「為替レート」タブのレートで自動換算（実際の</t>
    </r>
    <r>
      <rPr>
        <sz val="10"/>
        <color rgb="FF000000"/>
        <rFont val="Arial"/>
        <family val="0"/>
        <charset val="1"/>
      </rPr>
      <t xml:space="preserve">£</t>
    </r>
    <r>
      <rPr>
        <sz val="10"/>
        <color rgb="FF000000"/>
        <rFont val="WenQuanYi Zen Hei"/>
        <family val="2"/>
      </rPr>
      <t xml:space="preserve">額があればそちらを優先）。</t>
    </r>
  </si>
  <si>
    <t xml:space="preserve">【収入】仕事の入金（入金した日で記録）</t>
  </si>
  <si>
    <t xml:space="preserve">日付</t>
  </si>
  <si>
    <t xml:space="preserve">取引先</t>
  </si>
  <si>
    <t xml:space="preserve">内容</t>
  </si>
  <si>
    <t xml:space="preserve">入金方法</t>
  </si>
  <si>
    <t xml:space="preserve">通貨</t>
  </si>
  <si>
    <t xml:space="preserve">元の金額</t>
  </si>
  <si>
    <r>
      <rPr>
        <b val="true"/>
        <sz val="10"/>
        <color rgb="FFFFFFFF"/>
        <rFont val="WenQuanYi Zen Hei"/>
        <family val="2"/>
      </rPr>
      <t xml:space="preserve">実際の</t>
    </r>
    <r>
      <rPr>
        <b val="true"/>
        <sz val="10"/>
        <color rgb="FFFFFFFF"/>
        <rFont val="Arial"/>
        <family val="0"/>
        <charset val="1"/>
      </rPr>
      <t xml:space="preserve">£</t>
    </r>
    <r>
      <rPr>
        <b val="true"/>
        <sz val="10"/>
        <color rgb="FFFFFFFF"/>
        <rFont val="WenQuanYi Zen Hei"/>
        <family val="2"/>
      </rPr>
      <t xml:space="preserve">額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分かれば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</si>
  <si>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金額</t>
    </r>
    <r>
      <rPr>
        <b val="true"/>
        <sz val="10"/>
        <color rgb="FFFFFFFF"/>
        <rFont val="Arial"/>
        <family val="0"/>
        <charset val="1"/>
      </rPr>
      <t xml:space="preserve">(£)
</t>
    </r>
    <r>
      <rPr>
        <b val="true"/>
        <sz val="10"/>
        <color rgb="FFFFFFFF"/>
        <rFont val="WenQuanYi Zen Hei"/>
        <family val="2"/>
      </rPr>
      <t xml:space="preserve">自動</t>
    </r>
  </si>
  <si>
    <r>
      <rPr>
        <b val="true"/>
        <sz val="10"/>
        <color rgb="FFFFFFFF"/>
        <rFont val="WenQuanYi Zen Hei"/>
        <family val="2"/>
      </rPr>
      <t xml:space="preserve">請求書</t>
    </r>
    <r>
      <rPr>
        <b val="true"/>
        <sz val="10"/>
        <color rgb="FFFFFFFF"/>
        <rFont val="Arial"/>
        <family val="0"/>
        <charset val="1"/>
      </rPr>
      <t xml:space="preserve">No.</t>
    </r>
  </si>
  <si>
    <t xml:space="preserve">税年度
自動</t>
  </si>
  <si>
    <t xml:space="preserve">メモ</t>
  </si>
  <si>
    <r>
      <rPr>
        <sz val="10"/>
        <color rgb="FF0000FF"/>
        <rFont val="Arial"/>
        <family val="0"/>
        <charset val="1"/>
      </rPr>
      <t xml:space="preserve">Example Ltd</t>
    </r>
    <r>
      <rPr>
        <sz val="10"/>
        <color rgb="FF0000FF"/>
        <rFont val="WenQuanYi Zen Hei"/>
        <family val="2"/>
      </rPr>
      <t xml:space="preserve">（例）</t>
    </r>
  </si>
  <si>
    <r>
      <rPr>
        <sz val="10"/>
        <color rgb="FF0000FF"/>
        <rFont val="Arial"/>
        <family val="0"/>
        <charset val="1"/>
      </rPr>
      <t xml:space="preserve">IELTS</t>
    </r>
    <r>
      <rPr>
        <sz val="10"/>
        <color rgb="FF0000FF"/>
        <rFont val="WenQuanYi Zen Hei"/>
        <family val="2"/>
      </rPr>
      <t xml:space="preserve">コーチング </t>
    </r>
    <r>
      <rPr>
        <sz val="10"/>
        <color rgb="FF0000FF"/>
        <rFont val="Arial"/>
        <family val="0"/>
        <charset val="1"/>
      </rPr>
      <t xml:space="preserve">60</t>
    </r>
    <r>
      <rPr>
        <sz val="10"/>
        <color rgb="FF0000FF"/>
        <rFont val="WenQuanYi Zen Hei"/>
        <family val="2"/>
      </rPr>
      <t xml:space="preserve">分</t>
    </r>
    <r>
      <rPr>
        <sz val="10"/>
        <color rgb="FF0000FF"/>
        <rFont val="Arial"/>
        <family val="0"/>
        <charset val="1"/>
      </rPr>
      <t xml:space="preserve">×2</t>
    </r>
    <r>
      <rPr>
        <sz val="10"/>
        <color rgb="FF0000FF"/>
        <rFont val="WenQuanYi Zen Hei"/>
        <family val="2"/>
      </rPr>
      <t xml:space="preserve">（例：削除）</t>
    </r>
  </si>
  <si>
    <t xml:space="preserve">銀行振込</t>
  </si>
  <si>
    <t xml:space="preserve">GBP</t>
  </si>
  <si>
    <t xml:space="preserve">INV-001</t>
  </si>
  <si>
    <t xml:space="preserve">収入合計</t>
  </si>
  <si>
    <t xml:space="preserve">【経費】仕事で支払った費用（支払った日で記録・領収書を保管）</t>
  </si>
  <si>
    <t xml:space="preserve">支払先</t>
  </si>
  <si>
    <r>
      <rPr>
        <b val="true"/>
        <sz val="10"/>
        <color rgb="FFFFFFFF"/>
        <rFont val="Arial"/>
        <family val="0"/>
        <charset val="1"/>
      </rPr>
      <t xml:space="preserve">£</t>
    </r>
    <r>
      <rPr>
        <b val="true"/>
        <sz val="10"/>
        <color rgb="FFFFFFFF"/>
        <rFont val="WenQuanYi Zen Hei"/>
        <family val="2"/>
      </rPr>
      <t xml:space="preserve">換算額
自動</t>
    </r>
  </si>
  <si>
    <r>
      <rPr>
        <b val="true"/>
        <sz val="10"/>
        <color rgb="FFFFFFFF"/>
        <rFont val="WenQuanYi Zen Hei"/>
        <family val="2"/>
      </rPr>
      <t xml:space="preserve">事業使用率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空欄</t>
    </r>
    <r>
      <rPr>
        <b val="true"/>
        <sz val="10"/>
        <color rgb="FFFFFFFF"/>
        <rFont val="Arial"/>
        <family val="0"/>
        <charset val="1"/>
      </rPr>
      <t xml:space="preserve">=100%)</t>
    </r>
  </si>
  <si>
    <r>
      <rPr>
        <b val="true"/>
        <sz val="10"/>
        <color rgb="FFFFFFFF"/>
        <rFont val="WenQuanYi Zen Hei"/>
        <family val="2"/>
      </rPr>
      <t xml:space="preserve">認定経費</t>
    </r>
    <r>
      <rPr>
        <b val="true"/>
        <sz val="10"/>
        <color rgb="FFFFFFFF"/>
        <rFont val="Arial"/>
        <family val="0"/>
        <charset val="1"/>
      </rPr>
      <t xml:space="preserve">(£)
</t>
    </r>
    <r>
      <rPr>
        <b val="true"/>
        <sz val="10"/>
        <color rgb="FFFFFFFF"/>
        <rFont val="WenQuanYi Zen Hei"/>
        <family val="2"/>
      </rPr>
      <t xml:space="preserve">自動</t>
    </r>
  </si>
  <si>
    <t xml:space="preserve">領収書
○</t>
  </si>
  <si>
    <t xml:space="preserve">山田さん（例）</t>
  </si>
  <si>
    <t xml:space="preserve">教材デザイン外注（例：削除）</t>
  </si>
  <si>
    <t xml:space="preserve">JPY</t>
  </si>
  <si>
    <t xml:space="preserve">○</t>
  </si>
  <si>
    <r>
      <rPr>
        <sz val="10"/>
        <color rgb="FF0000FF"/>
        <rFont val="Arial"/>
        <family val="0"/>
        <charset val="1"/>
      </rPr>
      <t xml:space="preserve">Zoom</t>
    </r>
    <r>
      <rPr>
        <sz val="10"/>
        <color rgb="FF0000FF"/>
        <rFont val="WenQuanYi Zen Hei"/>
        <family val="2"/>
      </rPr>
      <t xml:space="preserve">（例）</t>
    </r>
  </si>
  <si>
    <t xml:space="preserve">オンライン授業ツール月額（例：削除）</t>
  </si>
  <si>
    <t xml:space="preserve">支払合計（按分後・機材含む）</t>
  </si>
  <si>
    <t xml:space="preserve">【月まとめ（税年度別）】自動計算</t>
  </si>
  <si>
    <t xml:space="preserve">経費合計（機材を除く）</t>
  </si>
  <si>
    <t xml:space="preserve">純利益（収入−経費−機材）</t>
  </si>
  <si>
    <r>
      <rPr>
        <sz val="10"/>
        <color rgb="FFC00000"/>
        <rFont val="WenQuanYi Zen Hei"/>
        <family val="2"/>
      </rPr>
      <t xml:space="preserve">※カテゴリ未選択の経費は集計されません。下の「カテゴリ未選択」が</t>
    </r>
    <r>
      <rPr>
        <sz val="10"/>
        <color rgb="FFC00000"/>
        <rFont val="Arial"/>
        <family val="0"/>
        <charset val="1"/>
      </rPr>
      <t xml:space="preserve">0</t>
    </r>
    <r>
      <rPr>
        <sz val="10"/>
        <color rgb="FFC00000"/>
        <rFont val="WenQuanYi Zen Hei"/>
        <family val="2"/>
      </rPr>
      <t xml:space="preserve">になっているか確認してください。</t>
    </r>
  </si>
  <si>
    <t xml:space="preserve">カテゴリ未選択の金額</t>
  </si>
  <si>
    <r>
      <rPr>
        <b val="true"/>
        <sz val="14"/>
        <color rgb="FF000000"/>
        <rFont val="Arial"/>
        <family val="0"/>
        <charset val="1"/>
      </rPr>
      <t xml:space="preserve">2025</t>
    </r>
    <r>
      <rPr>
        <b val="true"/>
        <sz val="14"/>
        <color rgb="FF000000"/>
        <rFont val="WenQuanYi Zen Hei"/>
        <family val="2"/>
      </rPr>
      <t xml:space="preserve">年</t>
    </r>
    <r>
      <rPr>
        <b val="true"/>
        <sz val="14"/>
        <color rgb="FF000000"/>
        <rFont val="Arial"/>
        <family val="0"/>
        <charset val="1"/>
      </rPr>
      <t xml:space="preserve">5</t>
    </r>
    <r>
      <rPr>
        <b val="true"/>
        <sz val="14"/>
        <color rgb="FF000000"/>
        <rFont val="WenQuanYi Zen Hei"/>
        <family val="2"/>
      </rPr>
      <t xml:space="preserve">月</t>
    </r>
  </si>
  <si>
    <r>
      <rPr>
        <b val="true"/>
        <sz val="14"/>
        <color rgb="FF000000"/>
        <rFont val="Arial"/>
        <family val="0"/>
        <charset val="1"/>
      </rPr>
      <t xml:space="preserve">2025</t>
    </r>
    <r>
      <rPr>
        <b val="true"/>
        <sz val="14"/>
        <color rgb="FF000000"/>
        <rFont val="WenQuanYi Zen Hei"/>
        <family val="2"/>
      </rPr>
      <t xml:space="preserve">年</t>
    </r>
    <r>
      <rPr>
        <b val="true"/>
        <sz val="14"/>
        <color rgb="FF000000"/>
        <rFont val="Arial"/>
        <family val="0"/>
        <charset val="1"/>
      </rPr>
      <t xml:space="preserve">6</t>
    </r>
    <r>
      <rPr>
        <b val="true"/>
        <sz val="14"/>
        <color rgb="FF000000"/>
        <rFont val="WenQuanYi Zen Hei"/>
        <family val="2"/>
      </rPr>
      <t xml:space="preserve">月</t>
    </r>
  </si>
  <si>
    <r>
      <rPr>
        <b val="true"/>
        <sz val="14"/>
        <color rgb="FF000000"/>
        <rFont val="Arial"/>
        <family val="0"/>
        <charset val="1"/>
      </rPr>
      <t xml:space="preserve">2025</t>
    </r>
    <r>
      <rPr>
        <b val="true"/>
        <sz val="14"/>
        <color rgb="FF000000"/>
        <rFont val="WenQuanYi Zen Hei"/>
        <family val="2"/>
      </rPr>
      <t xml:space="preserve">年</t>
    </r>
    <r>
      <rPr>
        <b val="true"/>
        <sz val="14"/>
        <color rgb="FF000000"/>
        <rFont val="Arial"/>
        <family val="0"/>
        <charset val="1"/>
      </rPr>
      <t xml:space="preserve">7</t>
    </r>
    <r>
      <rPr>
        <b val="true"/>
        <sz val="14"/>
        <color rgb="FF000000"/>
        <rFont val="WenQuanYi Zen Hei"/>
        <family val="2"/>
      </rPr>
      <t xml:space="preserve">月</t>
    </r>
  </si>
  <si>
    <r>
      <rPr>
        <b val="true"/>
        <sz val="14"/>
        <color rgb="FF000000"/>
        <rFont val="Arial"/>
        <family val="0"/>
        <charset val="1"/>
      </rPr>
      <t xml:space="preserve">2025</t>
    </r>
    <r>
      <rPr>
        <b val="true"/>
        <sz val="14"/>
        <color rgb="FF000000"/>
        <rFont val="WenQuanYi Zen Hei"/>
        <family val="2"/>
      </rPr>
      <t xml:space="preserve">年</t>
    </r>
    <r>
      <rPr>
        <b val="true"/>
        <sz val="14"/>
        <color rgb="FF000000"/>
        <rFont val="Arial"/>
        <family val="0"/>
        <charset val="1"/>
      </rPr>
      <t xml:space="preserve">8</t>
    </r>
    <r>
      <rPr>
        <b val="true"/>
        <sz val="14"/>
        <color rgb="FF000000"/>
        <rFont val="WenQuanYi Zen Hei"/>
        <family val="2"/>
      </rPr>
      <t xml:space="preserve">月</t>
    </r>
  </si>
  <si>
    <r>
      <rPr>
        <b val="true"/>
        <sz val="14"/>
        <color rgb="FF000000"/>
        <rFont val="Arial"/>
        <family val="0"/>
        <charset val="1"/>
      </rPr>
      <t xml:space="preserve">2025</t>
    </r>
    <r>
      <rPr>
        <b val="true"/>
        <sz val="14"/>
        <color rgb="FF000000"/>
        <rFont val="WenQuanYi Zen Hei"/>
        <family val="2"/>
      </rPr>
      <t xml:space="preserve">年</t>
    </r>
    <r>
      <rPr>
        <b val="true"/>
        <sz val="14"/>
        <color rgb="FF000000"/>
        <rFont val="Arial"/>
        <family val="0"/>
        <charset val="1"/>
      </rPr>
      <t xml:space="preserve">9</t>
    </r>
    <r>
      <rPr>
        <b val="true"/>
        <sz val="14"/>
        <color rgb="FF000000"/>
        <rFont val="WenQuanYi Zen Hei"/>
        <family val="2"/>
      </rPr>
      <t xml:space="preserve">月</t>
    </r>
  </si>
  <si>
    <r>
      <rPr>
        <b val="true"/>
        <sz val="14"/>
        <color rgb="FF000000"/>
        <rFont val="Arial"/>
        <family val="0"/>
        <charset val="1"/>
      </rPr>
      <t xml:space="preserve">2025</t>
    </r>
    <r>
      <rPr>
        <b val="true"/>
        <sz val="14"/>
        <color rgb="FF000000"/>
        <rFont val="WenQuanYi Zen Hei"/>
        <family val="2"/>
      </rPr>
      <t xml:space="preserve">年</t>
    </r>
    <r>
      <rPr>
        <b val="true"/>
        <sz val="14"/>
        <color rgb="FF000000"/>
        <rFont val="Arial"/>
        <family val="0"/>
        <charset val="1"/>
      </rPr>
      <t xml:space="preserve">10</t>
    </r>
    <r>
      <rPr>
        <b val="true"/>
        <sz val="14"/>
        <color rgb="FF000000"/>
        <rFont val="WenQuanYi Zen Hei"/>
        <family val="2"/>
      </rPr>
      <t xml:space="preserve">月</t>
    </r>
  </si>
  <si>
    <r>
      <rPr>
        <b val="true"/>
        <sz val="14"/>
        <color rgb="FF000000"/>
        <rFont val="Arial"/>
        <family val="0"/>
        <charset val="1"/>
      </rPr>
      <t xml:space="preserve">2025</t>
    </r>
    <r>
      <rPr>
        <b val="true"/>
        <sz val="14"/>
        <color rgb="FF000000"/>
        <rFont val="WenQuanYi Zen Hei"/>
        <family val="2"/>
      </rPr>
      <t xml:space="preserve">年</t>
    </r>
    <r>
      <rPr>
        <b val="true"/>
        <sz val="14"/>
        <color rgb="FF000000"/>
        <rFont val="Arial"/>
        <family val="0"/>
        <charset val="1"/>
      </rPr>
      <t xml:space="preserve">11</t>
    </r>
    <r>
      <rPr>
        <b val="true"/>
        <sz val="14"/>
        <color rgb="FF000000"/>
        <rFont val="WenQuanYi Zen Hei"/>
        <family val="2"/>
      </rPr>
      <t xml:space="preserve">月</t>
    </r>
  </si>
  <si>
    <r>
      <rPr>
        <b val="true"/>
        <sz val="14"/>
        <color rgb="FF000000"/>
        <rFont val="Arial"/>
        <family val="0"/>
        <charset val="1"/>
      </rPr>
      <t xml:space="preserve">2025</t>
    </r>
    <r>
      <rPr>
        <b val="true"/>
        <sz val="14"/>
        <color rgb="FF000000"/>
        <rFont val="WenQuanYi Zen Hei"/>
        <family val="2"/>
      </rPr>
      <t xml:space="preserve">年</t>
    </r>
    <r>
      <rPr>
        <b val="true"/>
        <sz val="14"/>
        <color rgb="FF000000"/>
        <rFont val="Arial"/>
        <family val="0"/>
        <charset val="1"/>
      </rPr>
      <t xml:space="preserve">12</t>
    </r>
    <r>
      <rPr>
        <b val="true"/>
        <sz val="14"/>
        <color rgb="FF000000"/>
        <rFont val="WenQuanYi Zen Hei"/>
        <family val="2"/>
      </rPr>
      <t xml:space="preserve">月</t>
    </r>
  </si>
  <si>
    <r>
      <rPr>
        <b val="true"/>
        <sz val="14"/>
        <color rgb="FF000000"/>
        <rFont val="Arial"/>
        <family val="0"/>
        <charset val="1"/>
      </rPr>
      <t xml:space="preserve">2026</t>
    </r>
    <r>
      <rPr>
        <b val="true"/>
        <sz val="14"/>
        <color rgb="FF000000"/>
        <rFont val="WenQuanYi Zen Hei"/>
        <family val="2"/>
      </rPr>
      <t xml:space="preserve">年</t>
    </r>
    <r>
      <rPr>
        <b val="true"/>
        <sz val="14"/>
        <color rgb="FF000000"/>
        <rFont val="Arial"/>
        <family val="0"/>
        <charset val="1"/>
      </rPr>
      <t xml:space="preserve">1</t>
    </r>
    <r>
      <rPr>
        <b val="true"/>
        <sz val="14"/>
        <color rgb="FF000000"/>
        <rFont val="WenQuanYi Zen Hei"/>
        <family val="2"/>
      </rPr>
      <t xml:space="preserve">月</t>
    </r>
  </si>
  <si>
    <r>
      <rPr>
        <b val="true"/>
        <sz val="14"/>
        <color rgb="FF000000"/>
        <rFont val="Arial"/>
        <family val="0"/>
        <charset val="1"/>
      </rPr>
      <t xml:space="preserve">2026</t>
    </r>
    <r>
      <rPr>
        <b val="true"/>
        <sz val="14"/>
        <color rgb="FF000000"/>
        <rFont val="WenQuanYi Zen Hei"/>
        <family val="2"/>
      </rPr>
      <t xml:space="preserve">年</t>
    </r>
    <r>
      <rPr>
        <b val="true"/>
        <sz val="14"/>
        <color rgb="FF000000"/>
        <rFont val="Arial"/>
        <family val="0"/>
        <charset val="1"/>
      </rPr>
      <t xml:space="preserve">2</t>
    </r>
    <r>
      <rPr>
        <b val="true"/>
        <sz val="14"/>
        <color rgb="FF000000"/>
        <rFont val="WenQuanYi Zen Hei"/>
        <family val="2"/>
      </rPr>
      <t xml:space="preserve">月</t>
    </r>
  </si>
  <si>
    <r>
      <rPr>
        <b val="true"/>
        <sz val="14"/>
        <color rgb="FF000000"/>
        <rFont val="Arial"/>
        <family val="0"/>
        <charset val="1"/>
      </rPr>
      <t xml:space="preserve">2026</t>
    </r>
    <r>
      <rPr>
        <b val="true"/>
        <sz val="14"/>
        <color rgb="FF000000"/>
        <rFont val="WenQuanYi Zen Hei"/>
        <family val="2"/>
      </rPr>
      <t xml:space="preserve">年</t>
    </r>
    <r>
      <rPr>
        <b val="true"/>
        <sz val="14"/>
        <color rgb="FF000000"/>
        <rFont val="Arial"/>
        <family val="0"/>
        <charset val="1"/>
      </rPr>
      <t xml:space="preserve">3</t>
    </r>
    <r>
      <rPr>
        <b val="true"/>
        <sz val="14"/>
        <color rgb="FF000000"/>
        <rFont val="WenQuanYi Zen Hei"/>
        <family val="2"/>
      </rPr>
      <t xml:space="preserve">月</t>
    </r>
  </si>
  <si>
    <r>
      <rPr>
        <b val="true"/>
        <sz val="14"/>
        <color rgb="FF000000"/>
        <rFont val="Arial"/>
        <family val="0"/>
        <charset val="1"/>
      </rPr>
      <t xml:space="preserve">2026</t>
    </r>
    <r>
      <rPr>
        <b val="true"/>
        <sz val="14"/>
        <color rgb="FF000000"/>
        <rFont val="WenQuanYi Zen Hei"/>
        <family val="2"/>
      </rPr>
      <t xml:space="preserve">年</t>
    </r>
    <r>
      <rPr>
        <b val="true"/>
        <sz val="14"/>
        <color rgb="FF000000"/>
        <rFont val="Arial"/>
        <family val="0"/>
        <charset val="1"/>
      </rPr>
      <t xml:space="preserve">4</t>
    </r>
    <r>
      <rPr>
        <b val="true"/>
        <sz val="14"/>
        <color rgb="FF000000"/>
        <rFont val="WenQuanYi Zen Hei"/>
        <family val="2"/>
      </rPr>
      <t xml:space="preserve">月</t>
    </r>
  </si>
  <si>
    <r>
      <rPr>
        <b val="true"/>
        <sz val="14"/>
        <color rgb="FF000000"/>
        <rFont val="Arial"/>
        <family val="0"/>
        <charset val="1"/>
      </rPr>
      <t xml:space="preserve">2026</t>
    </r>
    <r>
      <rPr>
        <b val="true"/>
        <sz val="14"/>
        <color rgb="FF000000"/>
        <rFont val="WenQuanYi Zen Hei"/>
        <family val="2"/>
      </rPr>
      <t xml:space="preserve">年</t>
    </r>
    <r>
      <rPr>
        <b val="true"/>
        <sz val="14"/>
        <color rgb="FF000000"/>
        <rFont val="Arial"/>
        <family val="0"/>
        <charset val="1"/>
      </rPr>
      <t xml:space="preserve">5</t>
    </r>
    <r>
      <rPr>
        <b val="true"/>
        <sz val="14"/>
        <color rgb="FF000000"/>
        <rFont val="WenQuanYi Zen Hei"/>
        <family val="2"/>
      </rPr>
      <t xml:space="preserve">月</t>
    </r>
  </si>
  <si>
    <r>
      <rPr>
        <b val="true"/>
        <sz val="14"/>
        <color rgb="FF000000"/>
        <rFont val="Arial"/>
        <family val="0"/>
        <charset val="1"/>
      </rPr>
      <t xml:space="preserve">2026</t>
    </r>
    <r>
      <rPr>
        <b val="true"/>
        <sz val="14"/>
        <color rgb="FF000000"/>
        <rFont val="WenQuanYi Zen Hei"/>
        <family val="2"/>
      </rPr>
      <t xml:space="preserve">年</t>
    </r>
    <r>
      <rPr>
        <b val="true"/>
        <sz val="14"/>
        <color rgb="FF000000"/>
        <rFont val="Arial"/>
        <family val="0"/>
        <charset val="1"/>
      </rPr>
      <t xml:space="preserve">6</t>
    </r>
    <r>
      <rPr>
        <b val="true"/>
        <sz val="14"/>
        <color rgb="FF000000"/>
        <rFont val="WenQuanYi Zen Hei"/>
        <family val="2"/>
      </rPr>
      <t xml:space="preserve">月</t>
    </r>
  </si>
  <si>
    <r>
      <rPr>
        <b val="true"/>
        <sz val="14"/>
        <color rgb="FF000000"/>
        <rFont val="Arial"/>
        <family val="0"/>
        <charset val="1"/>
      </rPr>
      <t xml:space="preserve">2026</t>
    </r>
    <r>
      <rPr>
        <b val="true"/>
        <sz val="14"/>
        <color rgb="FF000000"/>
        <rFont val="WenQuanYi Zen Hei"/>
        <family val="2"/>
      </rPr>
      <t xml:space="preserve">年</t>
    </r>
    <r>
      <rPr>
        <b val="true"/>
        <sz val="14"/>
        <color rgb="FF000000"/>
        <rFont val="Arial"/>
        <family val="0"/>
        <charset val="1"/>
      </rPr>
      <t xml:space="preserve">7</t>
    </r>
    <r>
      <rPr>
        <b val="true"/>
        <sz val="14"/>
        <color rgb="FF000000"/>
        <rFont val="WenQuanYi Zen Hei"/>
        <family val="2"/>
      </rPr>
      <t xml:space="preserve">月</t>
    </r>
  </si>
  <si>
    <r>
      <rPr>
        <b val="true"/>
        <sz val="14"/>
        <color rgb="FF000000"/>
        <rFont val="Arial"/>
        <family val="0"/>
        <charset val="1"/>
      </rPr>
      <t xml:space="preserve">2026</t>
    </r>
    <r>
      <rPr>
        <b val="true"/>
        <sz val="14"/>
        <color rgb="FF000000"/>
        <rFont val="WenQuanYi Zen Hei"/>
        <family val="2"/>
      </rPr>
      <t xml:space="preserve">年</t>
    </r>
    <r>
      <rPr>
        <b val="true"/>
        <sz val="14"/>
        <color rgb="FF000000"/>
        <rFont val="Arial"/>
        <family val="0"/>
        <charset val="1"/>
      </rPr>
      <t xml:space="preserve">8</t>
    </r>
    <r>
      <rPr>
        <b val="true"/>
        <sz val="14"/>
        <color rgb="FF000000"/>
        <rFont val="WenQuanYi Zen Hei"/>
        <family val="2"/>
      </rPr>
      <t xml:space="preserve">月</t>
    </r>
  </si>
  <si>
    <r>
      <rPr>
        <b val="true"/>
        <sz val="14"/>
        <color rgb="FF000000"/>
        <rFont val="Arial"/>
        <family val="0"/>
        <charset val="1"/>
      </rPr>
      <t xml:space="preserve">2026</t>
    </r>
    <r>
      <rPr>
        <b val="true"/>
        <sz val="14"/>
        <color rgb="FF000000"/>
        <rFont val="WenQuanYi Zen Hei"/>
        <family val="2"/>
      </rPr>
      <t xml:space="preserve">年</t>
    </r>
    <r>
      <rPr>
        <b val="true"/>
        <sz val="14"/>
        <color rgb="FF000000"/>
        <rFont val="Arial"/>
        <family val="0"/>
        <charset val="1"/>
      </rPr>
      <t xml:space="preserve">9</t>
    </r>
    <r>
      <rPr>
        <b val="true"/>
        <sz val="14"/>
        <color rgb="FF000000"/>
        <rFont val="WenQuanYi Zen Hei"/>
        <family val="2"/>
      </rPr>
      <t xml:space="preserve">月</t>
    </r>
  </si>
  <si>
    <r>
      <rPr>
        <b val="true"/>
        <sz val="14"/>
        <color rgb="FF000000"/>
        <rFont val="Arial"/>
        <family val="0"/>
        <charset val="1"/>
      </rPr>
      <t xml:space="preserve">2026</t>
    </r>
    <r>
      <rPr>
        <b val="true"/>
        <sz val="14"/>
        <color rgb="FF000000"/>
        <rFont val="WenQuanYi Zen Hei"/>
        <family val="2"/>
      </rPr>
      <t xml:space="preserve">年</t>
    </r>
    <r>
      <rPr>
        <b val="true"/>
        <sz val="14"/>
        <color rgb="FF000000"/>
        <rFont val="Arial"/>
        <family val="0"/>
        <charset val="1"/>
      </rPr>
      <t xml:space="preserve">10</t>
    </r>
    <r>
      <rPr>
        <b val="true"/>
        <sz val="14"/>
        <color rgb="FF000000"/>
        <rFont val="WenQuanYi Zen Hei"/>
        <family val="2"/>
      </rPr>
      <t xml:space="preserve">月</t>
    </r>
  </si>
  <si>
    <r>
      <rPr>
        <b val="true"/>
        <sz val="14"/>
        <color rgb="FF000000"/>
        <rFont val="Arial"/>
        <family val="0"/>
        <charset val="1"/>
      </rPr>
      <t xml:space="preserve">2026</t>
    </r>
    <r>
      <rPr>
        <b val="true"/>
        <sz val="14"/>
        <color rgb="FF000000"/>
        <rFont val="WenQuanYi Zen Hei"/>
        <family val="2"/>
      </rPr>
      <t xml:space="preserve">年</t>
    </r>
    <r>
      <rPr>
        <b val="true"/>
        <sz val="14"/>
        <color rgb="FF000000"/>
        <rFont val="Arial"/>
        <family val="0"/>
        <charset val="1"/>
      </rPr>
      <t xml:space="preserve">11</t>
    </r>
    <r>
      <rPr>
        <b val="true"/>
        <sz val="14"/>
        <color rgb="FF000000"/>
        <rFont val="WenQuanYi Zen Hei"/>
        <family val="2"/>
      </rPr>
      <t xml:space="preserve">月</t>
    </r>
  </si>
  <si>
    <r>
      <rPr>
        <b val="true"/>
        <sz val="14"/>
        <color rgb="FF000000"/>
        <rFont val="Arial"/>
        <family val="0"/>
        <charset val="1"/>
      </rPr>
      <t xml:space="preserve">2026</t>
    </r>
    <r>
      <rPr>
        <b val="true"/>
        <sz val="14"/>
        <color rgb="FF000000"/>
        <rFont val="WenQuanYi Zen Hei"/>
        <family val="2"/>
      </rPr>
      <t xml:space="preserve">年</t>
    </r>
    <r>
      <rPr>
        <b val="true"/>
        <sz val="14"/>
        <color rgb="FF000000"/>
        <rFont val="Arial"/>
        <family val="0"/>
        <charset val="1"/>
      </rPr>
      <t xml:space="preserve">12</t>
    </r>
    <r>
      <rPr>
        <b val="true"/>
        <sz val="14"/>
        <color rgb="FF000000"/>
        <rFont val="WenQuanYi Zen Hei"/>
        <family val="2"/>
      </rPr>
      <t xml:space="preserve">月</t>
    </r>
  </si>
  <si>
    <t xml:space="preserve">PayPal</t>
  </si>
  <si>
    <t xml:space="preserve">Wise</t>
  </si>
  <si>
    <t xml:space="preserve">Stripe</t>
  </si>
  <si>
    <t xml:space="preserve">現金</t>
  </si>
  <si>
    <t xml:space="preserve">カード</t>
  </si>
  <si>
    <t xml:space="preserve">その他</t>
  </si>
  <si>
    <r>
      <rPr>
        <sz val="11"/>
        <color theme="1"/>
        <rFont val="WenQuanYi Zen Hei"/>
        <family val="2"/>
      </rPr>
      <t xml:space="preserve">機材（資本的支出・</t>
    </r>
    <r>
      <rPr>
        <sz val="11"/>
        <color theme="1"/>
        <rFont val="Calibri"/>
        <family val="2"/>
        <charset val="1"/>
      </rPr>
      <t xml:space="preserve">AIA</t>
    </r>
    <r>
      <rPr>
        <sz val="11"/>
        <color theme="1"/>
        <rFont val="WenQuanYi Zen Hei"/>
        <family val="2"/>
      </rPr>
      <t xml:space="preserve">）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</si>
</sst>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\£#,##0.00;&quot;-£&quot;#,##0.00;\-"/>
    <numFmt numFmtId="167" formatCode="\¥#,##0.00"/>
    <numFmt numFmtId="168" formatCode="yyyy/mm/dd"/>
    <numFmt numFmtId="169" formatCode="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b val="true"/>
      <sz val="14"/>
      <color rgb="FF000000"/>
      <name val="WenQuanYi Zen Hei"/>
      <family val="2"/>
    </font>
    <font>
      <sz val="10"/>
      <color rgb="FF000000"/>
      <name val="WenQuanYi Zen Hei"/>
      <family val="2"/>
    </font>
    <font>
      <sz val="10"/>
      <color rgb="FF000000"/>
      <name val="Arial"/>
      <family val="0"/>
      <charset val="1"/>
    </font>
    <font>
      <b val="true"/>
      <sz val="10"/>
      <color rgb="FF000000"/>
      <name val="WenQuanYi Zen Hei"/>
      <family val="2"/>
    </font>
    <font>
      <b val="true"/>
      <sz val="10"/>
      <color rgb="FF000000"/>
      <name val="Arial"/>
      <family val="0"/>
      <charset val="1"/>
    </font>
    <font>
      <sz val="10"/>
      <color rgb="FF595959"/>
      <name val="WenQuanYi Zen Hei"/>
      <family val="2"/>
    </font>
    <font>
      <sz val="10"/>
      <color rgb="FF595959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000000"/>
      <name val="WenQuanYi Zen Hei"/>
      <family val="2"/>
    </font>
    <font>
      <b val="true"/>
      <sz val="12"/>
      <color rgb="FF000000"/>
      <name val="Arial"/>
      <family val="0"/>
      <charset val="1"/>
    </font>
    <font>
      <sz val="10"/>
      <color rgb="FF0000FF"/>
      <name val="WenQuanYi Zen Hei"/>
      <family val="2"/>
    </font>
    <font>
      <sz val="10"/>
      <color rgb="FFC00000"/>
      <name val="WenQuanYi Zen Hei"/>
      <family val="2"/>
    </font>
    <font>
      <sz val="10"/>
      <color rgb="FFC00000"/>
      <name val="Arial"/>
      <family val="0"/>
      <charset val="1"/>
    </font>
    <font>
      <sz val="11"/>
      <color theme="1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  <c r="B5" s="4" t="s">
        <v>4</v>
      </c>
    </row>
    <row r="6" customFormat="false" ht="15" hidden="false" customHeight="false" outlineLevel="0" collapsed="false">
      <c r="A6" s="2" t="s">
        <v>5</v>
      </c>
      <c r="B6" s="4" t="s">
        <v>6</v>
      </c>
    </row>
    <row r="7" customFormat="false" ht="15" hidden="false" customHeight="false" outlineLevel="0" collapsed="false">
      <c r="A7" s="2" t="s">
        <v>7</v>
      </c>
      <c r="B7" s="5" t="s">
        <v>8</v>
      </c>
    </row>
    <row r="8" customFormat="false" ht="15" hidden="false" customHeight="false" outlineLevel="0" collapsed="false">
      <c r="A8" s="2" t="s">
        <v>9</v>
      </c>
      <c r="B8" s="4" t="s">
        <v>10</v>
      </c>
    </row>
    <row r="9" customFormat="false" ht="15" hidden="false" customHeight="false" outlineLevel="0" collapsed="false">
      <c r="A9" s="6" t="s">
        <v>11</v>
      </c>
      <c r="B9" s="4" t="s">
        <v>12</v>
      </c>
    </row>
    <row r="11" customFormat="false" ht="15" hidden="false" customHeight="false" outlineLevel="0" collapsed="false">
      <c r="A11" s="3" t="s">
        <v>13</v>
      </c>
    </row>
    <row r="12" customFormat="false" ht="26.85" hidden="false" customHeight="false" outlineLevel="0" collapsed="false">
      <c r="A12" s="2" t="s">
        <v>14</v>
      </c>
      <c r="B12" s="5" t="s">
        <v>15</v>
      </c>
    </row>
    <row r="13" customFormat="false" ht="15" hidden="false" customHeight="false" outlineLevel="0" collapsed="false">
      <c r="A13" s="6" t="s">
        <v>16</v>
      </c>
      <c r="B13" s="5" t="s">
        <v>17</v>
      </c>
    </row>
    <row r="14" customFormat="false" ht="15" hidden="false" customHeight="false" outlineLevel="0" collapsed="false">
      <c r="A14" s="6" t="s">
        <v>18</v>
      </c>
      <c r="B14" s="5" t="s">
        <v>19</v>
      </c>
    </row>
    <row r="16" customFormat="false" ht="15" hidden="false" customHeight="false" outlineLevel="0" collapsed="false">
      <c r="A16" s="3" t="s">
        <v>20</v>
      </c>
    </row>
    <row r="17" customFormat="false" ht="15" hidden="false" customHeight="false" outlineLevel="0" collapsed="false">
      <c r="A17" s="6" t="s">
        <v>21</v>
      </c>
      <c r="B17" s="4" t="s">
        <v>22</v>
      </c>
    </row>
    <row r="18" customFormat="false" ht="15" hidden="false" customHeight="false" outlineLevel="0" collapsed="false">
      <c r="A18" s="6" t="s">
        <v>23</v>
      </c>
      <c r="B18" s="4" t="s">
        <v>24</v>
      </c>
    </row>
    <row r="19" customFormat="false" ht="15" hidden="false" customHeight="false" outlineLevel="0" collapsed="false">
      <c r="A19" s="2" t="s">
        <v>25</v>
      </c>
      <c r="B19" s="4" t="s">
        <v>26</v>
      </c>
    </row>
    <row r="20" customFormat="false" ht="15" hidden="false" customHeight="false" outlineLevel="0" collapsed="false">
      <c r="A20" s="2" t="s">
        <v>27</v>
      </c>
      <c r="B20" s="4" t="s">
        <v>28</v>
      </c>
    </row>
    <row r="21" customFormat="false" ht="15" hidden="false" customHeight="false" outlineLevel="0" collapsed="false">
      <c r="A21" s="2" t="s">
        <v>29</v>
      </c>
      <c r="B21" s="4" t="s">
        <v>30</v>
      </c>
    </row>
    <row r="23" customFormat="false" ht="15" hidden="false" customHeight="false" outlineLevel="0" collapsed="false">
      <c r="A23" s="3" t="s">
        <v>31</v>
      </c>
    </row>
    <row r="24" customFormat="false" ht="26.85" hidden="false" customHeight="false" outlineLevel="0" collapsed="false">
      <c r="A24" s="2" t="s">
        <v>32</v>
      </c>
      <c r="B24" s="5" t="s">
        <v>33</v>
      </c>
    </row>
    <row r="25" customFormat="false" ht="15" hidden="false" customHeight="false" outlineLevel="0" collapsed="false">
      <c r="A25" s="2" t="s">
        <v>34</v>
      </c>
      <c r="B25" s="4" t="s">
        <v>35</v>
      </c>
    </row>
    <row r="26" customFormat="false" ht="26.85" hidden="false" customHeight="false" outlineLevel="0" collapsed="false">
      <c r="A26" s="2" t="s">
        <v>36</v>
      </c>
      <c r="B26" s="5" t="s">
        <v>37</v>
      </c>
    </row>
    <row r="27" customFormat="false" ht="26.85" hidden="false" customHeight="false" outlineLevel="0" collapsed="false">
      <c r="A27" s="2" t="s">
        <v>38</v>
      </c>
      <c r="B27" s="4" t="s">
        <v>39</v>
      </c>
    </row>
    <row r="29" customFormat="false" ht="15" hidden="false" customHeight="false" outlineLevel="0" collapsed="false">
      <c r="A29" s="3" t="s">
        <v>40</v>
      </c>
    </row>
    <row r="30" customFormat="false" ht="15" hidden="false" customHeight="false" outlineLevel="0" collapsed="false">
      <c r="A30" s="2" t="s">
        <v>41</v>
      </c>
      <c r="B30" s="5" t="s">
        <v>42</v>
      </c>
    </row>
    <row r="31" customFormat="false" ht="15" hidden="false" customHeight="false" outlineLevel="0" collapsed="false">
      <c r="A31" s="2" t="s">
        <v>43</v>
      </c>
      <c r="B31" s="5" t="s">
        <v>44</v>
      </c>
    </row>
    <row r="32" customFormat="false" ht="15" hidden="false" customHeight="false" outlineLevel="0" collapsed="false">
      <c r="A32" s="2" t="s">
        <v>45</v>
      </c>
      <c r="B32" s="5" t="s">
        <v>46</v>
      </c>
    </row>
    <row r="33" customFormat="false" ht="15" hidden="false" customHeight="false" outlineLevel="0" collapsed="false">
      <c r="A33" s="2" t="s">
        <v>47</v>
      </c>
      <c r="B33" s="5" t="s">
        <v>48</v>
      </c>
    </row>
    <row r="34" customFormat="false" ht="15" hidden="false" customHeight="false" outlineLevel="0" collapsed="false">
      <c r="A34" s="2" t="s">
        <v>49</v>
      </c>
      <c r="B34" s="5" t="s">
        <v>50</v>
      </c>
    </row>
    <row r="35" customFormat="false" ht="15" hidden="false" customHeight="false" outlineLevel="0" collapsed="false">
      <c r="A35" s="2" t="s">
        <v>51</v>
      </c>
      <c r="B35" s="5" t="s">
        <v>52</v>
      </c>
    </row>
    <row r="36" customFormat="false" ht="15" hidden="false" customHeight="false" outlineLevel="0" collapsed="false">
      <c r="A36" s="2" t="s">
        <v>53</v>
      </c>
      <c r="B36" s="5" t="s">
        <v>54</v>
      </c>
    </row>
    <row r="37" customFormat="false" ht="15" hidden="false" customHeight="false" outlineLevel="0" collapsed="false">
      <c r="A37" s="2" t="s">
        <v>55</v>
      </c>
      <c r="B37" s="5" t="s">
        <v>56</v>
      </c>
    </row>
    <row r="38" customFormat="false" ht="15" hidden="false" customHeight="false" outlineLevel="0" collapsed="false">
      <c r="A38" s="2" t="s">
        <v>57</v>
      </c>
      <c r="B38" s="5" t="s">
        <v>58</v>
      </c>
    </row>
    <row r="39" customFormat="false" ht="15" hidden="false" customHeight="false" outlineLevel="0" collapsed="false">
      <c r="A39" s="2" t="s">
        <v>59</v>
      </c>
      <c r="B39" s="5" t="s">
        <v>60</v>
      </c>
    </row>
    <row r="40" customFormat="false" ht="15" hidden="false" customHeight="false" outlineLevel="0" collapsed="false">
      <c r="A40" s="2" t="s">
        <v>61</v>
      </c>
      <c r="B40" s="5" t="s">
        <v>62</v>
      </c>
    </row>
    <row r="41" customFormat="false" ht="15" hidden="false" customHeight="false" outlineLevel="0" collapsed="false">
      <c r="A41" s="2" t="s">
        <v>63</v>
      </c>
      <c r="B41" s="5" t="s">
        <v>62</v>
      </c>
    </row>
    <row r="42" customFormat="false" ht="15" hidden="false" customHeight="false" outlineLevel="0" collapsed="false">
      <c r="A42" s="2" t="s">
        <v>64</v>
      </c>
      <c r="B42" s="5" t="s">
        <v>65</v>
      </c>
    </row>
    <row r="44" customFormat="false" ht="15" hidden="false" customHeight="false" outlineLevel="0" collapsed="false">
      <c r="A44" s="3" t="s">
        <v>66</v>
      </c>
    </row>
    <row r="45" customFormat="false" ht="15" hidden="false" customHeight="false" outlineLevel="0" collapsed="false">
      <c r="A45" s="2" t="s">
        <v>67</v>
      </c>
      <c r="B45" s="4" t="s">
        <v>68</v>
      </c>
    </row>
    <row r="46" customFormat="false" ht="15" hidden="false" customHeight="false" outlineLevel="0" collapsed="false">
      <c r="A46" s="2" t="s">
        <v>69</v>
      </c>
      <c r="B46" s="4" t="s">
        <v>70</v>
      </c>
    </row>
    <row r="47" customFormat="false" ht="15" hidden="false" customHeight="false" outlineLevel="0" collapsed="false">
      <c r="A47" s="2" t="s">
        <v>71</v>
      </c>
      <c r="B47" s="4" t="s">
        <v>72</v>
      </c>
    </row>
    <row r="49" customFormat="false" ht="15" hidden="false" customHeight="false" outlineLevel="0" collapsed="false">
      <c r="A49" s="7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70"/>
  </cols>
  <sheetData>
    <row r="1" customFormat="false" ht="19.4" hidden="false" customHeight="false" outlineLevel="0" collapsed="false">
      <c r="A1" s="8" t="s">
        <v>74</v>
      </c>
    </row>
    <row r="2" customFormat="false" ht="15" hidden="false" customHeight="false" outlineLevel="0" collapsed="false">
      <c r="A2" s="2" t="s">
        <v>75</v>
      </c>
    </row>
    <row r="4" customFormat="false" ht="30" hidden="false" customHeight="true" outlineLevel="0" collapsed="false">
      <c r="A4" s="9" t="s">
        <v>76</v>
      </c>
      <c r="B4" s="10" t="s">
        <v>77</v>
      </c>
      <c r="C4" s="9" t="s">
        <v>78</v>
      </c>
      <c r="D4" s="9"/>
    </row>
    <row r="5" customFormat="false" ht="15" hidden="false" customHeight="false" outlineLevel="0" collapsed="false">
      <c r="A5" s="11" t="s">
        <v>79</v>
      </c>
      <c r="B5" s="12" t="n">
        <v>207</v>
      </c>
      <c r="C5" s="13" t="s">
        <v>80</v>
      </c>
    </row>
    <row r="6" customFormat="false" ht="15" hidden="false" customHeight="false" outlineLevel="0" collapsed="false">
      <c r="A6" s="11" t="s">
        <v>81</v>
      </c>
      <c r="B6" s="14"/>
      <c r="C6" s="13"/>
    </row>
    <row r="7" customFormat="false" ht="15" hidden="false" customHeight="false" outlineLevel="0" collapsed="false">
      <c r="A7" s="11" t="s">
        <v>82</v>
      </c>
      <c r="B7" s="14"/>
      <c r="C7" s="13"/>
    </row>
    <row r="8" customFormat="false" ht="15" hidden="false" customHeight="false" outlineLevel="0" collapsed="false">
      <c r="A8" s="11" t="s">
        <v>83</v>
      </c>
      <c r="B8" s="14"/>
      <c r="C8" s="13"/>
    </row>
    <row r="9" customFormat="false" ht="15" hidden="false" customHeight="false" outlineLevel="0" collapsed="false">
      <c r="A9" s="11" t="s">
        <v>84</v>
      </c>
      <c r="B9" s="14"/>
      <c r="C9" s="13"/>
    </row>
    <row r="10" customFormat="false" ht="15" hidden="false" customHeight="false" outlineLevel="0" collapsed="false">
      <c r="A10" s="11" t="s">
        <v>85</v>
      </c>
      <c r="B10" s="14"/>
      <c r="C10" s="13"/>
    </row>
    <row r="11" customFormat="false" ht="15" hidden="false" customHeight="false" outlineLevel="0" collapsed="false">
      <c r="A11" s="11" t="s">
        <v>86</v>
      </c>
      <c r="B11" s="14"/>
      <c r="C11" s="13"/>
    </row>
    <row r="12" customFormat="false" ht="15" hidden="false" customHeight="false" outlineLevel="0" collapsed="false">
      <c r="A12" s="11" t="s">
        <v>87</v>
      </c>
      <c r="B12" s="14"/>
      <c r="C12" s="13"/>
    </row>
    <row r="13" customFormat="false" ht="15" hidden="false" customHeight="false" outlineLevel="0" collapsed="false">
      <c r="A13" s="11" t="s">
        <v>88</v>
      </c>
      <c r="B13" s="14"/>
      <c r="C13" s="13"/>
    </row>
    <row r="14" customFormat="false" ht="15" hidden="false" customHeight="false" outlineLevel="0" collapsed="false">
      <c r="A14" s="11" t="s">
        <v>89</v>
      </c>
      <c r="B14" s="14"/>
      <c r="C14" s="13"/>
    </row>
    <row r="15" customFormat="false" ht="15" hidden="false" customHeight="false" outlineLevel="0" collapsed="false">
      <c r="A15" s="11" t="s">
        <v>90</v>
      </c>
      <c r="B15" s="14"/>
      <c r="C15" s="13"/>
    </row>
    <row r="16" customFormat="false" ht="15" hidden="false" customHeight="false" outlineLevel="0" collapsed="false">
      <c r="A16" s="11" t="s">
        <v>91</v>
      </c>
      <c r="B16" s="14"/>
      <c r="C16" s="13"/>
    </row>
    <row r="17" customFormat="false" ht="15" hidden="false" customHeight="false" outlineLevel="0" collapsed="false">
      <c r="A17" s="11" t="s">
        <v>92</v>
      </c>
      <c r="B17" s="14"/>
      <c r="C17" s="13"/>
    </row>
    <row r="18" customFormat="false" ht="15" hidden="false" customHeight="false" outlineLevel="0" collapsed="false">
      <c r="A18" s="11" t="s">
        <v>93</v>
      </c>
      <c r="B18" s="14"/>
      <c r="C18" s="13"/>
    </row>
    <row r="19" customFormat="false" ht="15" hidden="false" customHeight="false" outlineLevel="0" collapsed="false">
      <c r="A19" s="11" t="s">
        <v>94</v>
      </c>
      <c r="B19" s="14"/>
      <c r="C19" s="13"/>
    </row>
    <row r="20" customFormat="false" ht="15" hidden="false" customHeight="false" outlineLevel="0" collapsed="false">
      <c r="A20" s="11" t="s">
        <v>95</v>
      </c>
      <c r="B20" s="14"/>
      <c r="C20" s="13"/>
    </row>
    <row r="21" customFormat="false" ht="15" hidden="false" customHeight="false" outlineLevel="0" collapsed="false">
      <c r="A21" s="11" t="s">
        <v>96</v>
      </c>
      <c r="B21" s="14"/>
      <c r="C21" s="13"/>
    </row>
    <row r="22" customFormat="false" ht="15" hidden="false" customHeight="false" outlineLevel="0" collapsed="false">
      <c r="A22" s="11" t="s">
        <v>97</v>
      </c>
      <c r="B22" s="14"/>
      <c r="C22" s="13"/>
    </row>
    <row r="23" customFormat="false" ht="15" hidden="false" customHeight="false" outlineLevel="0" collapsed="false">
      <c r="A23" s="11" t="s">
        <v>98</v>
      </c>
      <c r="B23" s="14"/>
      <c r="C23" s="13"/>
    </row>
    <row r="24" customFormat="false" ht="15" hidden="false" customHeight="false" outlineLevel="0" collapsed="false">
      <c r="A24" s="11" t="s">
        <v>99</v>
      </c>
      <c r="B24" s="14"/>
      <c r="C24" s="13"/>
    </row>
    <row r="25" customFormat="false" ht="15" hidden="false" customHeight="false" outlineLevel="0" collapsed="false">
      <c r="A25" s="11" t="s">
        <v>100</v>
      </c>
      <c r="B25" s="14"/>
      <c r="C25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6"/>
    <col collapsed="false" customWidth="true" hidden="false" outlineLevel="0" max="6" min="6" style="0" width="60"/>
  </cols>
  <sheetData>
    <row r="1" customFormat="false" ht="19.4" hidden="false" customHeight="false" outlineLevel="0" collapsed="false">
      <c r="A1" s="8" t="s">
        <v>101</v>
      </c>
    </row>
    <row r="2" customFormat="false" ht="15" hidden="false" customHeight="false" outlineLevel="0" collapsed="false">
      <c r="A2" s="2" t="s">
        <v>102</v>
      </c>
    </row>
    <row r="4" customFormat="false" ht="30" hidden="false" customHeight="true" outlineLevel="0" collapsed="false">
      <c r="A4" s="9" t="s">
        <v>76</v>
      </c>
      <c r="B4" s="9" t="s">
        <v>103</v>
      </c>
      <c r="C4" s="9" t="s">
        <v>104</v>
      </c>
      <c r="D4" s="9" t="s">
        <v>105</v>
      </c>
      <c r="E4" s="9" t="s">
        <v>106</v>
      </c>
      <c r="F4" s="15"/>
    </row>
    <row r="5" customFormat="false" ht="15" hidden="false" customHeight="false" outlineLevel="0" collapsed="false">
      <c r="A5" s="11" t="s">
        <v>79</v>
      </c>
      <c r="B5" s="16" t="n">
        <f aca="false">'2025-04'!D74</f>
        <v>120</v>
      </c>
      <c r="C5" s="16" t="n">
        <f aca="false">'2025-04'!D88+'2025-04'!D87</f>
        <v>160.92</v>
      </c>
      <c r="D5" s="16" t="n">
        <f aca="false">'2025-04'!E74</f>
        <v>0</v>
      </c>
      <c r="E5" s="16" t="n">
        <f aca="false">'2025-04'!E88+'2025-04'!E87</f>
        <v>0</v>
      </c>
    </row>
    <row r="6" customFormat="false" ht="15" hidden="false" customHeight="false" outlineLevel="0" collapsed="false">
      <c r="A6" s="11" t="s">
        <v>81</v>
      </c>
      <c r="B6" s="16" t="n">
        <f aca="false">'2025-05'!D74</f>
        <v>0</v>
      </c>
      <c r="C6" s="16" t="n">
        <f aca="false">'2025-05'!D88+'2025-05'!D87</f>
        <v>0</v>
      </c>
      <c r="D6" s="16" t="n">
        <f aca="false">'2025-05'!E74</f>
        <v>0</v>
      </c>
      <c r="E6" s="16" t="n">
        <f aca="false">'2025-05'!E88+'2025-05'!E87</f>
        <v>0</v>
      </c>
    </row>
    <row r="7" customFormat="false" ht="15" hidden="false" customHeight="false" outlineLevel="0" collapsed="false">
      <c r="A7" s="11" t="s">
        <v>82</v>
      </c>
      <c r="B7" s="16" t="n">
        <f aca="false">'2025-06'!D74</f>
        <v>0</v>
      </c>
      <c r="C7" s="16" t="n">
        <f aca="false">'2025-06'!D88+'2025-06'!D87</f>
        <v>0</v>
      </c>
      <c r="D7" s="16" t="n">
        <f aca="false">'2025-06'!E74</f>
        <v>0</v>
      </c>
      <c r="E7" s="16" t="n">
        <f aca="false">'2025-06'!E88+'2025-06'!E87</f>
        <v>0</v>
      </c>
    </row>
    <row r="8" customFormat="false" ht="15" hidden="false" customHeight="false" outlineLevel="0" collapsed="false">
      <c r="A8" s="11" t="s">
        <v>83</v>
      </c>
      <c r="B8" s="16" t="n">
        <f aca="false">'2025-07'!D74</f>
        <v>0</v>
      </c>
      <c r="C8" s="16" t="n">
        <f aca="false">'2025-07'!D88+'2025-07'!D87</f>
        <v>0</v>
      </c>
      <c r="D8" s="16" t="n">
        <f aca="false">'2025-07'!E74</f>
        <v>0</v>
      </c>
      <c r="E8" s="16" t="n">
        <f aca="false">'2025-07'!E88+'2025-07'!E87</f>
        <v>0</v>
      </c>
    </row>
    <row r="9" customFormat="false" ht="15" hidden="false" customHeight="false" outlineLevel="0" collapsed="false">
      <c r="A9" s="11" t="s">
        <v>84</v>
      </c>
      <c r="B9" s="16" t="n">
        <f aca="false">'2025-08'!D74</f>
        <v>0</v>
      </c>
      <c r="C9" s="16" t="n">
        <f aca="false">'2025-08'!D88+'2025-08'!D87</f>
        <v>0</v>
      </c>
      <c r="D9" s="16" t="n">
        <f aca="false">'2025-08'!E74</f>
        <v>0</v>
      </c>
      <c r="E9" s="16" t="n">
        <f aca="false">'2025-08'!E88+'2025-08'!E87</f>
        <v>0</v>
      </c>
    </row>
    <row r="10" customFormat="false" ht="15" hidden="false" customHeight="false" outlineLevel="0" collapsed="false">
      <c r="A10" s="11" t="s">
        <v>85</v>
      </c>
      <c r="B10" s="16" t="n">
        <f aca="false">'2025-09'!D74</f>
        <v>0</v>
      </c>
      <c r="C10" s="16" t="n">
        <f aca="false">'2025-09'!D88+'2025-09'!D87</f>
        <v>0</v>
      </c>
      <c r="D10" s="16" t="n">
        <f aca="false">'2025-09'!E74</f>
        <v>0</v>
      </c>
      <c r="E10" s="16" t="n">
        <f aca="false">'2025-09'!E88+'2025-09'!E87</f>
        <v>0</v>
      </c>
    </row>
    <row r="11" customFormat="false" ht="15" hidden="false" customHeight="false" outlineLevel="0" collapsed="false">
      <c r="A11" s="11" t="s">
        <v>86</v>
      </c>
      <c r="B11" s="16" t="n">
        <f aca="false">'2025-10'!D74</f>
        <v>0</v>
      </c>
      <c r="C11" s="16" t="n">
        <f aca="false">'2025-10'!D88+'2025-10'!D87</f>
        <v>0</v>
      </c>
      <c r="D11" s="16" t="n">
        <f aca="false">'2025-10'!E74</f>
        <v>0</v>
      </c>
      <c r="E11" s="16" t="n">
        <f aca="false">'2025-10'!E88+'2025-10'!E87</f>
        <v>0</v>
      </c>
    </row>
    <row r="12" customFormat="false" ht="15" hidden="false" customHeight="false" outlineLevel="0" collapsed="false">
      <c r="A12" s="11" t="s">
        <v>87</v>
      </c>
      <c r="B12" s="16" t="n">
        <f aca="false">'2025-11'!D74</f>
        <v>0</v>
      </c>
      <c r="C12" s="16" t="n">
        <f aca="false">'2025-11'!D88+'2025-11'!D87</f>
        <v>0</v>
      </c>
      <c r="D12" s="16" t="n">
        <f aca="false">'2025-11'!E74</f>
        <v>0</v>
      </c>
      <c r="E12" s="16" t="n">
        <f aca="false">'2025-11'!E88+'2025-11'!E87</f>
        <v>0</v>
      </c>
    </row>
    <row r="13" customFormat="false" ht="15" hidden="false" customHeight="false" outlineLevel="0" collapsed="false">
      <c r="A13" s="11" t="s">
        <v>88</v>
      </c>
      <c r="B13" s="16" t="n">
        <f aca="false">'2025-12'!D74</f>
        <v>0</v>
      </c>
      <c r="C13" s="16" t="n">
        <f aca="false">'2025-12'!D88+'2025-12'!D87</f>
        <v>0</v>
      </c>
      <c r="D13" s="16" t="n">
        <f aca="false">'2025-12'!E74</f>
        <v>0</v>
      </c>
      <c r="E13" s="16" t="n">
        <f aca="false">'2025-12'!E88+'2025-12'!E87</f>
        <v>0</v>
      </c>
    </row>
    <row r="14" customFormat="false" ht="15" hidden="false" customHeight="false" outlineLevel="0" collapsed="false">
      <c r="A14" s="11" t="s">
        <v>89</v>
      </c>
      <c r="B14" s="16" t="n">
        <f aca="false">'2026-01'!D74</f>
        <v>0</v>
      </c>
      <c r="C14" s="16" t="n">
        <f aca="false">'2026-01'!D88+'2026-01'!D87</f>
        <v>0</v>
      </c>
      <c r="D14" s="16" t="n">
        <f aca="false">'2026-01'!E74</f>
        <v>0</v>
      </c>
      <c r="E14" s="16" t="n">
        <f aca="false">'2026-01'!E88+'2026-01'!E87</f>
        <v>0</v>
      </c>
    </row>
    <row r="15" customFormat="false" ht="15" hidden="false" customHeight="false" outlineLevel="0" collapsed="false">
      <c r="A15" s="11" t="s">
        <v>90</v>
      </c>
      <c r="B15" s="16" t="n">
        <f aca="false">'2026-02'!D74</f>
        <v>0</v>
      </c>
      <c r="C15" s="16" t="n">
        <f aca="false">'2026-02'!D88+'2026-02'!D87</f>
        <v>0</v>
      </c>
      <c r="D15" s="16" t="n">
        <f aca="false">'2026-02'!E74</f>
        <v>0</v>
      </c>
      <c r="E15" s="16" t="n">
        <f aca="false">'2026-02'!E88+'2026-02'!E87</f>
        <v>0</v>
      </c>
    </row>
    <row r="16" customFormat="false" ht="15" hidden="false" customHeight="false" outlineLevel="0" collapsed="false">
      <c r="A16" s="11" t="s">
        <v>91</v>
      </c>
      <c r="B16" s="16" t="n">
        <f aca="false">'2026-03'!D74</f>
        <v>0</v>
      </c>
      <c r="C16" s="16" t="n">
        <f aca="false">'2026-03'!D88+'2026-03'!D87</f>
        <v>0</v>
      </c>
      <c r="D16" s="16" t="n">
        <f aca="false">'2026-03'!E74</f>
        <v>0</v>
      </c>
      <c r="E16" s="16" t="n">
        <f aca="false">'2026-03'!E88+'2026-03'!E87</f>
        <v>0</v>
      </c>
    </row>
    <row r="17" customFormat="false" ht="15" hidden="false" customHeight="false" outlineLevel="0" collapsed="false">
      <c r="A17" s="11" t="s">
        <v>92</v>
      </c>
      <c r="B17" s="16" t="n">
        <f aca="false">'2026-04'!D74</f>
        <v>0</v>
      </c>
      <c r="C17" s="16" t="n">
        <f aca="false">'2026-04'!D88+'2026-04'!D87</f>
        <v>0</v>
      </c>
      <c r="D17" s="16" t="n">
        <f aca="false">'2026-04'!E74</f>
        <v>0</v>
      </c>
      <c r="E17" s="16" t="n">
        <f aca="false">'2026-04'!E88+'2026-04'!E87</f>
        <v>0</v>
      </c>
    </row>
    <row r="18" customFormat="false" ht="15" hidden="false" customHeight="false" outlineLevel="0" collapsed="false">
      <c r="A18" s="11" t="s">
        <v>93</v>
      </c>
      <c r="B18" s="16" t="n">
        <f aca="false">'2026-05'!D74</f>
        <v>0</v>
      </c>
      <c r="C18" s="16" t="n">
        <f aca="false">'2026-05'!D88+'2026-05'!D87</f>
        <v>0</v>
      </c>
      <c r="D18" s="16" t="n">
        <f aca="false">'2026-05'!E74</f>
        <v>0</v>
      </c>
      <c r="E18" s="16" t="n">
        <f aca="false">'2026-05'!E88+'2026-05'!E87</f>
        <v>0</v>
      </c>
    </row>
    <row r="19" customFormat="false" ht="15" hidden="false" customHeight="false" outlineLevel="0" collapsed="false">
      <c r="A19" s="11" t="s">
        <v>94</v>
      </c>
      <c r="B19" s="16" t="n">
        <f aca="false">'2026-06'!D74</f>
        <v>0</v>
      </c>
      <c r="C19" s="16" t="n">
        <f aca="false">'2026-06'!D88+'2026-06'!D87</f>
        <v>0</v>
      </c>
      <c r="D19" s="16" t="n">
        <f aca="false">'2026-06'!E74</f>
        <v>0</v>
      </c>
      <c r="E19" s="16" t="n">
        <f aca="false">'2026-06'!E88+'2026-06'!E87</f>
        <v>0</v>
      </c>
    </row>
    <row r="20" customFormat="false" ht="15" hidden="false" customHeight="false" outlineLevel="0" collapsed="false">
      <c r="A20" s="11" t="s">
        <v>95</v>
      </c>
      <c r="B20" s="16" t="n">
        <f aca="false">'2026-07'!D74</f>
        <v>0</v>
      </c>
      <c r="C20" s="16" t="n">
        <f aca="false">'2026-07'!D88+'2026-07'!D87</f>
        <v>0</v>
      </c>
      <c r="D20" s="16" t="n">
        <f aca="false">'2026-07'!E74</f>
        <v>0</v>
      </c>
      <c r="E20" s="16" t="n">
        <f aca="false">'2026-07'!E88+'2026-07'!E87</f>
        <v>0</v>
      </c>
    </row>
    <row r="21" customFormat="false" ht="15" hidden="false" customHeight="false" outlineLevel="0" collapsed="false">
      <c r="A21" s="11" t="s">
        <v>96</v>
      </c>
      <c r="B21" s="16" t="n">
        <f aca="false">'2026-08'!D74</f>
        <v>0</v>
      </c>
      <c r="C21" s="16" t="n">
        <f aca="false">'2026-08'!D88+'2026-08'!D87</f>
        <v>0</v>
      </c>
      <c r="D21" s="16" t="n">
        <f aca="false">'2026-08'!E74</f>
        <v>0</v>
      </c>
      <c r="E21" s="16" t="n">
        <f aca="false">'2026-08'!E88+'2026-08'!E87</f>
        <v>0</v>
      </c>
    </row>
    <row r="22" customFormat="false" ht="15" hidden="false" customHeight="false" outlineLevel="0" collapsed="false">
      <c r="A22" s="11" t="s">
        <v>97</v>
      </c>
      <c r="B22" s="16" t="n">
        <f aca="false">'2026-09'!D74</f>
        <v>0</v>
      </c>
      <c r="C22" s="16" t="n">
        <f aca="false">'2026-09'!D88+'2026-09'!D87</f>
        <v>0</v>
      </c>
      <c r="D22" s="16" t="n">
        <f aca="false">'2026-09'!E74</f>
        <v>0</v>
      </c>
      <c r="E22" s="16" t="n">
        <f aca="false">'2026-09'!E88+'2026-09'!E87</f>
        <v>0</v>
      </c>
    </row>
    <row r="23" customFormat="false" ht="15" hidden="false" customHeight="false" outlineLevel="0" collapsed="false">
      <c r="A23" s="11" t="s">
        <v>98</v>
      </c>
      <c r="B23" s="16" t="n">
        <f aca="false">'2026-10'!D74</f>
        <v>0</v>
      </c>
      <c r="C23" s="16" t="n">
        <f aca="false">'2026-10'!D88+'2026-10'!D87</f>
        <v>0</v>
      </c>
      <c r="D23" s="16" t="n">
        <f aca="false">'2026-10'!E74</f>
        <v>0</v>
      </c>
      <c r="E23" s="16" t="n">
        <f aca="false">'2026-10'!E88+'2026-10'!E87</f>
        <v>0</v>
      </c>
    </row>
    <row r="24" customFormat="false" ht="15" hidden="false" customHeight="false" outlineLevel="0" collapsed="false">
      <c r="A24" s="11" t="s">
        <v>99</v>
      </c>
      <c r="B24" s="16" t="n">
        <f aca="false">'2026-11'!D74</f>
        <v>0</v>
      </c>
      <c r="C24" s="16" t="n">
        <f aca="false">'2026-11'!D88+'2026-11'!D87</f>
        <v>0</v>
      </c>
      <c r="D24" s="16" t="n">
        <f aca="false">'2026-11'!E74</f>
        <v>0</v>
      </c>
      <c r="E24" s="16" t="n">
        <f aca="false">'2026-11'!E88+'2026-11'!E87</f>
        <v>0</v>
      </c>
    </row>
    <row r="25" customFormat="false" ht="15" hidden="false" customHeight="false" outlineLevel="0" collapsed="false">
      <c r="A25" s="11" t="s">
        <v>100</v>
      </c>
      <c r="B25" s="16" t="n">
        <f aca="false">'2026-12'!D74</f>
        <v>0</v>
      </c>
      <c r="C25" s="16" t="n">
        <f aca="false">'2026-12'!D88+'2026-12'!D87</f>
        <v>0</v>
      </c>
      <c r="D25" s="16" t="n">
        <f aca="false">'2026-12'!E74</f>
        <v>0</v>
      </c>
      <c r="E25" s="16" t="n">
        <f aca="false">'2026-12'!E88+'2026-12'!E87</f>
        <v>0</v>
      </c>
      <c r="F25" s="7" t="s">
        <v>107</v>
      </c>
    </row>
    <row r="26" customFormat="false" ht="15" hidden="false" customHeight="false" outlineLevel="0" collapsed="false">
      <c r="A26" s="17" t="s">
        <v>108</v>
      </c>
      <c r="B26" s="18" t="n">
        <f aca="false">SUM(B5:B25)</f>
        <v>120</v>
      </c>
      <c r="C26" s="18" t="n">
        <f aca="false">SUM(C5:C25)</f>
        <v>160.92</v>
      </c>
      <c r="D26" s="18" t="n">
        <f aca="false">SUM(D5:D25)</f>
        <v>0</v>
      </c>
      <c r="E26" s="18" t="n">
        <f aca="false">SUM(E5:E25)</f>
        <v>0</v>
      </c>
    </row>
    <row r="28" customFormat="false" ht="16.4" hidden="false" customHeight="false" outlineLevel="0" collapsed="false">
      <c r="A28" s="19" t="s">
        <v>109</v>
      </c>
    </row>
    <row r="29" customFormat="false" ht="30" hidden="false" customHeight="true" outlineLevel="0" collapsed="false">
      <c r="A29" s="9" t="s">
        <v>38</v>
      </c>
      <c r="B29" s="10" t="s">
        <v>16</v>
      </c>
      <c r="C29" s="10" t="s">
        <v>18</v>
      </c>
      <c r="D29" s="9"/>
      <c r="E29" s="9"/>
      <c r="F29" s="10" t="s">
        <v>110</v>
      </c>
    </row>
    <row r="30" customFormat="false" ht="15" hidden="false" customHeight="false" outlineLevel="0" collapsed="false">
      <c r="A30" s="20" t="s">
        <v>111</v>
      </c>
      <c r="B30" s="18" t="n">
        <f aca="false">'2025-04'!D74+'2025-05'!D74+'2025-06'!D74+'2025-07'!D74+'2025-08'!D74+'2025-09'!D74+'2025-10'!D74+'2025-11'!D74+'2025-12'!D74+'2026-01'!D74+'2026-02'!D74+'2026-03'!D74+'2026-04'!D74+'2026-05'!D74+'2026-06'!D74+'2026-07'!D74+'2026-08'!D74+'2026-09'!D74+'2026-10'!D74+'2026-11'!D74+'2026-12'!D74</f>
        <v>120</v>
      </c>
      <c r="C30" s="18" t="n">
        <f aca="false">'2025-04'!E74+'2025-05'!E74+'2025-06'!E74+'2025-07'!E74+'2025-08'!E74+'2025-09'!E74+'2025-10'!E74+'2025-11'!E74+'2025-12'!E74+'2026-01'!E74+'2026-02'!E74+'2026-03'!E74+'2026-04'!E74+'2026-05'!E74+'2026-06'!E74+'2026-07'!E74+'2026-08'!E74+'2026-09'!E74+'2026-10'!E74+'2026-11'!E74+'2026-12'!E74</f>
        <v>0</v>
      </c>
      <c r="F30" s="6" t="s">
        <v>112</v>
      </c>
    </row>
    <row r="31" customFormat="false" ht="15" hidden="false" customHeight="false" outlineLevel="0" collapsed="false">
      <c r="A31" s="21" t="s">
        <v>113</v>
      </c>
      <c r="B31" s="16" t="n">
        <f aca="false">'2025-04'!D75+'2025-05'!D75+'2025-06'!D75+'2025-07'!D75+'2025-08'!D75+'2025-09'!D75+'2025-10'!D75+'2025-11'!D75+'2025-12'!D75+'2026-01'!D75+'2026-02'!D75+'2026-03'!D75+'2026-04'!D75+'2026-05'!D75+'2026-06'!D75+'2026-07'!D75+'2026-08'!D75+'2026-09'!D75+'2026-10'!D75+'2026-11'!D75+'2026-12'!D75</f>
        <v>144.93</v>
      </c>
      <c r="C31" s="16" t="n">
        <f aca="false">'2025-04'!E75+'2025-05'!E75+'2025-06'!E75+'2025-07'!E75+'2025-08'!E75+'2025-09'!E75+'2025-10'!E75+'2025-11'!E75+'2025-12'!E75+'2026-01'!E75+'2026-02'!E75+'2026-03'!E75+'2026-04'!E75+'2026-05'!E75+'2026-06'!E75+'2026-07'!E75+'2026-08'!E75+'2026-09'!E75+'2026-10'!E75+'2026-11'!E75+'2026-12'!E75</f>
        <v>0</v>
      </c>
      <c r="F31" s="6" t="s">
        <v>42</v>
      </c>
    </row>
    <row r="32" customFormat="false" ht="15" hidden="false" customHeight="false" outlineLevel="0" collapsed="false">
      <c r="A32" s="21" t="s">
        <v>114</v>
      </c>
      <c r="B32" s="16" t="n">
        <f aca="false">'2025-04'!D76+'2025-05'!D76+'2025-06'!D76+'2025-07'!D76+'2025-08'!D76+'2025-09'!D76+'2025-10'!D76+'2025-11'!D76+'2025-12'!D76+'2026-01'!D76+'2026-02'!D76+'2026-03'!D76+'2026-04'!D76+'2026-05'!D76+'2026-06'!D76+'2026-07'!D76+'2026-08'!D76+'2026-09'!D76+'2026-10'!D76+'2026-11'!D76+'2026-12'!D76</f>
        <v>0</v>
      </c>
      <c r="C32" s="16" t="n">
        <f aca="false">'2025-04'!E76+'2025-05'!E76+'2025-06'!E76+'2025-07'!E76+'2025-08'!E76+'2025-09'!E76+'2025-10'!E76+'2025-11'!E76+'2025-12'!E76+'2026-01'!E76+'2026-02'!E76+'2026-03'!E76+'2026-04'!E76+'2026-05'!E76+'2026-06'!E76+'2026-07'!E76+'2026-08'!E76+'2026-09'!E76+'2026-10'!E76+'2026-11'!E76+'2026-12'!E76</f>
        <v>0</v>
      </c>
      <c r="F32" s="6" t="s">
        <v>44</v>
      </c>
    </row>
    <row r="33" customFormat="false" ht="15" hidden="false" customHeight="false" outlineLevel="0" collapsed="false">
      <c r="A33" s="21" t="s">
        <v>115</v>
      </c>
      <c r="B33" s="16" t="n">
        <f aca="false">'2025-04'!D77+'2025-05'!D77+'2025-06'!D77+'2025-07'!D77+'2025-08'!D77+'2025-09'!D77+'2025-10'!D77+'2025-11'!D77+'2025-12'!D77+'2026-01'!D77+'2026-02'!D77+'2026-03'!D77+'2026-04'!D77+'2026-05'!D77+'2026-06'!D77+'2026-07'!D77+'2026-08'!D77+'2026-09'!D77+'2026-10'!D77+'2026-11'!D77+'2026-12'!D77</f>
        <v>0</v>
      </c>
      <c r="C33" s="16" t="n">
        <f aca="false">'2025-04'!E77+'2025-05'!E77+'2025-06'!E77+'2025-07'!E77+'2025-08'!E77+'2025-09'!E77+'2025-10'!E77+'2025-11'!E77+'2025-12'!E77+'2026-01'!E77+'2026-02'!E77+'2026-03'!E77+'2026-04'!E77+'2026-05'!E77+'2026-06'!E77+'2026-07'!E77+'2026-08'!E77+'2026-09'!E77+'2026-10'!E77+'2026-11'!E77+'2026-12'!E77</f>
        <v>0</v>
      </c>
      <c r="F33" s="6" t="s">
        <v>46</v>
      </c>
    </row>
    <row r="34" customFormat="false" ht="15" hidden="false" customHeight="false" outlineLevel="0" collapsed="false">
      <c r="A34" s="21" t="s">
        <v>116</v>
      </c>
      <c r="B34" s="16" t="n">
        <f aca="false">'2025-04'!D78+'2025-05'!D78+'2025-06'!D78+'2025-07'!D78+'2025-08'!D78+'2025-09'!D78+'2025-10'!D78+'2025-11'!D78+'2025-12'!D78+'2026-01'!D78+'2026-02'!D78+'2026-03'!D78+'2026-04'!D78+'2026-05'!D78+'2026-06'!D78+'2026-07'!D78+'2026-08'!D78+'2026-09'!D78+'2026-10'!D78+'2026-11'!D78+'2026-12'!D78</f>
        <v>0</v>
      </c>
      <c r="C34" s="16" t="n">
        <f aca="false">'2025-04'!E78+'2025-05'!E78+'2025-06'!E78+'2025-07'!E78+'2025-08'!E78+'2025-09'!E78+'2025-10'!E78+'2025-11'!E78+'2025-12'!E78+'2026-01'!E78+'2026-02'!E78+'2026-03'!E78+'2026-04'!E78+'2026-05'!E78+'2026-06'!E78+'2026-07'!E78+'2026-08'!E78+'2026-09'!E78+'2026-10'!E78+'2026-11'!E78+'2026-12'!E78</f>
        <v>0</v>
      </c>
      <c r="F34" s="6" t="s">
        <v>48</v>
      </c>
    </row>
    <row r="35" customFormat="false" ht="15" hidden="false" customHeight="false" outlineLevel="0" collapsed="false">
      <c r="A35" s="21" t="s">
        <v>117</v>
      </c>
      <c r="B35" s="16" t="n">
        <f aca="false">'2025-04'!D79+'2025-05'!D79+'2025-06'!D79+'2025-07'!D79+'2025-08'!D79+'2025-09'!D79+'2025-10'!D79+'2025-11'!D79+'2025-12'!D79+'2026-01'!D79+'2026-02'!D79+'2026-03'!D79+'2026-04'!D79+'2026-05'!D79+'2026-06'!D79+'2026-07'!D79+'2026-08'!D79+'2026-09'!D79+'2026-10'!D79+'2026-11'!D79+'2026-12'!D79</f>
        <v>0</v>
      </c>
      <c r="C35" s="16" t="n">
        <f aca="false">'2025-04'!E79+'2025-05'!E79+'2025-06'!E79+'2025-07'!E79+'2025-08'!E79+'2025-09'!E79+'2025-10'!E79+'2025-11'!E79+'2025-12'!E79+'2026-01'!E79+'2026-02'!E79+'2026-03'!E79+'2026-04'!E79+'2026-05'!E79+'2026-06'!E79+'2026-07'!E79+'2026-08'!E79+'2026-09'!E79+'2026-10'!E79+'2026-11'!E79+'2026-12'!E79</f>
        <v>0</v>
      </c>
      <c r="F35" s="6" t="s">
        <v>50</v>
      </c>
    </row>
    <row r="36" customFormat="false" ht="15" hidden="false" customHeight="false" outlineLevel="0" collapsed="false">
      <c r="A36" s="21" t="s">
        <v>118</v>
      </c>
      <c r="B36" s="16" t="n">
        <f aca="false">'2025-04'!D80+'2025-05'!D80+'2025-06'!D80+'2025-07'!D80+'2025-08'!D80+'2025-09'!D80+'2025-10'!D80+'2025-11'!D80+'2025-12'!D80+'2026-01'!D80+'2026-02'!D80+'2026-03'!D80+'2026-04'!D80+'2026-05'!D80+'2026-06'!D80+'2026-07'!D80+'2026-08'!D80+'2026-09'!D80+'2026-10'!D80+'2026-11'!D80+'2026-12'!D80</f>
        <v>15.99</v>
      </c>
      <c r="C36" s="16" t="n">
        <f aca="false">'2025-04'!E80+'2025-05'!E80+'2025-06'!E80+'2025-07'!E80+'2025-08'!E80+'2025-09'!E80+'2025-10'!E80+'2025-11'!E80+'2025-12'!E80+'2026-01'!E80+'2026-02'!E80+'2026-03'!E80+'2026-04'!E80+'2026-05'!E80+'2026-06'!E80+'2026-07'!E80+'2026-08'!E80+'2026-09'!E80+'2026-10'!E80+'2026-11'!E80+'2026-12'!E80</f>
        <v>0</v>
      </c>
      <c r="F36" s="6" t="s">
        <v>52</v>
      </c>
    </row>
    <row r="37" customFormat="false" ht="15" hidden="false" customHeight="false" outlineLevel="0" collapsed="false">
      <c r="A37" s="21" t="s">
        <v>119</v>
      </c>
      <c r="B37" s="16" t="n">
        <f aca="false">'2025-04'!D81+'2025-05'!D81+'2025-06'!D81+'2025-07'!D81+'2025-08'!D81+'2025-09'!D81+'2025-10'!D81+'2025-11'!D81+'2025-12'!D81+'2026-01'!D81+'2026-02'!D81+'2026-03'!D81+'2026-04'!D81+'2026-05'!D81+'2026-06'!D81+'2026-07'!D81+'2026-08'!D81+'2026-09'!D81+'2026-10'!D81+'2026-11'!D81+'2026-12'!D81</f>
        <v>0</v>
      </c>
      <c r="C37" s="16" t="n">
        <f aca="false">'2025-04'!E81+'2025-05'!E81+'2025-06'!E81+'2025-07'!E81+'2025-08'!E81+'2025-09'!E81+'2025-10'!E81+'2025-11'!E81+'2025-12'!E81+'2026-01'!E81+'2026-02'!E81+'2026-03'!E81+'2026-04'!E81+'2026-05'!E81+'2026-06'!E81+'2026-07'!E81+'2026-08'!E81+'2026-09'!E81+'2026-10'!E81+'2026-11'!E81+'2026-12'!E81</f>
        <v>0</v>
      </c>
      <c r="F37" s="6" t="s">
        <v>54</v>
      </c>
    </row>
    <row r="38" customFormat="false" ht="15" hidden="false" customHeight="false" outlineLevel="0" collapsed="false">
      <c r="A38" s="21" t="s">
        <v>120</v>
      </c>
      <c r="B38" s="16" t="n">
        <f aca="false">'2025-04'!D82+'2025-05'!D82+'2025-06'!D82+'2025-07'!D82+'2025-08'!D82+'2025-09'!D82+'2025-10'!D82+'2025-11'!D82+'2025-12'!D82+'2026-01'!D82+'2026-02'!D82+'2026-03'!D82+'2026-04'!D82+'2026-05'!D82+'2026-06'!D82+'2026-07'!D82+'2026-08'!D82+'2026-09'!D82+'2026-10'!D82+'2026-11'!D82+'2026-12'!D82</f>
        <v>0</v>
      </c>
      <c r="C38" s="16" t="n">
        <f aca="false">'2025-04'!E82+'2025-05'!E82+'2025-06'!E82+'2025-07'!E82+'2025-08'!E82+'2025-09'!E82+'2025-10'!E82+'2025-11'!E82+'2025-12'!E82+'2026-01'!E82+'2026-02'!E82+'2026-03'!E82+'2026-04'!E82+'2026-05'!E82+'2026-06'!E82+'2026-07'!E82+'2026-08'!E82+'2026-09'!E82+'2026-10'!E82+'2026-11'!E82+'2026-12'!E82</f>
        <v>0</v>
      </c>
      <c r="F38" s="6" t="s">
        <v>56</v>
      </c>
    </row>
    <row r="39" customFormat="false" ht="15" hidden="false" customHeight="false" outlineLevel="0" collapsed="false">
      <c r="A39" s="21" t="s">
        <v>121</v>
      </c>
      <c r="B39" s="16" t="n">
        <f aca="false">'2025-04'!D83+'2025-05'!D83+'2025-06'!D83+'2025-07'!D83+'2025-08'!D83+'2025-09'!D83+'2025-10'!D83+'2025-11'!D83+'2025-12'!D83+'2026-01'!D83+'2026-02'!D83+'2026-03'!D83+'2026-04'!D83+'2026-05'!D83+'2026-06'!D83+'2026-07'!D83+'2026-08'!D83+'2026-09'!D83+'2026-10'!D83+'2026-11'!D83+'2026-12'!D83</f>
        <v>0</v>
      </c>
      <c r="C39" s="16" t="n">
        <f aca="false">'2025-04'!E83+'2025-05'!E83+'2025-06'!E83+'2025-07'!E83+'2025-08'!E83+'2025-09'!E83+'2025-10'!E83+'2025-11'!E83+'2025-12'!E83+'2026-01'!E83+'2026-02'!E83+'2026-03'!E83+'2026-04'!E83+'2026-05'!E83+'2026-06'!E83+'2026-07'!E83+'2026-08'!E83+'2026-09'!E83+'2026-10'!E83+'2026-11'!E83+'2026-12'!E83</f>
        <v>0</v>
      </c>
      <c r="F39" s="6" t="s">
        <v>58</v>
      </c>
    </row>
    <row r="40" customFormat="false" ht="15" hidden="false" customHeight="false" outlineLevel="0" collapsed="false">
      <c r="A40" s="21" t="s">
        <v>122</v>
      </c>
      <c r="B40" s="16" t="n">
        <f aca="false">'2025-04'!D84+'2025-05'!D84+'2025-06'!D84+'2025-07'!D84+'2025-08'!D84+'2025-09'!D84+'2025-10'!D84+'2025-11'!D84+'2025-12'!D84+'2026-01'!D84+'2026-02'!D84+'2026-03'!D84+'2026-04'!D84+'2026-05'!D84+'2026-06'!D84+'2026-07'!D84+'2026-08'!D84+'2026-09'!D84+'2026-10'!D84+'2026-11'!D84+'2026-12'!D84</f>
        <v>0</v>
      </c>
      <c r="C40" s="16" t="n">
        <f aca="false">'2025-04'!E84+'2025-05'!E84+'2025-06'!E84+'2025-07'!E84+'2025-08'!E84+'2025-09'!E84+'2025-10'!E84+'2025-11'!E84+'2025-12'!E84+'2026-01'!E84+'2026-02'!E84+'2026-03'!E84+'2026-04'!E84+'2026-05'!E84+'2026-06'!E84+'2026-07'!E84+'2026-08'!E84+'2026-09'!E84+'2026-10'!E84+'2026-11'!E84+'2026-12'!E84</f>
        <v>0</v>
      </c>
      <c r="F40" s="6" t="s">
        <v>60</v>
      </c>
    </row>
    <row r="41" customFormat="false" ht="15" hidden="false" customHeight="false" outlineLevel="0" collapsed="false">
      <c r="A41" s="21" t="s">
        <v>123</v>
      </c>
      <c r="B41" s="16" t="n">
        <f aca="false">'2025-04'!D85+'2025-05'!D85+'2025-06'!D85+'2025-07'!D85+'2025-08'!D85+'2025-09'!D85+'2025-10'!D85+'2025-11'!D85+'2025-12'!D85+'2026-01'!D85+'2026-02'!D85+'2026-03'!D85+'2026-04'!D85+'2026-05'!D85+'2026-06'!D85+'2026-07'!D85+'2026-08'!D85+'2026-09'!D85+'2026-10'!D85+'2026-11'!D85+'2026-12'!D85</f>
        <v>0</v>
      </c>
      <c r="C41" s="16" t="n">
        <f aca="false">'2025-04'!E85+'2025-05'!E85+'2025-06'!E85+'2025-07'!E85+'2025-08'!E85+'2025-09'!E85+'2025-10'!E85+'2025-11'!E85+'2025-12'!E85+'2026-01'!E85+'2026-02'!E85+'2026-03'!E85+'2026-04'!E85+'2026-05'!E85+'2026-06'!E85+'2026-07'!E85+'2026-08'!E85+'2026-09'!E85+'2026-10'!E85+'2026-11'!E85+'2026-12'!E85</f>
        <v>0</v>
      </c>
      <c r="F41" s="6" t="s">
        <v>62</v>
      </c>
    </row>
    <row r="42" customFormat="false" ht="15" hidden="false" customHeight="false" outlineLevel="0" collapsed="false">
      <c r="A42" s="21" t="s">
        <v>124</v>
      </c>
      <c r="B42" s="16" t="n">
        <f aca="false">'2025-04'!D86+'2025-05'!D86+'2025-06'!D86+'2025-07'!D86+'2025-08'!D86+'2025-09'!D86+'2025-10'!D86+'2025-11'!D86+'2025-12'!D86+'2026-01'!D86+'2026-02'!D86+'2026-03'!D86+'2026-04'!D86+'2026-05'!D86+'2026-06'!D86+'2026-07'!D86+'2026-08'!D86+'2026-09'!D86+'2026-10'!D86+'2026-11'!D86+'2026-12'!D86</f>
        <v>0</v>
      </c>
      <c r="C42" s="16" t="n">
        <f aca="false">'2025-04'!E86+'2025-05'!E86+'2025-06'!E86+'2025-07'!E86+'2025-08'!E86+'2025-09'!E86+'2025-10'!E86+'2025-11'!E86+'2025-12'!E86+'2026-01'!E86+'2026-02'!E86+'2026-03'!E86+'2026-04'!E86+'2026-05'!E86+'2026-06'!E86+'2026-07'!E86+'2026-08'!E86+'2026-09'!E86+'2026-10'!E86+'2026-11'!E86+'2026-12'!E86</f>
        <v>0</v>
      </c>
      <c r="F42" s="6" t="s">
        <v>62</v>
      </c>
    </row>
    <row r="43" customFormat="false" ht="15" hidden="false" customHeight="false" outlineLevel="0" collapsed="false">
      <c r="A43" s="20" t="s">
        <v>125</v>
      </c>
      <c r="B43" s="18" t="n">
        <f aca="false">SUM(B31:B42)</f>
        <v>160.92</v>
      </c>
      <c r="C43" s="18" t="n">
        <f aca="false">SUM(C31:C42)</f>
        <v>0</v>
      </c>
      <c r="F43" s="2" t="s">
        <v>126</v>
      </c>
    </row>
    <row r="44" customFormat="false" ht="15" hidden="false" customHeight="false" outlineLevel="0" collapsed="false">
      <c r="A44" s="20" t="s">
        <v>127</v>
      </c>
      <c r="B44" s="18" t="n">
        <f aca="false">'2025-04'!D87+'2025-05'!D87+'2025-06'!D87+'2025-07'!D87+'2025-08'!D87+'2025-09'!D87+'2025-10'!D87+'2025-11'!D87+'2025-12'!D87+'2026-01'!D87+'2026-02'!D87+'2026-03'!D87+'2026-04'!D87+'2026-05'!D87+'2026-06'!D87+'2026-07'!D87+'2026-08'!D87+'2026-09'!D87+'2026-10'!D87+'2026-11'!D87+'2026-12'!D87</f>
        <v>0</v>
      </c>
      <c r="C44" s="18" t="n">
        <f aca="false">'2025-04'!E87+'2025-05'!E87+'2025-06'!E87+'2025-07'!E87+'2025-08'!E87+'2025-09'!E87+'2025-10'!E87+'2025-11'!E87+'2025-12'!E87+'2026-01'!E87+'2026-02'!E87+'2026-03'!E87+'2026-04'!E87+'2026-05'!E87+'2026-06'!E87+'2026-07'!E87+'2026-08'!E87+'2026-09'!E87+'2026-10'!E87+'2026-11'!E87+'2026-12'!E87</f>
        <v>0</v>
      </c>
      <c r="F44" s="6" t="s">
        <v>65</v>
      </c>
    </row>
    <row r="45" customFormat="false" ht="15" hidden="false" customHeight="false" outlineLevel="0" collapsed="false">
      <c r="A45" s="20" t="s">
        <v>128</v>
      </c>
      <c r="B45" s="18" t="n">
        <f aca="false">B30-B43-B44</f>
        <v>-40.92</v>
      </c>
      <c r="C45" s="18" t="n">
        <f aca="false">C30-C43-C44</f>
        <v>0</v>
      </c>
      <c r="F45" s="2" t="s">
        <v>129</v>
      </c>
    </row>
    <row r="47" customFormat="false" ht="15" hidden="false" customHeight="false" outlineLevel="0" collapsed="false">
      <c r="A47" s="19" t="s">
        <v>130</v>
      </c>
    </row>
    <row r="48" customFormat="false" ht="15" hidden="false" customHeight="false" outlineLevel="0" collapsed="false">
      <c r="A48" s="11" t="s">
        <v>131</v>
      </c>
      <c r="B48" s="22" t="str">
        <f aca="false">IF(B30=0,"-",IF(B43+B44&lt;1000,"£1,000控除が有利","実費経費が有利"))</f>
        <v>£1,000控除が有利</v>
      </c>
      <c r="C48" s="22" t="str">
        <f aca="false">IF(C30=0,"-",IF(C43+C44&lt;1000,"£1,000控除が有利","実費経費が有利"))</f>
        <v>-</v>
      </c>
      <c r="F48" s="2" t="s">
        <v>132</v>
      </c>
    </row>
    <row r="49" customFormat="false" ht="15" hidden="false" customHeight="false" outlineLevel="0" collapsed="false">
      <c r="A49" s="11" t="s">
        <v>133</v>
      </c>
      <c r="B49" s="22" t="str">
        <f aca="false">IF(B30&lt;90000,"使える（£90,000未満）","SA103F（完全版）")</f>
        <v>使える（£90,000未満）</v>
      </c>
      <c r="C49" s="22" t="str">
        <f aca="false">IF(C30&lt;90000,"使える（£90,000未満）","SA103F（完全版）")</f>
        <v>使える（£90,000未満）</v>
      </c>
    </row>
    <row r="50" customFormat="false" ht="15" hidden="false" customHeight="false" outlineLevel="0" collapsed="false">
      <c r="A50" s="21" t="s">
        <v>134</v>
      </c>
      <c r="B50" s="16" t="n">
        <f aca="false">'2025-04'!D91+'2025-05'!D91+'2025-06'!D91+'2025-07'!D91+'2025-08'!D91+'2025-09'!D91+'2025-10'!D91+'2025-11'!D91+'2025-12'!D91+'2026-01'!D91+'2026-02'!D91+'2026-03'!D91+'2026-04'!D91+'2026-05'!D91+'2026-06'!D91+'2026-07'!D91+'2026-08'!D91+'2026-09'!D91+'2026-10'!D91+'2026-11'!D91+'2026-12'!D91</f>
        <v>0</v>
      </c>
      <c r="F50" s="6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  <col collapsed="false" customWidth="true" hidden="false" outlineLevel="0" max="4" min="4" style="0" width="64"/>
  </cols>
  <sheetData>
    <row r="1" customFormat="false" ht="17.35" hidden="false" customHeight="false" outlineLevel="0" collapsed="false">
      <c r="A1" s="8" t="s">
        <v>136</v>
      </c>
    </row>
    <row r="3" customFormat="false" ht="30" hidden="false" customHeight="true" outlineLevel="0" collapsed="false">
      <c r="A3" s="9" t="s">
        <v>137</v>
      </c>
      <c r="B3" s="10" t="s">
        <v>16</v>
      </c>
      <c r="C3" s="10" t="s">
        <v>18</v>
      </c>
      <c r="D3" s="9" t="s">
        <v>138</v>
      </c>
    </row>
    <row r="4" customFormat="false" ht="15" hidden="false" customHeight="false" outlineLevel="0" collapsed="false">
      <c r="A4" s="21" t="s">
        <v>139</v>
      </c>
      <c r="B4" s="16" t="n">
        <f aca="false">年度集計!B45</f>
        <v>-40.92</v>
      </c>
      <c r="C4" s="16" t="n">
        <f aca="false">年度集計!C45</f>
        <v>0</v>
      </c>
      <c r="D4" s="4" t="s">
        <v>140</v>
      </c>
    </row>
    <row r="5" customFormat="false" ht="15" hidden="false" customHeight="false" outlineLevel="0" collapsed="false">
      <c r="A5" s="21" t="s">
        <v>141</v>
      </c>
      <c r="B5" s="23" t="n">
        <v>0</v>
      </c>
      <c r="C5" s="23" t="n">
        <v>0</v>
      </c>
      <c r="D5" s="4" t="s">
        <v>142</v>
      </c>
    </row>
    <row r="6" customFormat="false" ht="15" hidden="false" customHeight="false" outlineLevel="0" collapsed="false">
      <c r="A6" s="21" t="s">
        <v>143</v>
      </c>
      <c r="B6" s="23" t="n">
        <v>0</v>
      </c>
      <c r="C6" s="23" t="n">
        <v>0</v>
      </c>
      <c r="D6" s="5" t="s">
        <v>144</v>
      </c>
    </row>
    <row r="7" customFormat="false" ht="15" hidden="false" customHeight="false" outlineLevel="0" collapsed="false">
      <c r="A7" s="21" t="s">
        <v>145</v>
      </c>
      <c r="B7" s="23" t="n">
        <v>0</v>
      </c>
      <c r="C7" s="23" t="n">
        <v>0</v>
      </c>
      <c r="D7" s="4" t="s">
        <v>146</v>
      </c>
    </row>
    <row r="8" customFormat="false" ht="15" hidden="false" customHeight="false" outlineLevel="0" collapsed="false">
      <c r="A8" s="21" t="s">
        <v>147</v>
      </c>
      <c r="B8" s="16" t="n">
        <f aca="false">MAX(0,B4)+B5+B7</f>
        <v>0</v>
      </c>
      <c r="C8" s="16" t="n">
        <f aca="false">MAX(0,C4)+C5+C7</f>
        <v>0</v>
      </c>
      <c r="D8" s="4"/>
    </row>
    <row r="9" customFormat="false" ht="15" hidden="false" customHeight="false" outlineLevel="0" collapsed="false">
      <c r="A9" s="11" t="s">
        <v>148</v>
      </c>
      <c r="B9" s="16" t="n">
        <f aca="false">MAX(0,12570-MAX(0,ROUNDDOWN((B8-100000)/2,0)))</f>
        <v>12570</v>
      </c>
      <c r="C9" s="16" t="n">
        <f aca="false">MAX(0,12570-MAX(0,ROUNDDOWN((C8-100000)/2,0)))</f>
        <v>12570</v>
      </c>
      <c r="D9" s="5" t="s">
        <v>149</v>
      </c>
    </row>
    <row r="10" customFormat="false" ht="15" hidden="false" customHeight="false" outlineLevel="0" collapsed="false">
      <c r="A10" s="21" t="s">
        <v>150</v>
      </c>
      <c r="B10" s="16" t="n">
        <f aca="false">MAX(0,B8-B9)</f>
        <v>0</v>
      </c>
      <c r="C10" s="16" t="n">
        <f aca="false">MAX(0,C8-C9)</f>
        <v>0</v>
      </c>
      <c r="D10" s="4"/>
    </row>
    <row r="11" customFormat="false" ht="15" hidden="false" customHeight="false" outlineLevel="0" collapsed="false">
      <c r="A11" s="21" t="s">
        <v>151</v>
      </c>
      <c r="B11" s="16" t="n">
        <f aca="false">ROUND(MIN(B10,37700)*0.2+MAX(0,MIN(B10,125140)-37700)*0.4+MAX(0,B10-125140)*0.45,2)</f>
        <v>0</v>
      </c>
      <c r="C11" s="16" t="n">
        <f aca="false">ROUND(MIN(C10,37700)*0.2+MAX(0,MIN(C10,125140)-37700)*0.4+MAX(0,C10-125140)*0.45,2)</f>
        <v>0</v>
      </c>
      <c r="D11" s="5" t="s">
        <v>152</v>
      </c>
    </row>
    <row r="12" customFormat="false" ht="15" hidden="false" customHeight="false" outlineLevel="0" collapsed="false">
      <c r="A12" s="11" t="s">
        <v>153</v>
      </c>
      <c r="B12" s="16" t="n">
        <f aca="false">ROUND(MAX(0,MIN(B4,50270)-12570)*0.06+MAX(0,B4-50270)*0.02,2)</f>
        <v>0</v>
      </c>
      <c r="C12" s="16" t="n">
        <f aca="false">ROUND(MAX(0,MIN(C4,50270)-12570)*0.06+MAX(0,C4-50270)*0.02,2)</f>
        <v>0</v>
      </c>
      <c r="D12" s="4" t="s">
        <v>154</v>
      </c>
    </row>
    <row r="13" customFormat="false" ht="15" hidden="false" customHeight="false" outlineLevel="0" collapsed="false">
      <c r="A13" s="17" t="s">
        <v>155</v>
      </c>
      <c r="B13" s="18" t="n">
        <f aca="false">B11+B12</f>
        <v>0</v>
      </c>
      <c r="C13" s="18" t="n">
        <f aca="false">C11+C12</f>
        <v>0</v>
      </c>
      <c r="D13" s="4"/>
    </row>
    <row r="14" customFormat="false" ht="15" hidden="false" customHeight="false" outlineLevel="0" collapsed="false">
      <c r="A14" s="20" t="s">
        <v>156</v>
      </c>
      <c r="B14" s="18" t="n">
        <f aca="false">B13-B6</f>
        <v>0</v>
      </c>
      <c r="C14" s="18" t="n">
        <f aca="false">C13-C6</f>
        <v>0</v>
      </c>
      <c r="D14" s="4" t="s">
        <v>157</v>
      </c>
    </row>
    <row r="15" customFormat="false" ht="26.85" hidden="false" customHeight="false" outlineLevel="0" collapsed="false">
      <c r="A15" s="21" t="s">
        <v>158</v>
      </c>
      <c r="B15" s="22" t="str">
        <f aca="false">IF(AND(B14&gt;1000,B6&lt;B13*0.8),"対象の可能性大","おそらく対象外")</f>
        <v>おそらく対象外</v>
      </c>
      <c r="C15" s="22" t="str">
        <f aca="false">IF(AND(C14&gt;1000,C6&lt;C13*0.8),"対象の可能性大","おそらく対象外")</f>
        <v>おそらく対象外</v>
      </c>
      <c r="D15" s="4" t="s">
        <v>159</v>
      </c>
    </row>
    <row r="17" customFormat="false" ht="15" hidden="false" customHeight="false" outlineLevel="0" collapsed="false">
      <c r="A17" s="24" t="s">
        <v>160</v>
      </c>
    </row>
    <row r="18" customFormat="false" ht="15" hidden="false" customHeight="false" outlineLevel="0" collapsed="false">
      <c r="A18" s="24" t="s">
        <v>161</v>
      </c>
    </row>
    <row r="19" customFormat="false" ht="15" hidden="false" customHeight="false" outlineLevel="0" collapsed="false">
      <c r="A19" s="7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24"/>
  </cols>
  <sheetData>
    <row r="1" customFormat="false" ht="19.4" hidden="false" customHeight="false" outlineLevel="0" collapsed="false">
      <c r="A1" s="1" t="s">
        <v>163</v>
      </c>
      <c r="J1" s="3" t="s">
        <v>164</v>
      </c>
      <c r="L1" s="25" t="n">
        <f aca="false">IF(為替レート!$B$5="","未入力",為替レート!$B$5)</f>
        <v>207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26" t="s">
        <v>166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customFormat="false" ht="30" hidden="false" customHeight="true" outlineLevel="0" collapsed="false">
      <c r="A5" s="9" t="s">
        <v>167</v>
      </c>
      <c r="B5" s="9" t="s">
        <v>168</v>
      </c>
      <c r="C5" s="9" t="s">
        <v>169</v>
      </c>
      <c r="D5" s="9" t="s">
        <v>170</v>
      </c>
      <c r="E5" s="9" t="s">
        <v>171</v>
      </c>
      <c r="F5" s="9" t="s">
        <v>172</v>
      </c>
      <c r="G5" s="9" t="s">
        <v>173</v>
      </c>
      <c r="H5" s="9" t="s">
        <v>174</v>
      </c>
      <c r="I5" s="9" t="s">
        <v>175</v>
      </c>
      <c r="J5" s="9" t="s">
        <v>176</v>
      </c>
      <c r="K5" s="9"/>
      <c r="L5" s="9"/>
      <c r="M5" s="9"/>
      <c r="N5" s="9" t="s">
        <v>177</v>
      </c>
    </row>
    <row r="6" customFormat="false" ht="15" hidden="false" customHeight="false" outlineLevel="0" collapsed="false">
      <c r="A6" s="28" t="n">
        <v>45775</v>
      </c>
      <c r="B6" s="29" t="s">
        <v>178</v>
      </c>
      <c r="C6" s="29" t="s">
        <v>179</v>
      </c>
      <c r="D6" s="30" t="s">
        <v>180</v>
      </c>
      <c r="E6" s="29" t="s">
        <v>181</v>
      </c>
      <c r="F6" s="12" t="n">
        <v>120</v>
      </c>
      <c r="G6" s="23"/>
      <c r="H6" s="16" t="n">
        <f aca="false">IF(F6="","",IF(G6&lt;&gt;"",G6,IF(E6="JPY",IF(ISNUMBER($L$1),ROUND(F6/$L$1,2),"レート未入力"),F6)))</f>
        <v>120</v>
      </c>
      <c r="I6" s="29" t="s">
        <v>182</v>
      </c>
      <c r="J6" s="22" t="str">
        <f aca="false">IF(A6="","",IF(A6&lt;DATE(2025,4,6),"2024/25",IF(A6&lt;DATE(2026,4,6),"2025/26",IF(A6&lt;DATE(2027,4,6),"2026/27","2027/28"))))</f>
        <v>2025/26</v>
      </c>
      <c r="N6" s="13"/>
    </row>
    <row r="7" customFormat="false" ht="15" hidden="false" customHeight="false" outlineLevel="0" collapsed="false">
      <c r="A7" s="31"/>
      <c r="B7" s="13"/>
      <c r="C7" s="13"/>
      <c r="D7" s="32"/>
      <c r="E7" s="32"/>
      <c r="F7" s="14"/>
      <c r="G7" s="23"/>
      <c r="H7" s="16" t="str">
        <f aca="false">IF(F7="","",IF(G7&lt;&gt;"",G7,IF(E7="JPY",IF(ISNUMBER($L$1),ROUND(F7/$L$1,2),"レート未入力"),F7)))</f>
        <v/>
      </c>
      <c r="I7" s="13"/>
      <c r="J7" s="22" t="str">
        <f aca="false">IF(A7="","",IF(A7&lt;DATE(2025,4,6),"2024/25",IF(A7&lt;DATE(2026,4,6),"2025/26",IF(A7&lt;DATE(2027,4,6),"2026/27","2027/28"))))</f>
        <v/>
      </c>
      <c r="N7" s="13"/>
    </row>
    <row r="8" customFormat="false" ht="15" hidden="false" customHeight="false" outlineLevel="0" collapsed="false">
      <c r="A8" s="31"/>
      <c r="B8" s="13"/>
      <c r="C8" s="13"/>
      <c r="D8" s="32"/>
      <c r="E8" s="32"/>
      <c r="F8" s="14"/>
      <c r="G8" s="23"/>
      <c r="H8" s="16" t="str">
        <f aca="false">IF(F8="","",IF(G8&lt;&gt;"",G8,IF(E8="JPY",IF(ISNUMBER($L$1),ROUND(F8/$L$1,2),"レート未入力"),F8)))</f>
        <v/>
      </c>
      <c r="I8" s="13"/>
      <c r="J8" s="22" t="str">
        <f aca="false">IF(A8="","",IF(A8&lt;DATE(2025,4,6),"2024/25",IF(A8&lt;DATE(2026,4,6),"2025/26",IF(A8&lt;DATE(2027,4,6),"2026/27","2027/28"))))</f>
        <v/>
      </c>
      <c r="N8" s="13"/>
    </row>
    <row r="9" customFormat="false" ht="15" hidden="false" customHeight="false" outlineLevel="0" collapsed="false">
      <c r="A9" s="31"/>
      <c r="B9" s="13"/>
      <c r="C9" s="13"/>
      <c r="D9" s="32"/>
      <c r="E9" s="32"/>
      <c r="F9" s="14"/>
      <c r="G9" s="23"/>
      <c r="H9" s="16" t="str">
        <f aca="false">IF(F9="","",IF(G9&lt;&gt;"",G9,IF(E9="JPY",IF(ISNUMBER($L$1),ROUND(F9/$L$1,2),"レート未入力"),F9)))</f>
        <v/>
      </c>
      <c r="I9" s="13"/>
      <c r="J9" s="22" t="str">
        <f aca="false">IF(A9="","",IF(A9&lt;DATE(2025,4,6),"2024/25",IF(A9&lt;DATE(2026,4,6),"2025/26",IF(A9&lt;DATE(2027,4,6),"2026/27","2027/28"))))</f>
        <v/>
      </c>
      <c r="N9" s="13"/>
    </row>
    <row r="10" customFormat="false" ht="15" hidden="false" customHeight="false" outlineLevel="0" collapsed="false">
      <c r="A10" s="31"/>
      <c r="B10" s="13"/>
      <c r="C10" s="13"/>
      <c r="D10" s="32"/>
      <c r="E10" s="32"/>
      <c r="F10" s="14"/>
      <c r="G10" s="23"/>
      <c r="H10" s="16" t="str">
        <f aca="false">IF(F10="","",IF(G10&lt;&gt;"",G10,IF(E10="JPY",IF(ISNUMBER($L$1),ROUND(F10/$L$1,2),"レート未入力"),F10)))</f>
        <v/>
      </c>
      <c r="I10" s="13"/>
      <c r="J10" s="22" t="str">
        <f aca="false">IF(A10="","",IF(A10&lt;DATE(2025,4,6),"2024/25",IF(A10&lt;DATE(2026,4,6),"2025/26",IF(A10&lt;DATE(2027,4,6),"2026/27","2027/28"))))</f>
        <v/>
      </c>
      <c r="N10" s="13"/>
    </row>
    <row r="11" customFormat="false" ht="15" hidden="false" customHeight="false" outlineLevel="0" collapsed="false">
      <c r="A11" s="31"/>
      <c r="B11" s="13"/>
      <c r="C11" s="13"/>
      <c r="D11" s="32"/>
      <c r="E11" s="32"/>
      <c r="F11" s="14"/>
      <c r="G11" s="23"/>
      <c r="H11" s="16" t="str">
        <f aca="false">IF(F11="","",IF(G11&lt;&gt;"",G11,IF(E11="JPY",IF(ISNUMBER($L$1),ROUND(F11/$L$1,2),"レート未入力"),F11)))</f>
        <v/>
      </c>
      <c r="I11" s="13"/>
      <c r="J11" s="22" t="str">
        <f aca="false">IF(A11="","",IF(A11&lt;DATE(2025,4,6),"2024/25",IF(A11&lt;DATE(2026,4,6),"2025/26",IF(A11&lt;DATE(2027,4,6),"2026/27","2027/28"))))</f>
        <v/>
      </c>
      <c r="N11" s="13"/>
    </row>
    <row r="12" customFormat="false" ht="15" hidden="false" customHeight="false" outlineLevel="0" collapsed="false">
      <c r="A12" s="31"/>
      <c r="B12" s="13"/>
      <c r="C12" s="13"/>
      <c r="D12" s="32"/>
      <c r="E12" s="32"/>
      <c r="F12" s="14"/>
      <c r="G12" s="23"/>
      <c r="H12" s="16" t="str">
        <f aca="false">IF(F12="","",IF(G12&lt;&gt;"",G12,IF(E12="JPY",IF(ISNUMBER($L$1),ROUND(F12/$L$1,2),"レート未入力"),F12)))</f>
        <v/>
      </c>
      <c r="I12" s="13"/>
      <c r="J12" s="22" t="str">
        <f aca="false">IF(A12="","",IF(A12&lt;DATE(2025,4,6),"2024/25",IF(A12&lt;DATE(2026,4,6),"2025/26",IF(A12&lt;DATE(2027,4,6),"2026/27","2027/28"))))</f>
        <v/>
      </c>
      <c r="N12" s="13"/>
    </row>
    <row r="13" customFormat="false" ht="15" hidden="false" customHeight="false" outlineLevel="0" collapsed="false">
      <c r="A13" s="31"/>
      <c r="B13" s="13"/>
      <c r="C13" s="13"/>
      <c r="D13" s="32"/>
      <c r="E13" s="32"/>
      <c r="F13" s="14"/>
      <c r="G13" s="23"/>
      <c r="H13" s="16" t="str">
        <f aca="false">IF(F13="","",IF(G13&lt;&gt;"",G13,IF(E13="JPY",IF(ISNUMBER($L$1),ROUND(F13/$L$1,2),"レート未入力"),F13)))</f>
        <v/>
      </c>
      <c r="I13" s="13"/>
      <c r="J13" s="22" t="str">
        <f aca="false">IF(A13="","",IF(A13&lt;DATE(2025,4,6),"2024/25",IF(A13&lt;DATE(2026,4,6),"2025/26",IF(A13&lt;DATE(2027,4,6),"2026/27","2027/28"))))</f>
        <v/>
      </c>
      <c r="N13" s="13"/>
    </row>
    <row r="14" customFormat="false" ht="15" hidden="false" customHeight="false" outlineLevel="0" collapsed="false">
      <c r="A14" s="31"/>
      <c r="B14" s="13"/>
      <c r="C14" s="13"/>
      <c r="D14" s="32"/>
      <c r="E14" s="32"/>
      <c r="F14" s="14"/>
      <c r="G14" s="23"/>
      <c r="H14" s="16" t="str">
        <f aca="false">IF(F14="","",IF(G14&lt;&gt;"",G14,IF(E14="JPY",IF(ISNUMBER($L$1),ROUND(F14/$L$1,2),"レート未入力"),F14)))</f>
        <v/>
      </c>
      <c r="I14" s="13"/>
      <c r="J14" s="22" t="str">
        <f aca="false">IF(A14="","",IF(A14&lt;DATE(2025,4,6),"2024/25",IF(A14&lt;DATE(2026,4,6),"2025/26",IF(A14&lt;DATE(2027,4,6),"2026/27","2027/28"))))</f>
        <v/>
      </c>
      <c r="N14" s="13"/>
    </row>
    <row r="15" customFormat="false" ht="15" hidden="false" customHeight="false" outlineLevel="0" collapsed="false">
      <c r="A15" s="31"/>
      <c r="B15" s="13"/>
      <c r="C15" s="13"/>
      <c r="D15" s="32"/>
      <c r="E15" s="32"/>
      <c r="F15" s="14"/>
      <c r="G15" s="23"/>
      <c r="H15" s="16" t="str">
        <f aca="false">IF(F15="","",IF(G15&lt;&gt;"",G15,IF(E15="JPY",IF(ISNUMBER($L$1),ROUND(F15/$L$1,2),"レート未入力"),F15)))</f>
        <v/>
      </c>
      <c r="I15" s="13"/>
      <c r="J15" s="22" t="str">
        <f aca="false">IF(A15="","",IF(A15&lt;DATE(2025,4,6),"2024/25",IF(A15&lt;DATE(2026,4,6),"2025/26",IF(A15&lt;DATE(2027,4,6),"2026/27","2027/28"))))</f>
        <v/>
      </c>
      <c r="N15" s="13"/>
    </row>
    <row r="16" customFormat="false" ht="15" hidden="false" customHeight="false" outlineLevel="0" collapsed="false">
      <c r="A16" s="31"/>
      <c r="B16" s="13"/>
      <c r="C16" s="13"/>
      <c r="D16" s="32"/>
      <c r="E16" s="32"/>
      <c r="F16" s="14"/>
      <c r="G16" s="23"/>
      <c r="H16" s="16" t="str">
        <f aca="false">IF(F16="","",IF(G16&lt;&gt;"",G16,IF(E16="JPY",IF(ISNUMBER($L$1),ROUND(F16/$L$1,2),"レート未入力"),F16)))</f>
        <v/>
      </c>
      <c r="I16" s="13"/>
      <c r="J16" s="22" t="str">
        <f aca="false">IF(A16="","",IF(A16&lt;DATE(2025,4,6),"2024/25",IF(A16&lt;DATE(2026,4,6),"2025/26",IF(A16&lt;DATE(2027,4,6),"2026/27","2027/28"))))</f>
        <v/>
      </c>
      <c r="N16" s="13"/>
    </row>
    <row r="17" customFormat="false" ht="15" hidden="false" customHeight="false" outlineLevel="0" collapsed="false">
      <c r="A17" s="31"/>
      <c r="B17" s="13"/>
      <c r="C17" s="13"/>
      <c r="D17" s="32"/>
      <c r="E17" s="32"/>
      <c r="F17" s="14"/>
      <c r="G17" s="23"/>
      <c r="H17" s="16" t="str">
        <f aca="false">IF(F17="","",IF(G17&lt;&gt;"",G17,IF(E17="JPY",IF(ISNUMBER($L$1),ROUND(F17/$L$1,2),"レート未入力"),F17)))</f>
        <v/>
      </c>
      <c r="I17" s="13"/>
      <c r="J17" s="22" t="str">
        <f aca="false">IF(A17="","",IF(A17&lt;DATE(2025,4,6),"2024/25",IF(A17&lt;DATE(2026,4,6),"2025/26",IF(A17&lt;DATE(2027,4,6),"2026/27","2027/28"))))</f>
        <v/>
      </c>
      <c r="N17" s="13"/>
    </row>
    <row r="18" customFormat="false" ht="15" hidden="false" customHeight="false" outlineLevel="0" collapsed="false">
      <c r="A18" s="31"/>
      <c r="B18" s="13"/>
      <c r="C18" s="13"/>
      <c r="D18" s="32"/>
      <c r="E18" s="32"/>
      <c r="F18" s="14"/>
      <c r="G18" s="23"/>
      <c r="H18" s="16" t="str">
        <f aca="false">IF(F18="","",IF(G18&lt;&gt;"",G18,IF(E18="JPY",IF(ISNUMBER($L$1),ROUND(F18/$L$1,2),"レート未入力"),F18)))</f>
        <v/>
      </c>
      <c r="I18" s="13"/>
      <c r="J18" s="22" t="str">
        <f aca="false">IF(A18="","",IF(A18&lt;DATE(2025,4,6),"2024/25",IF(A18&lt;DATE(2026,4,6),"2025/26",IF(A18&lt;DATE(2027,4,6),"2026/27","2027/28"))))</f>
        <v/>
      </c>
      <c r="N18" s="13"/>
    </row>
    <row r="19" customFormat="false" ht="15" hidden="false" customHeight="false" outlineLevel="0" collapsed="false">
      <c r="A19" s="31"/>
      <c r="B19" s="13"/>
      <c r="C19" s="13"/>
      <c r="D19" s="32"/>
      <c r="E19" s="32"/>
      <c r="F19" s="14"/>
      <c r="G19" s="23"/>
      <c r="H19" s="16" t="str">
        <f aca="false">IF(F19="","",IF(G19&lt;&gt;"",G19,IF(E19="JPY",IF(ISNUMBER($L$1),ROUND(F19/$L$1,2),"レート未入力"),F19)))</f>
        <v/>
      </c>
      <c r="I19" s="13"/>
      <c r="J19" s="22" t="str">
        <f aca="false">IF(A19="","",IF(A19&lt;DATE(2025,4,6),"2024/25",IF(A19&lt;DATE(2026,4,6),"2025/26",IF(A19&lt;DATE(2027,4,6),"2026/27","2027/28"))))</f>
        <v/>
      </c>
      <c r="N19" s="13"/>
    </row>
    <row r="20" customFormat="false" ht="15" hidden="false" customHeight="false" outlineLevel="0" collapsed="false">
      <c r="A20" s="31"/>
      <c r="B20" s="13"/>
      <c r="C20" s="13"/>
      <c r="D20" s="32"/>
      <c r="E20" s="32"/>
      <c r="F20" s="14"/>
      <c r="G20" s="23"/>
      <c r="H20" s="16" t="str">
        <f aca="false">IF(F20="","",IF(G20&lt;&gt;"",G20,IF(E20="JPY",IF(ISNUMBER($L$1),ROUND(F20/$L$1,2),"レート未入力"),F20)))</f>
        <v/>
      </c>
      <c r="I20" s="13"/>
      <c r="J20" s="22" t="str">
        <f aca="false">IF(A20="","",IF(A20&lt;DATE(2025,4,6),"2024/25",IF(A20&lt;DATE(2026,4,6),"2025/26",IF(A20&lt;DATE(2027,4,6),"2026/27","2027/28"))))</f>
        <v/>
      </c>
      <c r="N20" s="13"/>
    </row>
    <row r="21" customFormat="false" ht="15" hidden="false" customHeight="false" outlineLevel="0" collapsed="false">
      <c r="A21" s="31"/>
      <c r="B21" s="13"/>
      <c r="C21" s="13"/>
      <c r="D21" s="32"/>
      <c r="E21" s="32"/>
      <c r="F21" s="14"/>
      <c r="G21" s="23"/>
      <c r="H21" s="16" t="str">
        <f aca="false">IF(F21="","",IF(G21&lt;&gt;"",G21,IF(E21="JPY",IF(ISNUMBER($L$1),ROUND(F21/$L$1,2),"レート未入力"),F21)))</f>
        <v/>
      </c>
      <c r="I21" s="13"/>
      <c r="J21" s="22" t="str">
        <f aca="false">IF(A21="","",IF(A21&lt;DATE(2025,4,6),"2024/25",IF(A21&lt;DATE(2026,4,6),"2025/26",IF(A21&lt;DATE(2027,4,6),"2026/27","2027/28"))))</f>
        <v/>
      </c>
      <c r="N21" s="13"/>
    </row>
    <row r="22" customFormat="false" ht="15" hidden="false" customHeight="false" outlineLevel="0" collapsed="false">
      <c r="A22" s="31"/>
      <c r="B22" s="13"/>
      <c r="C22" s="13"/>
      <c r="D22" s="32"/>
      <c r="E22" s="32"/>
      <c r="F22" s="14"/>
      <c r="G22" s="23"/>
      <c r="H22" s="16" t="str">
        <f aca="false">IF(F22="","",IF(G22&lt;&gt;"",G22,IF(E22="JPY",IF(ISNUMBER($L$1),ROUND(F22/$L$1,2),"レート未入力"),F22)))</f>
        <v/>
      </c>
      <c r="I22" s="13"/>
      <c r="J22" s="22" t="str">
        <f aca="false">IF(A22="","",IF(A22&lt;DATE(2025,4,6),"2024/25",IF(A22&lt;DATE(2026,4,6),"2025/26",IF(A22&lt;DATE(2027,4,6),"2026/27","2027/28"))))</f>
        <v/>
      </c>
      <c r="N22" s="13"/>
    </row>
    <row r="23" customFormat="false" ht="15" hidden="false" customHeight="false" outlineLevel="0" collapsed="false">
      <c r="A23" s="31"/>
      <c r="B23" s="13"/>
      <c r="C23" s="13"/>
      <c r="D23" s="32"/>
      <c r="E23" s="32"/>
      <c r="F23" s="14"/>
      <c r="G23" s="23"/>
      <c r="H23" s="16" t="str">
        <f aca="false">IF(F23="","",IF(G23&lt;&gt;"",G23,IF(E23="JPY",IF(ISNUMBER($L$1),ROUND(F23/$L$1,2),"レート未入力"),F23)))</f>
        <v/>
      </c>
      <c r="I23" s="13"/>
      <c r="J23" s="22" t="str">
        <f aca="false">IF(A23="","",IF(A23&lt;DATE(2025,4,6),"2024/25",IF(A23&lt;DATE(2026,4,6),"2025/26",IF(A23&lt;DATE(2027,4,6),"2026/27","2027/28"))))</f>
        <v/>
      </c>
      <c r="N23" s="13"/>
    </row>
    <row r="24" customFormat="false" ht="15" hidden="false" customHeight="false" outlineLevel="0" collapsed="false">
      <c r="A24" s="31"/>
      <c r="B24" s="13"/>
      <c r="C24" s="13"/>
      <c r="D24" s="32"/>
      <c r="E24" s="32"/>
      <c r="F24" s="14"/>
      <c r="G24" s="23"/>
      <c r="H24" s="16" t="str">
        <f aca="false">IF(F24="","",IF(G24&lt;&gt;"",G24,IF(E24="JPY",IF(ISNUMBER($L$1),ROUND(F24/$L$1,2),"レート未入力"),F24)))</f>
        <v/>
      </c>
      <c r="I24" s="13"/>
      <c r="J24" s="22" t="str">
        <f aca="false">IF(A24="","",IF(A24&lt;DATE(2025,4,6),"2024/25",IF(A24&lt;DATE(2026,4,6),"2025/26",IF(A24&lt;DATE(2027,4,6),"2026/27","2027/28"))))</f>
        <v/>
      </c>
      <c r="N24" s="13"/>
    </row>
    <row r="25" customFormat="false" ht="15" hidden="false" customHeight="false" outlineLevel="0" collapsed="false">
      <c r="A25" s="31"/>
      <c r="B25" s="13"/>
      <c r="C25" s="13"/>
      <c r="D25" s="32"/>
      <c r="E25" s="32"/>
      <c r="F25" s="14"/>
      <c r="G25" s="23"/>
      <c r="H25" s="16" t="str">
        <f aca="false">IF(F25="","",IF(G25&lt;&gt;"",G25,IF(E25="JPY",IF(ISNUMBER($L$1),ROUND(F25/$L$1,2),"レート未入力"),F25)))</f>
        <v/>
      </c>
      <c r="I25" s="13"/>
      <c r="J25" s="22" t="str">
        <f aca="false">IF(A25="","",IF(A25&lt;DATE(2025,4,6),"2024/25",IF(A25&lt;DATE(2026,4,6),"2025/26",IF(A25&lt;DATE(2027,4,6),"2026/27","2027/28"))))</f>
        <v/>
      </c>
      <c r="N25" s="13"/>
    </row>
    <row r="26" customFormat="false" ht="15" hidden="false" customHeight="false" outlineLevel="0" collapsed="false">
      <c r="A26" s="3" t="s">
        <v>183</v>
      </c>
      <c r="H26" s="18" t="n">
        <f aca="false">SUM(H6:H25)</f>
        <v>120</v>
      </c>
    </row>
    <row r="28" customFormat="false" ht="15" hidden="false" customHeight="false" outlineLevel="0" collapsed="false">
      <c r="A28" s="26" t="s">
        <v>184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</row>
    <row r="29" customFormat="false" ht="30" hidden="false" customHeight="true" outlineLevel="0" collapsed="false">
      <c r="A29" s="9" t="s">
        <v>167</v>
      </c>
      <c r="B29" s="9" t="s">
        <v>185</v>
      </c>
      <c r="C29" s="9" t="s">
        <v>169</v>
      </c>
      <c r="D29" s="9" t="s">
        <v>38</v>
      </c>
      <c r="E29" s="9" t="s">
        <v>171</v>
      </c>
      <c r="F29" s="9" t="s">
        <v>172</v>
      </c>
      <c r="G29" s="9" t="s">
        <v>173</v>
      </c>
      <c r="H29" s="10" t="s">
        <v>186</v>
      </c>
      <c r="I29" s="9" t="s">
        <v>187</v>
      </c>
      <c r="J29" s="9" t="s">
        <v>188</v>
      </c>
      <c r="K29" s="9" t="s">
        <v>189</v>
      </c>
      <c r="L29" s="9" t="s">
        <v>176</v>
      </c>
      <c r="M29" s="9"/>
      <c r="N29" s="9" t="s">
        <v>177</v>
      </c>
    </row>
    <row r="30" customFormat="false" ht="15" hidden="false" customHeight="false" outlineLevel="0" collapsed="false">
      <c r="A30" s="28" t="n">
        <v>45776</v>
      </c>
      <c r="B30" s="30" t="s">
        <v>190</v>
      </c>
      <c r="C30" s="30" t="s">
        <v>191</v>
      </c>
      <c r="D30" s="30" t="s">
        <v>41</v>
      </c>
      <c r="E30" s="29" t="s">
        <v>192</v>
      </c>
      <c r="F30" s="12" t="n">
        <v>30000</v>
      </c>
      <c r="G30" s="23"/>
      <c r="H30" s="16" t="n">
        <f aca="false">IF(F30="","",IF(G30&lt;&gt;"",G30,IF(E30="JPY",IF(ISNUMBER($L$1),ROUND(F30/$L$1,2),"レート未入力"),F30)))</f>
        <v>144.93</v>
      </c>
      <c r="I30" s="33"/>
      <c r="J30" s="16" t="n">
        <f aca="false">IF(ISNUMBER(H30),ROUND(H30*IF(I30="",1,I30),2),"")</f>
        <v>144.93</v>
      </c>
      <c r="K30" s="34" t="s">
        <v>193</v>
      </c>
      <c r="L30" s="22" t="str">
        <f aca="false">IF(A30="","",IF(A30&lt;DATE(2025,4,6),"2024/25",IF(A30&lt;DATE(2026,4,6),"2025/26",IF(A30&lt;DATE(2027,4,6),"2026/27","2027/28"))))</f>
        <v>2025/26</v>
      </c>
      <c r="N30" s="13"/>
    </row>
    <row r="31" customFormat="false" ht="15" hidden="false" customHeight="false" outlineLevel="0" collapsed="false">
      <c r="A31" s="28" t="n">
        <v>45777</v>
      </c>
      <c r="B31" s="29" t="s">
        <v>194</v>
      </c>
      <c r="C31" s="30" t="s">
        <v>195</v>
      </c>
      <c r="D31" s="30" t="s">
        <v>51</v>
      </c>
      <c r="E31" s="29" t="s">
        <v>181</v>
      </c>
      <c r="F31" s="12" t="n">
        <v>15.99</v>
      </c>
      <c r="G31" s="23"/>
      <c r="H31" s="16" t="n">
        <f aca="false">IF(F31="","",IF(G31&lt;&gt;"",G31,IF(E31="JPY",IF(ISNUMBER($L$1),ROUND(F31/$L$1,2),"レート未入力"),F31)))</f>
        <v>15.99</v>
      </c>
      <c r="I31" s="33"/>
      <c r="J31" s="16" t="n">
        <f aca="false">IF(ISNUMBER(H31),ROUND(H31*IF(I31="",1,I31),2),"")</f>
        <v>15.99</v>
      </c>
      <c r="K31" s="34" t="s">
        <v>193</v>
      </c>
      <c r="L31" s="22" t="str">
        <f aca="false">IF(A31="","",IF(A31&lt;DATE(2025,4,6),"2024/25",IF(A31&lt;DATE(2026,4,6),"2025/26",IF(A31&lt;DATE(2027,4,6),"2026/27","2027/28"))))</f>
        <v>2025/26</v>
      </c>
      <c r="N31" s="13"/>
    </row>
    <row r="32" customFormat="false" ht="15" hidden="false" customHeight="false" outlineLevel="0" collapsed="false">
      <c r="A32" s="31"/>
      <c r="B32" s="13"/>
      <c r="C32" s="13"/>
      <c r="D32" s="32"/>
      <c r="E32" s="32"/>
      <c r="F32" s="14"/>
      <c r="G32" s="23"/>
      <c r="H32" s="16" t="str">
        <f aca="false">IF(F32="","",IF(G32&lt;&gt;"",G32,IF(E32="JPY",IF(ISNUMBER($L$1),ROUND(F32/$L$1,2),"レート未入力"),F32)))</f>
        <v/>
      </c>
      <c r="I32" s="33"/>
      <c r="J32" s="16" t="str">
        <f aca="false">IF(ISNUMBER(H32),ROUND(H32*IF(I32="",1,I32),2),"")</f>
        <v/>
      </c>
      <c r="K32" s="35"/>
      <c r="L32" s="22" t="str">
        <f aca="false">IF(A32="","",IF(A32&lt;DATE(2025,4,6),"2024/25",IF(A32&lt;DATE(2026,4,6),"2025/26",IF(A32&lt;DATE(2027,4,6),"2026/27","2027/28"))))</f>
        <v/>
      </c>
      <c r="N32" s="13"/>
    </row>
    <row r="33" customFormat="false" ht="15" hidden="false" customHeight="false" outlineLevel="0" collapsed="false">
      <c r="A33" s="31"/>
      <c r="B33" s="13"/>
      <c r="C33" s="13"/>
      <c r="D33" s="32"/>
      <c r="E33" s="32"/>
      <c r="F33" s="14"/>
      <c r="G33" s="23"/>
      <c r="H33" s="16" t="str">
        <f aca="false">IF(F33="","",IF(G33&lt;&gt;"",G33,IF(E33="JPY",IF(ISNUMBER($L$1),ROUND(F33/$L$1,2),"レート未入力"),F33)))</f>
        <v/>
      </c>
      <c r="I33" s="33"/>
      <c r="J33" s="16" t="str">
        <f aca="false">IF(ISNUMBER(H33),ROUND(H33*IF(I33="",1,I33),2),"")</f>
        <v/>
      </c>
      <c r="K33" s="35"/>
      <c r="L33" s="22" t="str">
        <f aca="false">IF(A33="","",IF(A33&lt;DATE(2025,4,6),"2024/25",IF(A33&lt;DATE(2026,4,6),"2025/26",IF(A33&lt;DATE(2027,4,6),"2026/27","2027/28"))))</f>
        <v/>
      </c>
      <c r="N33" s="13"/>
    </row>
    <row r="34" customFormat="false" ht="15" hidden="false" customHeight="false" outlineLevel="0" collapsed="false">
      <c r="A34" s="31"/>
      <c r="B34" s="13"/>
      <c r="C34" s="13"/>
      <c r="D34" s="32"/>
      <c r="E34" s="32"/>
      <c r="F34" s="14"/>
      <c r="G34" s="23"/>
      <c r="H34" s="16" t="str">
        <f aca="false">IF(F34="","",IF(G34&lt;&gt;"",G34,IF(E34="JPY",IF(ISNUMBER($L$1),ROUND(F34/$L$1,2),"レート未入力"),F34)))</f>
        <v/>
      </c>
      <c r="I34" s="33"/>
      <c r="J34" s="16" t="str">
        <f aca="false">IF(ISNUMBER(H34),ROUND(H34*IF(I34="",1,I34),2),"")</f>
        <v/>
      </c>
      <c r="K34" s="35"/>
      <c r="L34" s="22" t="str">
        <f aca="false">IF(A34="","",IF(A34&lt;DATE(2025,4,6),"2024/25",IF(A34&lt;DATE(2026,4,6),"2025/26",IF(A34&lt;DATE(2027,4,6),"2026/27","2027/28"))))</f>
        <v/>
      </c>
      <c r="N34" s="13"/>
    </row>
    <row r="35" customFormat="false" ht="15" hidden="false" customHeight="false" outlineLevel="0" collapsed="false">
      <c r="A35" s="31"/>
      <c r="B35" s="13"/>
      <c r="C35" s="13"/>
      <c r="D35" s="32"/>
      <c r="E35" s="32"/>
      <c r="F35" s="14"/>
      <c r="G35" s="23"/>
      <c r="H35" s="16" t="str">
        <f aca="false">IF(F35="","",IF(G35&lt;&gt;"",G35,IF(E35="JPY",IF(ISNUMBER($L$1),ROUND(F35/$L$1,2),"レート未入力"),F35)))</f>
        <v/>
      </c>
      <c r="I35" s="33"/>
      <c r="J35" s="16" t="str">
        <f aca="false">IF(ISNUMBER(H35),ROUND(H35*IF(I35="",1,I35),2),"")</f>
        <v/>
      </c>
      <c r="K35" s="35"/>
      <c r="L35" s="22" t="str">
        <f aca="false">IF(A35="","",IF(A35&lt;DATE(2025,4,6),"2024/25",IF(A35&lt;DATE(2026,4,6),"2025/26",IF(A35&lt;DATE(2027,4,6),"2026/27","2027/28"))))</f>
        <v/>
      </c>
      <c r="N35" s="13"/>
    </row>
    <row r="36" customFormat="false" ht="15" hidden="false" customHeight="false" outlineLevel="0" collapsed="false">
      <c r="A36" s="31"/>
      <c r="B36" s="13"/>
      <c r="C36" s="13"/>
      <c r="D36" s="32"/>
      <c r="E36" s="32"/>
      <c r="F36" s="14"/>
      <c r="G36" s="23"/>
      <c r="H36" s="16" t="str">
        <f aca="false">IF(F36="","",IF(G36&lt;&gt;"",G36,IF(E36="JPY",IF(ISNUMBER($L$1),ROUND(F36/$L$1,2),"レート未入力"),F36)))</f>
        <v/>
      </c>
      <c r="I36" s="33"/>
      <c r="J36" s="16" t="str">
        <f aca="false">IF(ISNUMBER(H36),ROUND(H36*IF(I36="",1,I36),2),"")</f>
        <v/>
      </c>
      <c r="K36" s="35"/>
      <c r="L36" s="22" t="str">
        <f aca="false">IF(A36="","",IF(A36&lt;DATE(2025,4,6),"2024/25",IF(A36&lt;DATE(2026,4,6),"2025/26",IF(A36&lt;DATE(2027,4,6),"2026/27","2027/28"))))</f>
        <v/>
      </c>
      <c r="N36" s="13"/>
    </row>
    <row r="37" customFormat="false" ht="15" hidden="false" customHeight="false" outlineLevel="0" collapsed="false">
      <c r="A37" s="31"/>
      <c r="B37" s="13"/>
      <c r="C37" s="13"/>
      <c r="D37" s="32"/>
      <c r="E37" s="32"/>
      <c r="F37" s="14"/>
      <c r="G37" s="23"/>
      <c r="H37" s="16" t="str">
        <f aca="false">IF(F37="","",IF(G37&lt;&gt;"",G37,IF(E37="JPY",IF(ISNUMBER($L$1),ROUND(F37/$L$1,2),"レート未入力"),F37)))</f>
        <v/>
      </c>
      <c r="I37" s="33"/>
      <c r="J37" s="16" t="str">
        <f aca="false">IF(ISNUMBER(H37),ROUND(H37*IF(I37="",1,I37),2),"")</f>
        <v/>
      </c>
      <c r="K37" s="35"/>
      <c r="L37" s="22" t="str">
        <f aca="false">IF(A37="","",IF(A37&lt;DATE(2025,4,6),"2024/25",IF(A37&lt;DATE(2026,4,6),"2025/26",IF(A37&lt;DATE(2027,4,6),"2026/27","2027/28"))))</f>
        <v/>
      </c>
      <c r="N37" s="13"/>
    </row>
    <row r="38" customFormat="false" ht="15" hidden="false" customHeight="false" outlineLevel="0" collapsed="false">
      <c r="A38" s="31"/>
      <c r="B38" s="13"/>
      <c r="C38" s="13"/>
      <c r="D38" s="32"/>
      <c r="E38" s="32"/>
      <c r="F38" s="14"/>
      <c r="G38" s="23"/>
      <c r="H38" s="16" t="str">
        <f aca="false">IF(F38="","",IF(G38&lt;&gt;"",G38,IF(E38="JPY",IF(ISNUMBER($L$1),ROUND(F38/$L$1,2),"レート未入力"),F38)))</f>
        <v/>
      </c>
      <c r="I38" s="33"/>
      <c r="J38" s="16" t="str">
        <f aca="false">IF(ISNUMBER(H38),ROUND(H38*IF(I38="",1,I38),2),"")</f>
        <v/>
      </c>
      <c r="K38" s="35"/>
      <c r="L38" s="22" t="str">
        <f aca="false">IF(A38="","",IF(A38&lt;DATE(2025,4,6),"2024/25",IF(A38&lt;DATE(2026,4,6),"2025/26",IF(A38&lt;DATE(2027,4,6),"2026/27","2027/28"))))</f>
        <v/>
      </c>
      <c r="N38" s="13"/>
    </row>
    <row r="39" customFormat="false" ht="15" hidden="false" customHeight="false" outlineLevel="0" collapsed="false">
      <c r="A39" s="31"/>
      <c r="B39" s="13"/>
      <c r="C39" s="13"/>
      <c r="D39" s="32"/>
      <c r="E39" s="32"/>
      <c r="F39" s="14"/>
      <c r="G39" s="23"/>
      <c r="H39" s="16" t="str">
        <f aca="false">IF(F39="","",IF(G39&lt;&gt;"",G39,IF(E39="JPY",IF(ISNUMBER($L$1),ROUND(F39/$L$1,2),"レート未入力"),F39)))</f>
        <v/>
      </c>
      <c r="I39" s="33"/>
      <c r="J39" s="16" t="str">
        <f aca="false">IF(ISNUMBER(H39),ROUND(H39*IF(I39="",1,I39),2),"")</f>
        <v/>
      </c>
      <c r="K39" s="35"/>
      <c r="L39" s="22" t="str">
        <f aca="false">IF(A39="","",IF(A39&lt;DATE(2025,4,6),"2024/25",IF(A39&lt;DATE(2026,4,6),"2025/26",IF(A39&lt;DATE(2027,4,6),"2026/27","2027/28"))))</f>
        <v/>
      </c>
      <c r="N39" s="13"/>
    </row>
    <row r="40" customFormat="false" ht="15" hidden="false" customHeight="false" outlineLevel="0" collapsed="false">
      <c r="A40" s="31"/>
      <c r="B40" s="13"/>
      <c r="C40" s="13"/>
      <c r="D40" s="32"/>
      <c r="E40" s="32"/>
      <c r="F40" s="14"/>
      <c r="G40" s="23"/>
      <c r="H40" s="16" t="str">
        <f aca="false">IF(F40="","",IF(G40&lt;&gt;"",G40,IF(E40="JPY",IF(ISNUMBER($L$1),ROUND(F40/$L$1,2),"レート未入力"),F40)))</f>
        <v/>
      </c>
      <c r="I40" s="33"/>
      <c r="J40" s="16" t="str">
        <f aca="false">IF(ISNUMBER(H40),ROUND(H40*IF(I40="",1,I40),2),"")</f>
        <v/>
      </c>
      <c r="K40" s="35"/>
      <c r="L40" s="22" t="str">
        <f aca="false">IF(A40="","",IF(A40&lt;DATE(2025,4,6),"2024/25",IF(A40&lt;DATE(2026,4,6),"2025/26",IF(A40&lt;DATE(2027,4,6),"2026/27","2027/28"))))</f>
        <v/>
      </c>
      <c r="N40" s="13"/>
    </row>
    <row r="41" customFormat="false" ht="15" hidden="false" customHeight="false" outlineLevel="0" collapsed="false">
      <c r="A41" s="31"/>
      <c r="B41" s="13"/>
      <c r="C41" s="13"/>
      <c r="D41" s="32"/>
      <c r="E41" s="32"/>
      <c r="F41" s="14"/>
      <c r="G41" s="23"/>
      <c r="H41" s="16" t="str">
        <f aca="false">IF(F41="","",IF(G41&lt;&gt;"",G41,IF(E41="JPY",IF(ISNUMBER($L$1),ROUND(F41/$L$1,2),"レート未入力"),F41)))</f>
        <v/>
      </c>
      <c r="I41" s="33"/>
      <c r="J41" s="16" t="str">
        <f aca="false">IF(ISNUMBER(H41),ROUND(H41*IF(I41="",1,I41),2),"")</f>
        <v/>
      </c>
      <c r="K41" s="35"/>
      <c r="L41" s="22" t="str">
        <f aca="false">IF(A41="","",IF(A41&lt;DATE(2025,4,6),"2024/25",IF(A41&lt;DATE(2026,4,6),"2025/26",IF(A41&lt;DATE(2027,4,6),"2026/27","2027/28"))))</f>
        <v/>
      </c>
      <c r="N41" s="13"/>
    </row>
    <row r="42" customFormat="false" ht="15" hidden="false" customHeight="false" outlineLevel="0" collapsed="false">
      <c r="A42" s="31"/>
      <c r="B42" s="13"/>
      <c r="C42" s="13"/>
      <c r="D42" s="32"/>
      <c r="E42" s="32"/>
      <c r="F42" s="14"/>
      <c r="G42" s="23"/>
      <c r="H42" s="16" t="str">
        <f aca="false">IF(F42="","",IF(G42&lt;&gt;"",G42,IF(E42="JPY",IF(ISNUMBER($L$1),ROUND(F42/$L$1,2),"レート未入力"),F42)))</f>
        <v/>
      </c>
      <c r="I42" s="33"/>
      <c r="J42" s="16" t="str">
        <f aca="false">IF(ISNUMBER(H42),ROUND(H42*IF(I42="",1,I42),2),"")</f>
        <v/>
      </c>
      <c r="K42" s="35"/>
      <c r="L42" s="22" t="str">
        <f aca="false">IF(A42="","",IF(A42&lt;DATE(2025,4,6),"2024/25",IF(A42&lt;DATE(2026,4,6),"2025/26",IF(A42&lt;DATE(2027,4,6),"2026/27","2027/28"))))</f>
        <v/>
      </c>
      <c r="N42" s="13"/>
    </row>
    <row r="43" customFormat="false" ht="15" hidden="false" customHeight="false" outlineLevel="0" collapsed="false">
      <c r="A43" s="31"/>
      <c r="B43" s="13"/>
      <c r="C43" s="13"/>
      <c r="D43" s="32"/>
      <c r="E43" s="32"/>
      <c r="F43" s="14"/>
      <c r="G43" s="23"/>
      <c r="H43" s="16" t="str">
        <f aca="false">IF(F43="","",IF(G43&lt;&gt;"",G43,IF(E43="JPY",IF(ISNUMBER($L$1),ROUND(F43/$L$1,2),"レート未入力"),F43)))</f>
        <v/>
      </c>
      <c r="I43" s="33"/>
      <c r="J43" s="16" t="str">
        <f aca="false">IF(ISNUMBER(H43),ROUND(H43*IF(I43="",1,I43),2),"")</f>
        <v/>
      </c>
      <c r="K43" s="35"/>
      <c r="L43" s="22" t="str">
        <f aca="false">IF(A43="","",IF(A43&lt;DATE(2025,4,6),"2024/25",IF(A43&lt;DATE(2026,4,6),"2025/26",IF(A43&lt;DATE(2027,4,6),"2026/27","2027/28"))))</f>
        <v/>
      </c>
      <c r="N43" s="13"/>
    </row>
    <row r="44" customFormat="false" ht="15" hidden="false" customHeight="false" outlineLevel="0" collapsed="false">
      <c r="A44" s="31"/>
      <c r="B44" s="13"/>
      <c r="C44" s="13"/>
      <c r="D44" s="32"/>
      <c r="E44" s="32"/>
      <c r="F44" s="14"/>
      <c r="G44" s="23"/>
      <c r="H44" s="16" t="str">
        <f aca="false">IF(F44="","",IF(G44&lt;&gt;"",G44,IF(E44="JPY",IF(ISNUMBER($L$1),ROUND(F44/$L$1,2),"レート未入力"),F44)))</f>
        <v/>
      </c>
      <c r="I44" s="33"/>
      <c r="J44" s="16" t="str">
        <f aca="false">IF(ISNUMBER(H44),ROUND(H44*IF(I44="",1,I44),2),"")</f>
        <v/>
      </c>
      <c r="K44" s="35"/>
      <c r="L44" s="22" t="str">
        <f aca="false">IF(A44="","",IF(A44&lt;DATE(2025,4,6),"2024/25",IF(A44&lt;DATE(2026,4,6),"2025/26",IF(A44&lt;DATE(2027,4,6),"2026/27","2027/28"))))</f>
        <v/>
      </c>
      <c r="N44" s="13"/>
    </row>
    <row r="45" customFormat="false" ht="15" hidden="false" customHeight="false" outlineLevel="0" collapsed="false">
      <c r="A45" s="31"/>
      <c r="B45" s="13"/>
      <c r="C45" s="13"/>
      <c r="D45" s="32"/>
      <c r="E45" s="32"/>
      <c r="F45" s="14"/>
      <c r="G45" s="23"/>
      <c r="H45" s="16" t="str">
        <f aca="false">IF(F45="","",IF(G45&lt;&gt;"",G45,IF(E45="JPY",IF(ISNUMBER($L$1),ROUND(F45/$L$1,2),"レート未入力"),F45)))</f>
        <v/>
      </c>
      <c r="I45" s="33"/>
      <c r="J45" s="16" t="str">
        <f aca="false">IF(ISNUMBER(H45),ROUND(H45*IF(I45="",1,I45),2),"")</f>
        <v/>
      </c>
      <c r="K45" s="35"/>
      <c r="L45" s="22" t="str">
        <f aca="false">IF(A45="","",IF(A45&lt;DATE(2025,4,6),"2024/25",IF(A45&lt;DATE(2026,4,6),"2025/26",IF(A45&lt;DATE(2027,4,6),"2026/27","2027/28"))))</f>
        <v/>
      </c>
      <c r="N45" s="13"/>
    </row>
    <row r="46" customFormat="false" ht="15" hidden="false" customHeight="false" outlineLevel="0" collapsed="false">
      <c r="A46" s="31"/>
      <c r="B46" s="13"/>
      <c r="C46" s="13"/>
      <c r="D46" s="32"/>
      <c r="E46" s="32"/>
      <c r="F46" s="14"/>
      <c r="G46" s="23"/>
      <c r="H46" s="16" t="str">
        <f aca="false">IF(F46="","",IF(G46&lt;&gt;"",G46,IF(E46="JPY",IF(ISNUMBER($L$1),ROUND(F46/$L$1,2),"レート未入力"),F46)))</f>
        <v/>
      </c>
      <c r="I46" s="33"/>
      <c r="J46" s="16" t="str">
        <f aca="false">IF(ISNUMBER(H46),ROUND(H46*IF(I46="",1,I46),2),"")</f>
        <v/>
      </c>
      <c r="K46" s="35"/>
      <c r="L46" s="22" t="str">
        <f aca="false">IF(A46="","",IF(A46&lt;DATE(2025,4,6),"2024/25",IF(A46&lt;DATE(2026,4,6),"2025/26",IF(A46&lt;DATE(2027,4,6),"2026/27","2027/28"))))</f>
        <v/>
      </c>
      <c r="N46" s="13"/>
    </row>
    <row r="47" customFormat="false" ht="15" hidden="false" customHeight="false" outlineLevel="0" collapsed="false">
      <c r="A47" s="31"/>
      <c r="B47" s="13"/>
      <c r="C47" s="13"/>
      <c r="D47" s="32"/>
      <c r="E47" s="32"/>
      <c r="F47" s="14"/>
      <c r="G47" s="23"/>
      <c r="H47" s="16" t="str">
        <f aca="false">IF(F47="","",IF(G47&lt;&gt;"",G47,IF(E47="JPY",IF(ISNUMBER($L$1),ROUND(F47/$L$1,2),"レート未入力"),F47)))</f>
        <v/>
      </c>
      <c r="I47" s="33"/>
      <c r="J47" s="16" t="str">
        <f aca="false">IF(ISNUMBER(H47),ROUND(H47*IF(I47="",1,I47),2),"")</f>
        <v/>
      </c>
      <c r="K47" s="35"/>
      <c r="L47" s="22" t="str">
        <f aca="false">IF(A47="","",IF(A47&lt;DATE(2025,4,6),"2024/25",IF(A47&lt;DATE(2026,4,6),"2025/26",IF(A47&lt;DATE(2027,4,6),"2026/27","2027/28"))))</f>
        <v/>
      </c>
      <c r="N47" s="13"/>
    </row>
    <row r="48" customFormat="false" ht="15" hidden="false" customHeight="false" outlineLevel="0" collapsed="false">
      <c r="A48" s="31"/>
      <c r="B48" s="13"/>
      <c r="C48" s="13"/>
      <c r="D48" s="32"/>
      <c r="E48" s="32"/>
      <c r="F48" s="14"/>
      <c r="G48" s="23"/>
      <c r="H48" s="16" t="str">
        <f aca="false">IF(F48="","",IF(G48&lt;&gt;"",G48,IF(E48="JPY",IF(ISNUMBER($L$1),ROUND(F48/$L$1,2),"レート未入力"),F48)))</f>
        <v/>
      </c>
      <c r="I48" s="33"/>
      <c r="J48" s="16" t="str">
        <f aca="false">IF(ISNUMBER(H48),ROUND(H48*IF(I48="",1,I48),2),"")</f>
        <v/>
      </c>
      <c r="K48" s="35"/>
      <c r="L48" s="22" t="str">
        <f aca="false">IF(A48="","",IF(A48&lt;DATE(2025,4,6),"2024/25",IF(A48&lt;DATE(2026,4,6),"2025/26",IF(A48&lt;DATE(2027,4,6),"2026/27","2027/28"))))</f>
        <v/>
      </c>
      <c r="N48" s="13"/>
    </row>
    <row r="49" customFormat="false" ht="15" hidden="false" customHeight="false" outlineLevel="0" collapsed="false">
      <c r="A49" s="31"/>
      <c r="B49" s="13"/>
      <c r="C49" s="13"/>
      <c r="D49" s="32"/>
      <c r="E49" s="32"/>
      <c r="F49" s="14"/>
      <c r="G49" s="23"/>
      <c r="H49" s="16" t="str">
        <f aca="false">IF(F49="","",IF(G49&lt;&gt;"",G49,IF(E49="JPY",IF(ISNUMBER($L$1),ROUND(F49/$L$1,2),"レート未入力"),F49)))</f>
        <v/>
      </c>
      <c r="I49" s="33"/>
      <c r="J49" s="16" t="str">
        <f aca="false">IF(ISNUMBER(H49),ROUND(H49*IF(I49="",1,I49),2),"")</f>
        <v/>
      </c>
      <c r="K49" s="35"/>
      <c r="L49" s="22" t="str">
        <f aca="false">IF(A49="","",IF(A49&lt;DATE(2025,4,6),"2024/25",IF(A49&lt;DATE(2026,4,6),"2025/26",IF(A49&lt;DATE(2027,4,6),"2026/27","2027/28"))))</f>
        <v/>
      </c>
      <c r="N49" s="13"/>
    </row>
    <row r="50" customFormat="false" ht="15" hidden="false" customHeight="false" outlineLevel="0" collapsed="false">
      <c r="A50" s="31"/>
      <c r="B50" s="13"/>
      <c r="C50" s="13"/>
      <c r="D50" s="32"/>
      <c r="E50" s="32"/>
      <c r="F50" s="14"/>
      <c r="G50" s="23"/>
      <c r="H50" s="16" t="str">
        <f aca="false">IF(F50="","",IF(G50&lt;&gt;"",G50,IF(E50="JPY",IF(ISNUMBER($L$1),ROUND(F50/$L$1,2),"レート未入力"),F50)))</f>
        <v/>
      </c>
      <c r="I50" s="33"/>
      <c r="J50" s="16" t="str">
        <f aca="false">IF(ISNUMBER(H50),ROUND(H50*IF(I50="",1,I50),2),"")</f>
        <v/>
      </c>
      <c r="K50" s="35"/>
      <c r="L50" s="22" t="str">
        <f aca="false">IF(A50="","",IF(A50&lt;DATE(2025,4,6),"2024/25",IF(A50&lt;DATE(2026,4,6),"2025/26",IF(A50&lt;DATE(2027,4,6),"2026/27","2027/28"))))</f>
        <v/>
      </c>
      <c r="N50" s="13"/>
    </row>
    <row r="51" customFormat="false" ht="15" hidden="false" customHeight="false" outlineLevel="0" collapsed="false">
      <c r="A51" s="31"/>
      <c r="B51" s="13"/>
      <c r="C51" s="13"/>
      <c r="D51" s="32"/>
      <c r="E51" s="32"/>
      <c r="F51" s="14"/>
      <c r="G51" s="23"/>
      <c r="H51" s="16" t="str">
        <f aca="false">IF(F51="","",IF(G51&lt;&gt;"",G51,IF(E51="JPY",IF(ISNUMBER($L$1),ROUND(F51/$L$1,2),"レート未入力"),F51)))</f>
        <v/>
      </c>
      <c r="I51" s="33"/>
      <c r="J51" s="16" t="str">
        <f aca="false">IF(ISNUMBER(H51),ROUND(H51*IF(I51="",1,I51),2),"")</f>
        <v/>
      </c>
      <c r="K51" s="35"/>
      <c r="L51" s="22" t="str">
        <f aca="false">IF(A51="","",IF(A51&lt;DATE(2025,4,6),"2024/25",IF(A51&lt;DATE(2026,4,6),"2025/26",IF(A51&lt;DATE(2027,4,6),"2026/27","2027/28"))))</f>
        <v/>
      </c>
      <c r="N51" s="13"/>
    </row>
    <row r="52" customFormat="false" ht="15" hidden="false" customHeight="false" outlineLevel="0" collapsed="false">
      <c r="A52" s="31"/>
      <c r="B52" s="13"/>
      <c r="C52" s="13"/>
      <c r="D52" s="32"/>
      <c r="E52" s="32"/>
      <c r="F52" s="14"/>
      <c r="G52" s="23"/>
      <c r="H52" s="16" t="str">
        <f aca="false">IF(F52="","",IF(G52&lt;&gt;"",G52,IF(E52="JPY",IF(ISNUMBER($L$1),ROUND(F52/$L$1,2),"レート未入力"),F52)))</f>
        <v/>
      </c>
      <c r="I52" s="33"/>
      <c r="J52" s="16" t="str">
        <f aca="false">IF(ISNUMBER(H52),ROUND(H52*IF(I52="",1,I52),2),"")</f>
        <v/>
      </c>
      <c r="K52" s="35"/>
      <c r="L52" s="22" t="str">
        <f aca="false">IF(A52="","",IF(A52&lt;DATE(2025,4,6),"2024/25",IF(A52&lt;DATE(2026,4,6),"2025/26",IF(A52&lt;DATE(2027,4,6),"2026/27","2027/28"))))</f>
        <v/>
      </c>
      <c r="N52" s="13"/>
    </row>
    <row r="53" customFormat="false" ht="15" hidden="false" customHeight="false" outlineLevel="0" collapsed="false">
      <c r="A53" s="31"/>
      <c r="B53" s="13"/>
      <c r="C53" s="13"/>
      <c r="D53" s="32"/>
      <c r="E53" s="32"/>
      <c r="F53" s="14"/>
      <c r="G53" s="23"/>
      <c r="H53" s="16" t="str">
        <f aca="false">IF(F53="","",IF(G53&lt;&gt;"",G53,IF(E53="JPY",IF(ISNUMBER($L$1),ROUND(F53/$L$1,2),"レート未入力"),F53)))</f>
        <v/>
      </c>
      <c r="I53" s="33"/>
      <c r="J53" s="16" t="str">
        <f aca="false">IF(ISNUMBER(H53),ROUND(H53*IF(I53="",1,I53),2),"")</f>
        <v/>
      </c>
      <c r="K53" s="35"/>
      <c r="L53" s="22" t="str">
        <f aca="false">IF(A53="","",IF(A53&lt;DATE(2025,4,6),"2024/25",IF(A53&lt;DATE(2026,4,6),"2025/26",IF(A53&lt;DATE(2027,4,6),"2026/27","2027/28"))))</f>
        <v/>
      </c>
      <c r="N53" s="13"/>
    </row>
    <row r="54" customFormat="false" ht="15" hidden="false" customHeight="false" outlineLevel="0" collapsed="false">
      <c r="A54" s="31"/>
      <c r="B54" s="13"/>
      <c r="C54" s="13"/>
      <c r="D54" s="32"/>
      <c r="E54" s="32"/>
      <c r="F54" s="14"/>
      <c r="G54" s="23"/>
      <c r="H54" s="16" t="str">
        <f aca="false">IF(F54="","",IF(G54&lt;&gt;"",G54,IF(E54="JPY",IF(ISNUMBER($L$1),ROUND(F54/$L$1,2),"レート未入力"),F54)))</f>
        <v/>
      </c>
      <c r="I54" s="33"/>
      <c r="J54" s="16" t="str">
        <f aca="false">IF(ISNUMBER(H54),ROUND(H54*IF(I54="",1,I54),2),"")</f>
        <v/>
      </c>
      <c r="K54" s="35"/>
      <c r="L54" s="22" t="str">
        <f aca="false">IF(A54="","",IF(A54&lt;DATE(2025,4,6),"2024/25",IF(A54&lt;DATE(2026,4,6),"2025/26",IF(A54&lt;DATE(2027,4,6),"2026/27","2027/28"))))</f>
        <v/>
      </c>
      <c r="N54" s="13"/>
    </row>
    <row r="55" customFormat="false" ht="15" hidden="false" customHeight="false" outlineLevel="0" collapsed="false">
      <c r="A55" s="31"/>
      <c r="B55" s="13"/>
      <c r="C55" s="13"/>
      <c r="D55" s="32"/>
      <c r="E55" s="32"/>
      <c r="F55" s="14"/>
      <c r="G55" s="23"/>
      <c r="H55" s="16" t="str">
        <f aca="false">IF(F55="","",IF(G55&lt;&gt;"",G55,IF(E55="JPY",IF(ISNUMBER($L$1),ROUND(F55/$L$1,2),"レート未入力"),F55)))</f>
        <v/>
      </c>
      <c r="I55" s="33"/>
      <c r="J55" s="16" t="str">
        <f aca="false">IF(ISNUMBER(H55),ROUND(H55*IF(I55="",1,I55),2),"")</f>
        <v/>
      </c>
      <c r="K55" s="35"/>
      <c r="L55" s="22" t="str">
        <f aca="false">IF(A55="","",IF(A55&lt;DATE(2025,4,6),"2024/25",IF(A55&lt;DATE(2026,4,6),"2025/26",IF(A55&lt;DATE(2027,4,6),"2026/27","2027/28"))))</f>
        <v/>
      </c>
      <c r="N55" s="13"/>
    </row>
    <row r="56" customFormat="false" ht="15" hidden="false" customHeight="false" outlineLevel="0" collapsed="false">
      <c r="A56" s="31"/>
      <c r="B56" s="13"/>
      <c r="C56" s="13"/>
      <c r="D56" s="32"/>
      <c r="E56" s="32"/>
      <c r="F56" s="14"/>
      <c r="G56" s="23"/>
      <c r="H56" s="16" t="str">
        <f aca="false">IF(F56="","",IF(G56&lt;&gt;"",G56,IF(E56="JPY",IF(ISNUMBER($L$1),ROUND(F56/$L$1,2),"レート未入力"),F56)))</f>
        <v/>
      </c>
      <c r="I56" s="33"/>
      <c r="J56" s="16" t="str">
        <f aca="false">IF(ISNUMBER(H56),ROUND(H56*IF(I56="",1,I56),2),"")</f>
        <v/>
      </c>
      <c r="K56" s="35"/>
      <c r="L56" s="22" t="str">
        <f aca="false">IF(A56="","",IF(A56&lt;DATE(2025,4,6),"2024/25",IF(A56&lt;DATE(2026,4,6),"2025/26",IF(A56&lt;DATE(2027,4,6),"2026/27","2027/28"))))</f>
        <v/>
      </c>
      <c r="N56" s="13"/>
    </row>
    <row r="57" customFormat="false" ht="15" hidden="false" customHeight="false" outlineLevel="0" collapsed="false">
      <c r="A57" s="31"/>
      <c r="B57" s="13"/>
      <c r="C57" s="13"/>
      <c r="D57" s="32"/>
      <c r="E57" s="32"/>
      <c r="F57" s="14"/>
      <c r="G57" s="23"/>
      <c r="H57" s="16" t="str">
        <f aca="false">IF(F57="","",IF(G57&lt;&gt;"",G57,IF(E57="JPY",IF(ISNUMBER($L$1),ROUND(F57/$L$1,2),"レート未入力"),F57)))</f>
        <v/>
      </c>
      <c r="I57" s="33"/>
      <c r="J57" s="16" t="str">
        <f aca="false">IF(ISNUMBER(H57),ROUND(H57*IF(I57="",1,I57),2),"")</f>
        <v/>
      </c>
      <c r="K57" s="35"/>
      <c r="L57" s="22" t="str">
        <f aca="false">IF(A57="","",IF(A57&lt;DATE(2025,4,6),"2024/25",IF(A57&lt;DATE(2026,4,6),"2025/26",IF(A57&lt;DATE(2027,4,6),"2026/27","2027/28"))))</f>
        <v/>
      </c>
      <c r="N57" s="13"/>
    </row>
    <row r="58" customFormat="false" ht="15" hidden="false" customHeight="false" outlineLevel="0" collapsed="false">
      <c r="A58" s="31"/>
      <c r="B58" s="13"/>
      <c r="C58" s="13"/>
      <c r="D58" s="32"/>
      <c r="E58" s="32"/>
      <c r="F58" s="14"/>
      <c r="G58" s="23"/>
      <c r="H58" s="16" t="str">
        <f aca="false">IF(F58="","",IF(G58&lt;&gt;"",G58,IF(E58="JPY",IF(ISNUMBER($L$1),ROUND(F58/$L$1,2),"レート未入力"),F58)))</f>
        <v/>
      </c>
      <c r="I58" s="33"/>
      <c r="J58" s="16" t="str">
        <f aca="false">IF(ISNUMBER(H58),ROUND(H58*IF(I58="",1,I58),2),"")</f>
        <v/>
      </c>
      <c r="K58" s="35"/>
      <c r="L58" s="22" t="str">
        <f aca="false">IF(A58="","",IF(A58&lt;DATE(2025,4,6),"2024/25",IF(A58&lt;DATE(2026,4,6),"2025/26",IF(A58&lt;DATE(2027,4,6),"2026/27","2027/28"))))</f>
        <v/>
      </c>
      <c r="N58" s="13"/>
    </row>
    <row r="59" customFormat="false" ht="15" hidden="false" customHeight="false" outlineLevel="0" collapsed="false">
      <c r="A59" s="31"/>
      <c r="B59" s="13"/>
      <c r="C59" s="13"/>
      <c r="D59" s="32"/>
      <c r="E59" s="32"/>
      <c r="F59" s="14"/>
      <c r="G59" s="23"/>
      <c r="H59" s="16" t="str">
        <f aca="false">IF(F59="","",IF(G59&lt;&gt;"",G59,IF(E59="JPY",IF(ISNUMBER($L$1),ROUND(F59/$L$1,2),"レート未入力"),F59)))</f>
        <v/>
      </c>
      <c r="I59" s="33"/>
      <c r="J59" s="16" t="str">
        <f aca="false">IF(ISNUMBER(H59),ROUND(H59*IF(I59="",1,I59),2),"")</f>
        <v/>
      </c>
      <c r="K59" s="35"/>
      <c r="L59" s="22" t="str">
        <f aca="false">IF(A59="","",IF(A59&lt;DATE(2025,4,6),"2024/25",IF(A59&lt;DATE(2026,4,6),"2025/26",IF(A59&lt;DATE(2027,4,6),"2026/27","2027/28"))))</f>
        <v/>
      </c>
      <c r="N59" s="13"/>
    </row>
    <row r="60" customFormat="false" ht="15" hidden="false" customHeight="false" outlineLevel="0" collapsed="false">
      <c r="A60" s="31"/>
      <c r="B60" s="13"/>
      <c r="C60" s="13"/>
      <c r="D60" s="32"/>
      <c r="E60" s="32"/>
      <c r="F60" s="14"/>
      <c r="G60" s="23"/>
      <c r="H60" s="16" t="str">
        <f aca="false">IF(F60="","",IF(G60&lt;&gt;"",G60,IF(E60="JPY",IF(ISNUMBER($L$1),ROUND(F60/$L$1,2),"レート未入力"),F60)))</f>
        <v/>
      </c>
      <c r="I60" s="33"/>
      <c r="J60" s="16" t="str">
        <f aca="false">IF(ISNUMBER(H60),ROUND(H60*IF(I60="",1,I60),2),"")</f>
        <v/>
      </c>
      <c r="K60" s="35"/>
      <c r="L60" s="22" t="str">
        <f aca="false">IF(A60="","",IF(A60&lt;DATE(2025,4,6),"2024/25",IF(A60&lt;DATE(2026,4,6),"2025/26",IF(A60&lt;DATE(2027,4,6),"2026/27","2027/28"))))</f>
        <v/>
      </c>
      <c r="N60" s="13"/>
    </row>
    <row r="61" customFormat="false" ht="15" hidden="false" customHeight="false" outlineLevel="0" collapsed="false">
      <c r="A61" s="31"/>
      <c r="B61" s="13"/>
      <c r="C61" s="13"/>
      <c r="D61" s="32"/>
      <c r="E61" s="32"/>
      <c r="F61" s="14"/>
      <c r="G61" s="23"/>
      <c r="H61" s="16" t="str">
        <f aca="false">IF(F61="","",IF(G61&lt;&gt;"",G61,IF(E61="JPY",IF(ISNUMBER($L$1),ROUND(F61/$L$1,2),"レート未入力"),F61)))</f>
        <v/>
      </c>
      <c r="I61" s="33"/>
      <c r="J61" s="16" t="str">
        <f aca="false">IF(ISNUMBER(H61),ROUND(H61*IF(I61="",1,I61),2),"")</f>
        <v/>
      </c>
      <c r="K61" s="35"/>
      <c r="L61" s="22" t="str">
        <f aca="false">IF(A61="","",IF(A61&lt;DATE(2025,4,6),"2024/25",IF(A61&lt;DATE(2026,4,6),"2025/26",IF(A61&lt;DATE(2027,4,6),"2026/27","2027/28"))))</f>
        <v/>
      </c>
      <c r="N61" s="13"/>
    </row>
    <row r="62" customFormat="false" ht="15" hidden="false" customHeight="false" outlineLevel="0" collapsed="false">
      <c r="A62" s="31"/>
      <c r="B62" s="13"/>
      <c r="C62" s="13"/>
      <c r="D62" s="32"/>
      <c r="E62" s="32"/>
      <c r="F62" s="14"/>
      <c r="G62" s="23"/>
      <c r="H62" s="16" t="str">
        <f aca="false">IF(F62="","",IF(G62&lt;&gt;"",G62,IF(E62="JPY",IF(ISNUMBER($L$1),ROUND(F62/$L$1,2),"レート未入力"),F62)))</f>
        <v/>
      </c>
      <c r="I62" s="33"/>
      <c r="J62" s="16" t="str">
        <f aca="false">IF(ISNUMBER(H62),ROUND(H62*IF(I62="",1,I62),2),"")</f>
        <v/>
      </c>
      <c r="K62" s="35"/>
      <c r="L62" s="22" t="str">
        <f aca="false">IF(A62="","",IF(A62&lt;DATE(2025,4,6),"2024/25",IF(A62&lt;DATE(2026,4,6),"2025/26",IF(A62&lt;DATE(2027,4,6),"2026/27","2027/28"))))</f>
        <v/>
      </c>
      <c r="N62" s="13"/>
    </row>
    <row r="63" customFormat="false" ht="15" hidden="false" customHeight="false" outlineLevel="0" collapsed="false">
      <c r="A63" s="31"/>
      <c r="B63" s="13"/>
      <c r="C63" s="13"/>
      <c r="D63" s="32"/>
      <c r="E63" s="32"/>
      <c r="F63" s="14"/>
      <c r="G63" s="23"/>
      <c r="H63" s="16" t="str">
        <f aca="false">IF(F63="","",IF(G63&lt;&gt;"",G63,IF(E63="JPY",IF(ISNUMBER($L$1),ROUND(F63/$L$1,2),"レート未入力"),F63)))</f>
        <v/>
      </c>
      <c r="I63" s="33"/>
      <c r="J63" s="16" t="str">
        <f aca="false">IF(ISNUMBER(H63),ROUND(H63*IF(I63="",1,I63),2),"")</f>
        <v/>
      </c>
      <c r="K63" s="35"/>
      <c r="L63" s="22" t="str">
        <f aca="false">IF(A63="","",IF(A63&lt;DATE(2025,4,6),"2024/25",IF(A63&lt;DATE(2026,4,6),"2025/26",IF(A63&lt;DATE(2027,4,6),"2026/27","2027/28"))))</f>
        <v/>
      </c>
      <c r="N63" s="13"/>
    </row>
    <row r="64" customFormat="false" ht="15" hidden="false" customHeight="false" outlineLevel="0" collapsed="false">
      <c r="A64" s="31"/>
      <c r="B64" s="13"/>
      <c r="C64" s="13"/>
      <c r="D64" s="32"/>
      <c r="E64" s="32"/>
      <c r="F64" s="14"/>
      <c r="G64" s="23"/>
      <c r="H64" s="16" t="str">
        <f aca="false">IF(F64="","",IF(G64&lt;&gt;"",G64,IF(E64="JPY",IF(ISNUMBER($L$1),ROUND(F64/$L$1,2),"レート未入力"),F64)))</f>
        <v/>
      </c>
      <c r="I64" s="33"/>
      <c r="J64" s="16" t="str">
        <f aca="false">IF(ISNUMBER(H64),ROUND(H64*IF(I64="",1,I64),2),"")</f>
        <v/>
      </c>
      <c r="K64" s="35"/>
      <c r="L64" s="22" t="str">
        <f aca="false">IF(A64="","",IF(A64&lt;DATE(2025,4,6),"2024/25",IF(A64&lt;DATE(2026,4,6),"2025/26",IF(A64&lt;DATE(2027,4,6),"2026/27","2027/28"))))</f>
        <v/>
      </c>
      <c r="N64" s="13"/>
    </row>
    <row r="65" customFormat="false" ht="15" hidden="false" customHeight="false" outlineLevel="0" collapsed="false">
      <c r="A65" s="31"/>
      <c r="B65" s="13"/>
      <c r="C65" s="13"/>
      <c r="D65" s="32"/>
      <c r="E65" s="32"/>
      <c r="F65" s="14"/>
      <c r="G65" s="23"/>
      <c r="H65" s="16" t="str">
        <f aca="false">IF(F65="","",IF(G65&lt;&gt;"",G65,IF(E65="JPY",IF(ISNUMBER($L$1),ROUND(F65/$L$1,2),"レート未入力"),F65)))</f>
        <v/>
      </c>
      <c r="I65" s="33"/>
      <c r="J65" s="16" t="str">
        <f aca="false">IF(ISNUMBER(H65),ROUND(H65*IF(I65="",1,I65),2),"")</f>
        <v/>
      </c>
      <c r="K65" s="35"/>
      <c r="L65" s="22" t="str">
        <f aca="false">IF(A65="","",IF(A65&lt;DATE(2025,4,6),"2024/25",IF(A65&lt;DATE(2026,4,6),"2025/26",IF(A65&lt;DATE(2027,4,6),"2026/27","2027/28"))))</f>
        <v/>
      </c>
      <c r="N65" s="13"/>
    </row>
    <row r="66" customFormat="false" ht="15" hidden="false" customHeight="false" outlineLevel="0" collapsed="false">
      <c r="A66" s="31"/>
      <c r="B66" s="13"/>
      <c r="C66" s="13"/>
      <c r="D66" s="32"/>
      <c r="E66" s="32"/>
      <c r="F66" s="14"/>
      <c r="G66" s="23"/>
      <c r="H66" s="16" t="str">
        <f aca="false">IF(F66="","",IF(G66&lt;&gt;"",G66,IF(E66="JPY",IF(ISNUMBER($L$1),ROUND(F66/$L$1,2),"レート未入力"),F66)))</f>
        <v/>
      </c>
      <c r="I66" s="33"/>
      <c r="J66" s="16" t="str">
        <f aca="false">IF(ISNUMBER(H66),ROUND(H66*IF(I66="",1,I66),2),"")</f>
        <v/>
      </c>
      <c r="K66" s="35"/>
      <c r="L66" s="22" t="str">
        <f aca="false">IF(A66="","",IF(A66&lt;DATE(2025,4,6),"2024/25",IF(A66&lt;DATE(2026,4,6),"2025/26",IF(A66&lt;DATE(2027,4,6),"2026/27","2027/28"))))</f>
        <v/>
      </c>
      <c r="N66" s="13"/>
    </row>
    <row r="67" customFormat="false" ht="15" hidden="false" customHeight="false" outlineLevel="0" collapsed="false">
      <c r="A67" s="31"/>
      <c r="B67" s="13"/>
      <c r="C67" s="13"/>
      <c r="D67" s="32"/>
      <c r="E67" s="32"/>
      <c r="F67" s="14"/>
      <c r="G67" s="23"/>
      <c r="H67" s="16" t="str">
        <f aca="false">IF(F67="","",IF(G67&lt;&gt;"",G67,IF(E67="JPY",IF(ISNUMBER($L$1),ROUND(F67/$L$1,2),"レート未入力"),F67)))</f>
        <v/>
      </c>
      <c r="I67" s="33"/>
      <c r="J67" s="16" t="str">
        <f aca="false">IF(ISNUMBER(H67),ROUND(H67*IF(I67="",1,I67),2),"")</f>
        <v/>
      </c>
      <c r="K67" s="35"/>
      <c r="L67" s="22" t="str">
        <f aca="false">IF(A67="","",IF(A67&lt;DATE(2025,4,6),"2024/25",IF(A67&lt;DATE(2026,4,6),"2025/26",IF(A67&lt;DATE(2027,4,6),"2026/27","2027/28"))))</f>
        <v/>
      </c>
      <c r="N67" s="13"/>
    </row>
    <row r="68" customFormat="false" ht="15" hidden="false" customHeight="false" outlineLevel="0" collapsed="false">
      <c r="A68" s="31"/>
      <c r="B68" s="13"/>
      <c r="C68" s="13"/>
      <c r="D68" s="32"/>
      <c r="E68" s="32"/>
      <c r="F68" s="14"/>
      <c r="G68" s="23"/>
      <c r="H68" s="16" t="str">
        <f aca="false">IF(F68="","",IF(G68&lt;&gt;"",G68,IF(E68="JPY",IF(ISNUMBER($L$1),ROUND(F68/$L$1,2),"レート未入力"),F68)))</f>
        <v/>
      </c>
      <c r="I68" s="33"/>
      <c r="J68" s="16" t="str">
        <f aca="false">IF(ISNUMBER(H68),ROUND(H68*IF(I68="",1,I68),2),"")</f>
        <v/>
      </c>
      <c r="K68" s="35"/>
      <c r="L68" s="22" t="str">
        <f aca="false">IF(A68="","",IF(A68&lt;DATE(2025,4,6),"2024/25",IF(A68&lt;DATE(2026,4,6),"2025/26",IF(A68&lt;DATE(2027,4,6),"2026/27","2027/28"))))</f>
        <v/>
      </c>
      <c r="N68" s="13"/>
    </row>
    <row r="69" customFormat="false" ht="15" hidden="false" customHeight="false" outlineLevel="0" collapsed="false">
      <c r="A69" s="31"/>
      <c r="B69" s="13"/>
      <c r="C69" s="13"/>
      <c r="D69" s="32"/>
      <c r="E69" s="32"/>
      <c r="F69" s="14"/>
      <c r="G69" s="23"/>
      <c r="H69" s="16" t="str">
        <f aca="false">IF(F69="","",IF(G69&lt;&gt;"",G69,IF(E69="JPY",IF(ISNUMBER($L$1),ROUND(F69/$L$1,2),"レート未入力"),F69)))</f>
        <v/>
      </c>
      <c r="I69" s="33"/>
      <c r="J69" s="16" t="str">
        <f aca="false">IF(ISNUMBER(H69),ROUND(H69*IF(I69="",1,I69),2),"")</f>
        <v/>
      </c>
      <c r="K69" s="35"/>
      <c r="L69" s="22" t="str">
        <f aca="false">IF(A69="","",IF(A69&lt;DATE(2025,4,6),"2024/25",IF(A69&lt;DATE(2026,4,6),"2025/26",IF(A69&lt;DATE(2027,4,6),"2026/27","2027/28"))))</f>
        <v/>
      </c>
      <c r="N69" s="13"/>
    </row>
    <row r="70" customFormat="false" ht="15" hidden="false" customHeight="false" outlineLevel="0" collapsed="false">
      <c r="A70" s="3" t="s">
        <v>196</v>
      </c>
      <c r="J70" s="18" t="n">
        <f aca="false">SUM(J30:J69)</f>
        <v>160.92</v>
      </c>
    </row>
    <row r="72" customFormat="false" ht="15" hidden="false" customHeight="false" outlineLevel="0" collapsed="false">
      <c r="A72" s="26" t="s">
        <v>197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customFormat="false" ht="15" hidden="false" customHeight="false" outlineLevel="0" collapsed="false">
      <c r="A73" s="17" t="s">
        <v>137</v>
      </c>
      <c r="D73" s="36" t="s">
        <v>16</v>
      </c>
      <c r="E73" s="36" t="s">
        <v>18</v>
      </c>
      <c r="F73" s="36"/>
    </row>
    <row r="74" customFormat="false" ht="15" hidden="false" customHeight="false" outlineLevel="0" collapsed="false">
      <c r="A74" s="17" t="s">
        <v>183</v>
      </c>
      <c r="D74" s="18" t="n">
        <f aca="false">SUMIFS($H$6:$H$25,$J$6:$J$25,"2025/26")</f>
        <v>120</v>
      </c>
      <c r="E74" s="18" t="n">
        <f aca="false">SUMIFS($H$6:$H$25,$J$6:$J$25,"2026/27")</f>
        <v>0</v>
      </c>
      <c r="F74" s="18"/>
    </row>
    <row r="75" customFormat="false" ht="15" hidden="false" customHeight="false" outlineLevel="0" collapsed="false">
      <c r="A75" s="21" t="s">
        <v>41</v>
      </c>
      <c r="D75" s="16" t="n">
        <f aca="false">SUMIFS($J$30:$J$69,$D$30:$D$69,$A75,$L$30:$L$69,"2025/26")</f>
        <v>144.93</v>
      </c>
      <c r="E75" s="16" t="n">
        <f aca="false">SUMIFS($J$30:$J$69,$D$30:$D$69,$A75,$L$30:$L$69,"2026/27")</f>
        <v>0</v>
      </c>
      <c r="F75" s="16"/>
    </row>
    <row r="76" customFormat="false" ht="15" hidden="false" customHeight="false" outlineLevel="0" collapsed="false">
      <c r="A76" s="21" t="s">
        <v>43</v>
      </c>
      <c r="D76" s="16" t="n">
        <f aca="false">SUMIFS($J$30:$J$69,$D$30:$D$69,$A76,$L$30:$L$69,"2025/26")</f>
        <v>0</v>
      </c>
      <c r="E76" s="16" t="n">
        <f aca="false">SUMIFS($J$30:$J$69,$D$30:$D$69,$A76,$L$30:$L$69,"2026/27")</f>
        <v>0</v>
      </c>
      <c r="F76" s="16"/>
    </row>
    <row r="77" customFormat="false" ht="15" hidden="false" customHeight="false" outlineLevel="0" collapsed="false">
      <c r="A77" s="21" t="s">
        <v>45</v>
      </c>
      <c r="D77" s="16" t="n">
        <f aca="false">SUMIFS($J$30:$J$69,$D$30:$D$69,$A77,$L$30:$L$69,"2025/26")</f>
        <v>0</v>
      </c>
      <c r="E77" s="16" t="n">
        <f aca="false">SUMIFS($J$30:$J$69,$D$30:$D$69,$A77,$L$30:$L$69,"2026/27")</f>
        <v>0</v>
      </c>
      <c r="F77" s="16"/>
    </row>
    <row r="78" customFormat="false" ht="15" hidden="false" customHeight="false" outlineLevel="0" collapsed="false">
      <c r="A78" s="21" t="s">
        <v>47</v>
      </c>
      <c r="D78" s="16" t="n">
        <f aca="false">SUMIFS($J$30:$J$69,$D$30:$D$69,$A78,$L$30:$L$69,"2025/26")</f>
        <v>0</v>
      </c>
      <c r="E78" s="16" t="n">
        <f aca="false">SUMIFS($J$30:$J$69,$D$30:$D$69,$A78,$L$30:$L$69,"2026/27")</f>
        <v>0</v>
      </c>
      <c r="F78" s="16"/>
    </row>
    <row r="79" customFormat="false" ht="15" hidden="false" customHeight="false" outlineLevel="0" collapsed="false">
      <c r="A79" s="21" t="s">
        <v>49</v>
      </c>
      <c r="D79" s="16" t="n">
        <f aca="false">SUMIFS($J$30:$J$69,$D$30:$D$69,$A79,$L$30:$L$69,"2025/26")</f>
        <v>0</v>
      </c>
      <c r="E79" s="16" t="n">
        <f aca="false">SUMIFS($J$30:$J$69,$D$30:$D$69,$A79,$L$30:$L$69,"2026/27")</f>
        <v>0</v>
      </c>
      <c r="F79" s="16"/>
    </row>
    <row r="80" customFormat="false" ht="15" hidden="false" customHeight="false" outlineLevel="0" collapsed="false">
      <c r="A80" s="21" t="s">
        <v>51</v>
      </c>
      <c r="D80" s="16" t="n">
        <f aca="false">SUMIFS($J$30:$J$69,$D$30:$D$69,$A80,$L$30:$L$69,"2025/26")</f>
        <v>15.99</v>
      </c>
      <c r="E80" s="16" t="n">
        <f aca="false">SUMIFS($J$30:$J$69,$D$30:$D$69,$A80,$L$30:$L$69,"2026/27")</f>
        <v>0</v>
      </c>
      <c r="F80" s="16"/>
    </row>
    <row r="81" customFormat="false" ht="15" hidden="false" customHeight="false" outlineLevel="0" collapsed="false">
      <c r="A81" s="21" t="s">
        <v>53</v>
      </c>
      <c r="D81" s="16" t="n">
        <f aca="false">SUMIFS($J$30:$J$69,$D$30:$D$69,$A81,$L$30:$L$69,"2025/26")</f>
        <v>0</v>
      </c>
      <c r="E81" s="16" t="n">
        <f aca="false">SUMIFS($J$30:$J$69,$D$30:$D$69,$A81,$L$30:$L$69,"2026/27")</f>
        <v>0</v>
      </c>
      <c r="F81" s="16"/>
    </row>
    <row r="82" customFormat="false" ht="15" hidden="false" customHeight="false" outlineLevel="0" collapsed="false">
      <c r="A82" s="21" t="s">
        <v>55</v>
      </c>
      <c r="D82" s="16" t="n">
        <f aca="false">SUMIFS($J$30:$J$69,$D$30:$D$69,$A82,$L$30:$L$69,"2025/26")</f>
        <v>0</v>
      </c>
      <c r="E82" s="16" t="n">
        <f aca="false">SUMIFS($J$30:$J$69,$D$30:$D$69,$A82,$L$30:$L$69,"2026/27")</f>
        <v>0</v>
      </c>
      <c r="F82" s="16"/>
    </row>
    <row r="83" customFormat="false" ht="15" hidden="false" customHeight="false" outlineLevel="0" collapsed="false">
      <c r="A83" s="21" t="s">
        <v>57</v>
      </c>
      <c r="D83" s="16" t="n">
        <f aca="false">SUMIFS($J$30:$J$69,$D$30:$D$69,$A83,$L$30:$L$69,"2025/26")</f>
        <v>0</v>
      </c>
      <c r="E83" s="16" t="n">
        <f aca="false">SUMIFS($J$30:$J$69,$D$30:$D$69,$A83,$L$30:$L$69,"2026/27")</f>
        <v>0</v>
      </c>
      <c r="F83" s="16"/>
    </row>
    <row r="84" customFormat="false" ht="15" hidden="false" customHeight="false" outlineLevel="0" collapsed="false">
      <c r="A84" s="21" t="s">
        <v>59</v>
      </c>
      <c r="D84" s="16" t="n">
        <f aca="false">SUMIFS($J$30:$J$69,$D$30:$D$69,$A84,$L$30:$L$69,"2025/26")</f>
        <v>0</v>
      </c>
      <c r="E84" s="16" t="n">
        <f aca="false">SUMIFS($J$30:$J$69,$D$30:$D$69,$A84,$L$30:$L$69,"2026/27")</f>
        <v>0</v>
      </c>
      <c r="F84" s="16"/>
    </row>
    <row r="85" customFormat="false" ht="15" hidden="false" customHeight="false" outlineLevel="0" collapsed="false">
      <c r="A85" s="21" t="s">
        <v>61</v>
      </c>
      <c r="D85" s="16" t="n">
        <f aca="false">SUMIFS($J$30:$J$69,$D$30:$D$69,$A85,$L$30:$L$69,"2025/26")</f>
        <v>0</v>
      </c>
      <c r="E85" s="16" t="n">
        <f aca="false">SUMIFS($J$30:$J$69,$D$30:$D$69,$A85,$L$30:$L$69,"2026/27")</f>
        <v>0</v>
      </c>
      <c r="F85" s="16"/>
    </row>
    <row r="86" customFormat="false" ht="15" hidden="false" customHeight="false" outlineLevel="0" collapsed="false">
      <c r="A86" s="21" t="s">
        <v>63</v>
      </c>
      <c r="D86" s="16" t="n">
        <f aca="false">SUMIFS($J$30:$J$69,$D$30:$D$69,$A86,$L$30:$L$69,"2025/26")</f>
        <v>0</v>
      </c>
      <c r="E86" s="16" t="n">
        <f aca="false">SUMIFS($J$30:$J$69,$D$30:$D$69,$A86,$L$30:$L$69,"2026/27")</f>
        <v>0</v>
      </c>
      <c r="F86" s="16"/>
    </row>
    <row r="87" customFormat="false" ht="15" hidden="false" customHeight="false" outlineLevel="0" collapsed="false">
      <c r="A87" s="21" t="s">
        <v>64</v>
      </c>
      <c r="D87" s="16" t="n">
        <f aca="false">SUMIFS($J$30:$J$69,$D$30:$D$69,$A87,$L$30:$L$69,"2025/26")</f>
        <v>0</v>
      </c>
      <c r="E87" s="16" t="n">
        <f aca="false">SUMIFS($J$30:$J$69,$D$30:$D$69,$A87,$L$30:$L$69,"2026/27")</f>
        <v>0</v>
      </c>
      <c r="F87" s="16"/>
    </row>
    <row r="88" customFormat="false" ht="15" hidden="false" customHeight="false" outlineLevel="0" collapsed="false">
      <c r="A88" s="17" t="s">
        <v>198</v>
      </c>
      <c r="D88" s="18" t="n">
        <f aca="false">SUM(D75:D86)</f>
        <v>160.92</v>
      </c>
      <c r="E88" s="18" t="n">
        <f aca="false">SUM(E75:E86)</f>
        <v>0</v>
      </c>
      <c r="F88" s="18"/>
    </row>
    <row r="89" customFormat="false" ht="15" hidden="false" customHeight="false" outlineLevel="0" collapsed="false">
      <c r="A89" s="17" t="s">
        <v>199</v>
      </c>
      <c r="D89" s="18" t="n">
        <f aca="false">D74-D88-D87</f>
        <v>-40.92</v>
      </c>
      <c r="E89" s="18" t="n">
        <f aca="false">E74-E88-E87</f>
        <v>0</v>
      </c>
      <c r="F89" s="18"/>
    </row>
    <row r="90" customFormat="false" ht="15" hidden="false" customHeight="false" outlineLevel="0" collapsed="false">
      <c r="A90" s="37" t="s">
        <v>200</v>
      </c>
    </row>
    <row r="91" customFormat="false" ht="15" hidden="false" customHeight="false" outlineLevel="0" collapsed="false">
      <c r="A91" s="21" t="s">
        <v>201</v>
      </c>
      <c r="D91" s="16" t="n">
        <f aca="false">SUMIFS($J$30:$J$69,$D$30:$D$69,"")</f>
        <v>0</v>
      </c>
    </row>
  </sheetData>
  <mergeCells count="17"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</mergeCells>
  <dataValidations count="5">
    <dataValidation allowBlank="true" errorStyle="stop" operator="between" showDropDown="false" showErrorMessage="false" showInputMessage="false" sqref="E6:E25 E30:E69" type="list">
      <formula1>_list!$B$1:$B$2</formula1>
      <formula2>0</formula2>
    </dataValidation>
    <dataValidation allowBlank="true" errorStyle="stop" operator="between" showDropDown="false" showErrorMessage="false" showInputMessage="false" sqref="D30:D69" type="list">
      <formula1>_list!$A$1:$A$13</formula1>
      <formula2>0</formula2>
    </dataValidation>
    <dataValidation allowBlank="true" errorStyle="stop" operator="between" showDropDown="false" showErrorMessage="false" showInputMessage="false" sqref="D6:D25" type="list">
      <formula1>_list!$C$1:$C$7</formula1>
      <formula2>0</formula2>
    </dataValidation>
    <dataValidation allowBlank="true" error="0%〜100%で入力してください" errorStyle="stop" operator="between" showDropDown="false" showErrorMessage="true" showInputMessage="false" sqref="I30:I69" type="decimal">
      <formula1>0</formula1>
      <formula2>1</formula2>
    </dataValidation>
    <dataValidation allowBlank="true" error="日付で入力してください（例：2025/5/2）" errorStyle="stop" operator="between" showDropDown="false" showErrorMessage="true" showInputMessage="false" sqref="A6:A25 A30:A69" type="date">
      <formula1>DATE(2025,4,1)</formula1>
      <formula2>DATE(2027,12,31)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24"/>
  </cols>
  <sheetData>
    <row r="1" customFormat="false" ht="19.4" hidden="false" customHeight="false" outlineLevel="0" collapsed="false">
      <c r="A1" s="1" t="s">
        <v>202</v>
      </c>
      <c r="J1" s="3" t="s">
        <v>164</v>
      </c>
      <c r="L1" s="25" t="str">
        <f aca="false">IF(為替レート!$B$6="","未入力",為替レート!$B$6)</f>
        <v>未入力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26" t="s">
        <v>166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customFormat="false" ht="30" hidden="false" customHeight="true" outlineLevel="0" collapsed="false">
      <c r="A5" s="9" t="s">
        <v>167</v>
      </c>
      <c r="B5" s="9" t="s">
        <v>168</v>
      </c>
      <c r="C5" s="9" t="s">
        <v>169</v>
      </c>
      <c r="D5" s="9" t="s">
        <v>170</v>
      </c>
      <c r="E5" s="9" t="s">
        <v>171</v>
      </c>
      <c r="F5" s="9" t="s">
        <v>172</v>
      </c>
      <c r="G5" s="9" t="s">
        <v>173</v>
      </c>
      <c r="H5" s="9" t="s">
        <v>174</v>
      </c>
      <c r="I5" s="9" t="s">
        <v>175</v>
      </c>
      <c r="J5" s="9" t="s">
        <v>176</v>
      </c>
      <c r="K5" s="9"/>
      <c r="L5" s="9"/>
      <c r="M5" s="9"/>
      <c r="N5" s="9" t="s">
        <v>177</v>
      </c>
    </row>
    <row r="6" customFormat="false" ht="15" hidden="false" customHeight="false" outlineLevel="0" collapsed="false">
      <c r="A6" s="31"/>
      <c r="B6" s="13"/>
      <c r="C6" s="13"/>
      <c r="D6" s="32"/>
      <c r="E6" s="32"/>
      <c r="F6" s="14"/>
      <c r="G6" s="23"/>
      <c r="H6" s="16" t="str">
        <f aca="false">IF(F6="","",IF(G6&lt;&gt;"",G6,IF(E6="JPY",IF(ISNUMBER($L$1),ROUND(F6/$L$1,2),"レート未入力"),F6)))</f>
        <v/>
      </c>
      <c r="I6" s="13"/>
      <c r="J6" s="22" t="str">
        <f aca="false">IF(A6="","",IF(A6&lt;DATE(2025,4,6),"2024/25",IF(A6&lt;DATE(2026,4,6),"2025/26",IF(A6&lt;DATE(2027,4,6),"2026/27","2027/28"))))</f>
        <v/>
      </c>
      <c r="N6" s="13"/>
    </row>
    <row r="7" customFormat="false" ht="15" hidden="false" customHeight="false" outlineLevel="0" collapsed="false">
      <c r="A7" s="31"/>
      <c r="B7" s="13"/>
      <c r="C7" s="13"/>
      <c r="D7" s="32"/>
      <c r="E7" s="32"/>
      <c r="F7" s="14"/>
      <c r="G7" s="23"/>
      <c r="H7" s="16" t="str">
        <f aca="false">IF(F7="","",IF(G7&lt;&gt;"",G7,IF(E7="JPY",IF(ISNUMBER($L$1),ROUND(F7/$L$1,2),"レート未入力"),F7)))</f>
        <v/>
      </c>
      <c r="I7" s="13"/>
      <c r="J7" s="22" t="str">
        <f aca="false">IF(A7="","",IF(A7&lt;DATE(2025,4,6),"2024/25",IF(A7&lt;DATE(2026,4,6),"2025/26",IF(A7&lt;DATE(2027,4,6),"2026/27","2027/28"))))</f>
        <v/>
      </c>
      <c r="N7" s="13"/>
    </row>
    <row r="8" customFormat="false" ht="15" hidden="false" customHeight="false" outlineLevel="0" collapsed="false">
      <c r="A8" s="31"/>
      <c r="B8" s="13"/>
      <c r="C8" s="13"/>
      <c r="D8" s="32"/>
      <c r="E8" s="32"/>
      <c r="F8" s="14"/>
      <c r="G8" s="23"/>
      <c r="H8" s="16" t="str">
        <f aca="false">IF(F8="","",IF(G8&lt;&gt;"",G8,IF(E8="JPY",IF(ISNUMBER($L$1),ROUND(F8/$L$1,2),"レート未入力"),F8)))</f>
        <v/>
      </c>
      <c r="I8" s="13"/>
      <c r="J8" s="22" t="str">
        <f aca="false">IF(A8="","",IF(A8&lt;DATE(2025,4,6),"2024/25",IF(A8&lt;DATE(2026,4,6),"2025/26",IF(A8&lt;DATE(2027,4,6),"2026/27","2027/28"))))</f>
        <v/>
      </c>
      <c r="N8" s="13"/>
    </row>
    <row r="9" customFormat="false" ht="15" hidden="false" customHeight="false" outlineLevel="0" collapsed="false">
      <c r="A9" s="31"/>
      <c r="B9" s="13"/>
      <c r="C9" s="13"/>
      <c r="D9" s="32"/>
      <c r="E9" s="32"/>
      <c r="F9" s="14"/>
      <c r="G9" s="23"/>
      <c r="H9" s="16" t="str">
        <f aca="false">IF(F9="","",IF(G9&lt;&gt;"",G9,IF(E9="JPY",IF(ISNUMBER($L$1),ROUND(F9/$L$1,2),"レート未入力"),F9)))</f>
        <v/>
      </c>
      <c r="I9" s="13"/>
      <c r="J9" s="22" t="str">
        <f aca="false">IF(A9="","",IF(A9&lt;DATE(2025,4,6),"2024/25",IF(A9&lt;DATE(2026,4,6),"2025/26",IF(A9&lt;DATE(2027,4,6),"2026/27","2027/28"))))</f>
        <v/>
      </c>
      <c r="N9" s="13"/>
    </row>
    <row r="10" customFormat="false" ht="15" hidden="false" customHeight="false" outlineLevel="0" collapsed="false">
      <c r="A10" s="31"/>
      <c r="B10" s="13"/>
      <c r="C10" s="13"/>
      <c r="D10" s="32"/>
      <c r="E10" s="32"/>
      <c r="F10" s="14"/>
      <c r="G10" s="23"/>
      <c r="H10" s="16" t="str">
        <f aca="false">IF(F10="","",IF(G10&lt;&gt;"",G10,IF(E10="JPY",IF(ISNUMBER($L$1),ROUND(F10/$L$1,2),"レート未入力"),F10)))</f>
        <v/>
      </c>
      <c r="I10" s="13"/>
      <c r="J10" s="22" t="str">
        <f aca="false">IF(A10="","",IF(A10&lt;DATE(2025,4,6),"2024/25",IF(A10&lt;DATE(2026,4,6),"2025/26",IF(A10&lt;DATE(2027,4,6),"2026/27","2027/28"))))</f>
        <v/>
      </c>
      <c r="N10" s="13"/>
    </row>
    <row r="11" customFormat="false" ht="15" hidden="false" customHeight="false" outlineLevel="0" collapsed="false">
      <c r="A11" s="31"/>
      <c r="B11" s="13"/>
      <c r="C11" s="13"/>
      <c r="D11" s="32"/>
      <c r="E11" s="32"/>
      <c r="F11" s="14"/>
      <c r="G11" s="23"/>
      <c r="H11" s="16" t="str">
        <f aca="false">IF(F11="","",IF(G11&lt;&gt;"",G11,IF(E11="JPY",IF(ISNUMBER($L$1),ROUND(F11/$L$1,2),"レート未入力"),F11)))</f>
        <v/>
      </c>
      <c r="I11" s="13"/>
      <c r="J11" s="22" t="str">
        <f aca="false">IF(A11="","",IF(A11&lt;DATE(2025,4,6),"2024/25",IF(A11&lt;DATE(2026,4,6),"2025/26",IF(A11&lt;DATE(2027,4,6),"2026/27","2027/28"))))</f>
        <v/>
      </c>
      <c r="N11" s="13"/>
    </row>
    <row r="12" customFormat="false" ht="15" hidden="false" customHeight="false" outlineLevel="0" collapsed="false">
      <c r="A12" s="31"/>
      <c r="B12" s="13"/>
      <c r="C12" s="13"/>
      <c r="D12" s="32"/>
      <c r="E12" s="32"/>
      <c r="F12" s="14"/>
      <c r="G12" s="23"/>
      <c r="H12" s="16" t="str">
        <f aca="false">IF(F12="","",IF(G12&lt;&gt;"",G12,IF(E12="JPY",IF(ISNUMBER($L$1),ROUND(F12/$L$1,2),"レート未入力"),F12)))</f>
        <v/>
      </c>
      <c r="I12" s="13"/>
      <c r="J12" s="22" t="str">
        <f aca="false">IF(A12="","",IF(A12&lt;DATE(2025,4,6),"2024/25",IF(A12&lt;DATE(2026,4,6),"2025/26",IF(A12&lt;DATE(2027,4,6),"2026/27","2027/28"))))</f>
        <v/>
      </c>
      <c r="N12" s="13"/>
    </row>
    <row r="13" customFormat="false" ht="15" hidden="false" customHeight="false" outlineLevel="0" collapsed="false">
      <c r="A13" s="31"/>
      <c r="B13" s="13"/>
      <c r="C13" s="13"/>
      <c r="D13" s="32"/>
      <c r="E13" s="32"/>
      <c r="F13" s="14"/>
      <c r="G13" s="23"/>
      <c r="H13" s="16" t="str">
        <f aca="false">IF(F13="","",IF(G13&lt;&gt;"",G13,IF(E13="JPY",IF(ISNUMBER($L$1),ROUND(F13/$L$1,2),"レート未入力"),F13)))</f>
        <v/>
      </c>
      <c r="I13" s="13"/>
      <c r="J13" s="22" t="str">
        <f aca="false">IF(A13="","",IF(A13&lt;DATE(2025,4,6),"2024/25",IF(A13&lt;DATE(2026,4,6),"2025/26",IF(A13&lt;DATE(2027,4,6),"2026/27","2027/28"))))</f>
        <v/>
      </c>
      <c r="N13" s="13"/>
    </row>
    <row r="14" customFormat="false" ht="15" hidden="false" customHeight="false" outlineLevel="0" collapsed="false">
      <c r="A14" s="31"/>
      <c r="B14" s="13"/>
      <c r="C14" s="13"/>
      <c r="D14" s="32"/>
      <c r="E14" s="32"/>
      <c r="F14" s="14"/>
      <c r="G14" s="23"/>
      <c r="H14" s="16" t="str">
        <f aca="false">IF(F14="","",IF(G14&lt;&gt;"",G14,IF(E14="JPY",IF(ISNUMBER($L$1),ROUND(F14/$L$1,2),"レート未入力"),F14)))</f>
        <v/>
      </c>
      <c r="I14" s="13"/>
      <c r="J14" s="22" t="str">
        <f aca="false">IF(A14="","",IF(A14&lt;DATE(2025,4,6),"2024/25",IF(A14&lt;DATE(2026,4,6),"2025/26",IF(A14&lt;DATE(2027,4,6),"2026/27","2027/28"))))</f>
        <v/>
      </c>
      <c r="N14" s="13"/>
    </row>
    <row r="15" customFormat="false" ht="15" hidden="false" customHeight="false" outlineLevel="0" collapsed="false">
      <c r="A15" s="31"/>
      <c r="B15" s="13"/>
      <c r="C15" s="13"/>
      <c r="D15" s="32"/>
      <c r="E15" s="32"/>
      <c r="F15" s="14"/>
      <c r="G15" s="23"/>
      <c r="H15" s="16" t="str">
        <f aca="false">IF(F15="","",IF(G15&lt;&gt;"",G15,IF(E15="JPY",IF(ISNUMBER($L$1),ROUND(F15/$L$1,2),"レート未入力"),F15)))</f>
        <v/>
      </c>
      <c r="I15" s="13"/>
      <c r="J15" s="22" t="str">
        <f aca="false">IF(A15="","",IF(A15&lt;DATE(2025,4,6),"2024/25",IF(A15&lt;DATE(2026,4,6),"2025/26",IF(A15&lt;DATE(2027,4,6),"2026/27","2027/28"))))</f>
        <v/>
      </c>
      <c r="N15" s="13"/>
    </row>
    <row r="16" customFormat="false" ht="15" hidden="false" customHeight="false" outlineLevel="0" collapsed="false">
      <c r="A16" s="31"/>
      <c r="B16" s="13"/>
      <c r="C16" s="13"/>
      <c r="D16" s="32"/>
      <c r="E16" s="32"/>
      <c r="F16" s="14"/>
      <c r="G16" s="23"/>
      <c r="H16" s="16" t="str">
        <f aca="false">IF(F16="","",IF(G16&lt;&gt;"",G16,IF(E16="JPY",IF(ISNUMBER($L$1),ROUND(F16/$L$1,2),"レート未入力"),F16)))</f>
        <v/>
      </c>
      <c r="I16" s="13"/>
      <c r="J16" s="22" t="str">
        <f aca="false">IF(A16="","",IF(A16&lt;DATE(2025,4,6),"2024/25",IF(A16&lt;DATE(2026,4,6),"2025/26",IF(A16&lt;DATE(2027,4,6),"2026/27","2027/28"))))</f>
        <v/>
      </c>
      <c r="N16" s="13"/>
    </row>
    <row r="17" customFormat="false" ht="15" hidden="false" customHeight="false" outlineLevel="0" collapsed="false">
      <c r="A17" s="31"/>
      <c r="B17" s="13"/>
      <c r="C17" s="13"/>
      <c r="D17" s="32"/>
      <c r="E17" s="32"/>
      <c r="F17" s="14"/>
      <c r="G17" s="23"/>
      <c r="H17" s="16" t="str">
        <f aca="false">IF(F17="","",IF(G17&lt;&gt;"",G17,IF(E17="JPY",IF(ISNUMBER($L$1),ROUND(F17/$L$1,2),"レート未入力"),F17)))</f>
        <v/>
      </c>
      <c r="I17" s="13"/>
      <c r="J17" s="22" t="str">
        <f aca="false">IF(A17="","",IF(A17&lt;DATE(2025,4,6),"2024/25",IF(A17&lt;DATE(2026,4,6),"2025/26",IF(A17&lt;DATE(2027,4,6),"2026/27","2027/28"))))</f>
        <v/>
      </c>
      <c r="N17" s="13"/>
    </row>
    <row r="18" customFormat="false" ht="15" hidden="false" customHeight="false" outlineLevel="0" collapsed="false">
      <c r="A18" s="31"/>
      <c r="B18" s="13"/>
      <c r="C18" s="13"/>
      <c r="D18" s="32"/>
      <c r="E18" s="32"/>
      <c r="F18" s="14"/>
      <c r="G18" s="23"/>
      <c r="H18" s="16" t="str">
        <f aca="false">IF(F18="","",IF(G18&lt;&gt;"",G18,IF(E18="JPY",IF(ISNUMBER($L$1),ROUND(F18/$L$1,2),"レート未入力"),F18)))</f>
        <v/>
      </c>
      <c r="I18" s="13"/>
      <c r="J18" s="22" t="str">
        <f aca="false">IF(A18="","",IF(A18&lt;DATE(2025,4,6),"2024/25",IF(A18&lt;DATE(2026,4,6),"2025/26",IF(A18&lt;DATE(2027,4,6),"2026/27","2027/28"))))</f>
        <v/>
      </c>
      <c r="N18" s="13"/>
    </row>
    <row r="19" customFormat="false" ht="15" hidden="false" customHeight="false" outlineLevel="0" collapsed="false">
      <c r="A19" s="31"/>
      <c r="B19" s="13"/>
      <c r="C19" s="13"/>
      <c r="D19" s="32"/>
      <c r="E19" s="32"/>
      <c r="F19" s="14"/>
      <c r="G19" s="23"/>
      <c r="H19" s="16" t="str">
        <f aca="false">IF(F19="","",IF(G19&lt;&gt;"",G19,IF(E19="JPY",IF(ISNUMBER($L$1),ROUND(F19/$L$1,2),"レート未入力"),F19)))</f>
        <v/>
      </c>
      <c r="I19" s="13"/>
      <c r="J19" s="22" t="str">
        <f aca="false">IF(A19="","",IF(A19&lt;DATE(2025,4,6),"2024/25",IF(A19&lt;DATE(2026,4,6),"2025/26",IF(A19&lt;DATE(2027,4,6),"2026/27","2027/28"))))</f>
        <v/>
      </c>
      <c r="N19" s="13"/>
    </row>
    <row r="20" customFormat="false" ht="15" hidden="false" customHeight="false" outlineLevel="0" collapsed="false">
      <c r="A20" s="31"/>
      <c r="B20" s="13"/>
      <c r="C20" s="13"/>
      <c r="D20" s="32"/>
      <c r="E20" s="32"/>
      <c r="F20" s="14"/>
      <c r="G20" s="23"/>
      <c r="H20" s="16" t="str">
        <f aca="false">IF(F20="","",IF(G20&lt;&gt;"",G20,IF(E20="JPY",IF(ISNUMBER($L$1),ROUND(F20/$L$1,2),"レート未入力"),F20)))</f>
        <v/>
      </c>
      <c r="I20" s="13"/>
      <c r="J20" s="22" t="str">
        <f aca="false">IF(A20="","",IF(A20&lt;DATE(2025,4,6),"2024/25",IF(A20&lt;DATE(2026,4,6),"2025/26",IF(A20&lt;DATE(2027,4,6),"2026/27","2027/28"))))</f>
        <v/>
      </c>
      <c r="N20" s="13"/>
    </row>
    <row r="21" customFormat="false" ht="15" hidden="false" customHeight="false" outlineLevel="0" collapsed="false">
      <c r="A21" s="31"/>
      <c r="B21" s="13"/>
      <c r="C21" s="13"/>
      <c r="D21" s="32"/>
      <c r="E21" s="32"/>
      <c r="F21" s="14"/>
      <c r="G21" s="23"/>
      <c r="H21" s="16" t="str">
        <f aca="false">IF(F21="","",IF(G21&lt;&gt;"",G21,IF(E21="JPY",IF(ISNUMBER($L$1),ROUND(F21/$L$1,2),"レート未入力"),F21)))</f>
        <v/>
      </c>
      <c r="I21" s="13"/>
      <c r="J21" s="22" t="str">
        <f aca="false">IF(A21="","",IF(A21&lt;DATE(2025,4,6),"2024/25",IF(A21&lt;DATE(2026,4,6),"2025/26",IF(A21&lt;DATE(2027,4,6),"2026/27","2027/28"))))</f>
        <v/>
      </c>
      <c r="N21" s="13"/>
    </row>
    <row r="22" customFormat="false" ht="15" hidden="false" customHeight="false" outlineLevel="0" collapsed="false">
      <c r="A22" s="31"/>
      <c r="B22" s="13"/>
      <c r="C22" s="13"/>
      <c r="D22" s="32"/>
      <c r="E22" s="32"/>
      <c r="F22" s="14"/>
      <c r="G22" s="23"/>
      <c r="H22" s="16" t="str">
        <f aca="false">IF(F22="","",IF(G22&lt;&gt;"",G22,IF(E22="JPY",IF(ISNUMBER($L$1),ROUND(F22/$L$1,2),"レート未入力"),F22)))</f>
        <v/>
      </c>
      <c r="I22" s="13"/>
      <c r="J22" s="22" t="str">
        <f aca="false">IF(A22="","",IF(A22&lt;DATE(2025,4,6),"2024/25",IF(A22&lt;DATE(2026,4,6),"2025/26",IF(A22&lt;DATE(2027,4,6),"2026/27","2027/28"))))</f>
        <v/>
      </c>
      <c r="N22" s="13"/>
    </row>
    <row r="23" customFormat="false" ht="15" hidden="false" customHeight="false" outlineLevel="0" collapsed="false">
      <c r="A23" s="31"/>
      <c r="B23" s="13"/>
      <c r="C23" s="13"/>
      <c r="D23" s="32"/>
      <c r="E23" s="32"/>
      <c r="F23" s="14"/>
      <c r="G23" s="23"/>
      <c r="H23" s="16" t="str">
        <f aca="false">IF(F23="","",IF(G23&lt;&gt;"",G23,IF(E23="JPY",IF(ISNUMBER($L$1),ROUND(F23/$L$1,2),"レート未入力"),F23)))</f>
        <v/>
      </c>
      <c r="I23" s="13"/>
      <c r="J23" s="22" t="str">
        <f aca="false">IF(A23="","",IF(A23&lt;DATE(2025,4,6),"2024/25",IF(A23&lt;DATE(2026,4,6),"2025/26",IF(A23&lt;DATE(2027,4,6),"2026/27","2027/28"))))</f>
        <v/>
      </c>
      <c r="N23" s="13"/>
    </row>
    <row r="24" customFormat="false" ht="15" hidden="false" customHeight="false" outlineLevel="0" collapsed="false">
      <c r="A24" s="31"/>
      <c r="B24" s="13"/>
      <c r="C24" s="13"/>
      <c r="D24" s="32"/>
      <c r="E24" s="32"/>
      <c r="F24" s="14"/>
      <c r="G24" s="23"/>
      <c r="H24" s="16" t="str">
        <f aca="false">IF(F24="","",IF(G24&lt;&gt;"",G24,IF(E24="JPY",IF(ISNUMBER($L$1),ROUND(F24/$L$1,2),"レート未入力"),F24)))</f>
        <v/>
      </c>
      <c r="I24" s="13"/>
      <c r="J24" s="22" t="str">
        <f aca="false">IF(A24="","",IF(A24&lt;DATE(2025,4,6),"2024/25",IF(A24&lt;DATE(2026,4,6),"2025/26",IF(A24&lt;DATE(2027,4,6),"2026/27","2027/28"))))</f>
        <v/>
      </c>
      <c r="N24" s="13"/>
    </row>
    <row r="25" customFormat="false" ht="15" hidden="false" customHeight="false" outlineLevel="0" collapsed="false">
      <c r="A25" s="31"/>
      <c r="B25" s="13"/>
      <c r="C25" s="13"/>
      <c r="D25" s="32"/>
      <c r="E25" s="32"/>
      <c r="F25" s="14"/>
      <c r="G25" s="23"/>
      <c r="H25" s="16" t="str">
        <f aca="false">IF(F25="","",IF(G25&lt;&gt;"",G25,IF(E25="JPY",IF(ISNUMBER($L$1),ROUND(F25/$L$1,2),"レート未入力"),F25)))</f>
        <v/>
      </c>
      <c r="I25" s="13"/>
      <c r="J25" s="22" t="str">
        <f aca="false">IF(A25="","",IF(A25&lt;DATE(2025,4,6),"2024/25",IF(A25&lt;DATE(2026,4,6),"2025/26",IF(A25&lt;DATE(2027,4,6),"2026/27","2027/28"))))</f>
        <v/>
      </c>
      <c r="N25" s="13"/>
    </row>
    <row r="26" customFormat="false" ht="15" hidden="false" customHeight="false" outlineLevel="0" collapsed="false">
      <c r="A26" s="3" t="s">
        <v>183</v>
      </c>
      <c r="H26" s="18" t="n">
        <f aca="false">SUM(H6:H25)</f>
        <v>0</v>
      </c>
    </row>
    <row r="28" customFormat="false" ht="15" hidden="false" customHeight="false" outlineLevel="0" collapsed="false">
      <c r="A28" s="26" t="s">
        <v>184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</row>
    <row r="29" customFormat="false" ht="30" hidden="false" customHeight="true" outlineLevel="0" collapsed="false">
      <c r="A29" s="9" t="s">
        <v>167</v>
      </c>
      <c r="B29" s="9" t="s">
        <v>185</v>
      </c>
      <c r="C29" s="9" t="s">
        <v>169</v>
      </c>
      <c r="D29" s="9" t="s">
        <v>38</v>
      </c>
      <c r="E29" s="9" t="s">
        <v>171</v>
      </c>
      <c r="F29" s="9" t="s">
        <v>172</v>
      </c>
      <c r="G29" s="9" t="s">
        <v>173</v>
      </c>
      <c r="H29" s="10" t="s">
        <v>186</v>
      </c>
      <c r="I29" s="9" t="s">
        <v>187</v>
      </c>
      <c r="J29" s="9" t="s">
        <v>188</v>
      </c>
      <c r="K29" s="9" t="s">
        <v>189</v>
      </c>
      <c r="L29" s="9" t="s">
        <v>176</v>
      </c>
      <c r="M29" s="9"/>
      <c r="N29" s="9" t="s">
        <v>177</v>
      </c>
    </row>
    <row r="30" customFormat="false" ht="15" hidden="false" customHeight="false" outlineLevel="0" collapsed="false">
      <c r="A30" s="31"/>
      <c r="B30" s="13"/>
      <c r="C30" s="13"/>
      <c r="D30" s="32"/>
      <c r="E30" s="32"/>
      <c r="F30" s="14"/>
      <c r="G30" s="23"/>
      <c r="H30" s="16" t="str">
        <f aca="false">IF(F30="","",IF(G30&lt;&gt;"",G30,IF(E30="JPY",IF(ISNUMBER($L$1),ROUND(F30/$L$1,2),"レート未入力"),F30)))</f>
        <v/>
      </c>
      <c r="I30" s="33"/>
      <c r="J30" s="16" t="str">
        <f aca="false">IF(ISNUMBER(H30),ROUND(H30*IF(I30="",1,I30),2),"")</f>
        <v/>
      </c>
      <c r="K30" s="35"/>
      <c r="L30" s="22" t="str">
        <f aca="false">IF(A30="","",IF(A30&lt;DATE(2025,4,6),"2024/25",IF(A30&lt;DATE(2026,4,6),"2025/26",IF(A30&lt;DATE(2027,4,6),"2026/27","2027/28"))))</f>
        <v/>
      </c>
      <c r="N30" s="13"/>
    </row>
    <row r="31" customFormat="false" ht="15" hidden="false" customHeight="false" outlineLevel="0" collapsed="false">
      <c r="A31" s="31"/>
      <c r="B31" s="13"/>
      <c r="C31" s="13"/>
      <c r="D31" s="32"/>
      <c r="E31" s="32"/>
      <c r="F31" s="14"/>
      <c r="G31" s="23"/>
      <c r="H31" s="16" t="str">
        <f aca="false">IF(F31="","",IF(G31&lt;&gt;"",G31,IF(E31="JPY",IF(ISNUMBER($L$1),ROUND(F31/$L$1,2),"レート未入力"),F31)))</f>
        <v/>
      </c>
      <c r="I31" s="33"/>
      <c r="J31" s="16" t="str">
        <f aca="false">IF(ISNUMBER(H31),ROUND(H31*IF(I31="",1,I31),2),"")</f>
        <v/>
      </c>
      <c r="K31" s="35"/>
      <c r="L31" s="22" t="str">
        <f aca="false">IF(A31="","",IF(A31&lt;DATE(2025,4,6),"2024/25",IF(A31&lt;DATE(2026,4,6),"2025/26",IF(A31&lt;DATE(2027,4,6),"2026/27","2027/28"))))</f>
        <v/>
      </c>
      <c r="N31" s="13"/>
    </row>
    <row r="32" customFormat="false" ht="15" hidden="false" customHeight="false" outlineLevel="0" collapsed="false">
      <c r="A32" s="31"/>
      <c r="B32" s="13"/>
      <c r="C32" s="13"/>
      <c r="D32" s="32"/>
      <c r="E32" s="32"/>
      <c r="F32" s="14"/>
      <c r="G32" s="23"/>
      <c r="H32" s="16" t="str">
        <f aca="false">IF(F32="","",IF(G32&lt;&gt;"",G32,IF(E32="JPY",IF(ISNUMBER($L$1),ROUND(F32/$L$1,2),"レート未入力"),F32)))</f>
        <v/>
      </c>
      <c r="I32" s="33"/>
      <c r="J32" s="16" t="str">
        <f aca="false">IF(ISNUMBER(H32),ROUND(H32*IF(I32="",1,I32),2),"")</f>
        <v/>
      </c>
      <c r="K32" s="35"/>
      <c r="L32" s="22" t="str">
        <f aca="false">IF(A32="","",IF(A32&lt;DATE(2025,4,6),"2024/25",IF(A32&lt;DATE(2026,4,6),"2025/26",IF(A32&lt;DATE(2027,4,6),"2026/27","2027/28"))))</f>
        <v/>
      </c>
      <c r="N32" s="13"/>
    </row>
    <row r="33" customFormat="false" ht="15" hidden="false" customHeight="false" outlineLevel="0" collapsed="false">
      <c r="A33" s="31"/>
      <c r="B33" s="13"/>
      <c r="C33" s="13"/>
      <c r="D33" s="32"/>
      <c r="E33" s="32"/>
      <c r="F33" s="14"/>
      <c r="G33" s="23"/>
      <c r="H33" s="16" t="str">
        <f aca="false">IF(F33="","",IF(G33&lt;&gt;"",G33,IF(E33="JPY",IF(ISNUMBER($L$1),ROUND(F33/$L$1,2),"レート未入力"),F33)))</f>
        <v/>
      </c>
      <c r="I33" s="33"/>
      <c r="J33" s="16" t="str">
        <f aca="false">IF(ISNUMBER(H33),ROUND(H33*IF(I33="",1,I33),2),"")</f>
        <v/>
      </c>
      <c r="K33" s="35"/>
      <c r="L33" s="22" t="str">
        <f aca="false">IF(A33="","",IF(A33&lt;DATE(2025,4,6),"2024/25",IF(A33&lt;DATE(2026,4,6),"2025/26",IF(A33&lt;DATE(2027,4,6),"2026/27","2027/28"))))</f>
        <v/>
      </c>
      <c r="N33" s="13"/>
    </row>
    <row r="34" customFormat="false" ht="15" hidden="false" customHeight="false" outlineLevel="0" collapsed="false">
      <c r="A34" s="31"/>
      <c r="B34" s="13"/>
      <c r="C34" s="13"/>
      <c r="D34" s="32"/>
      <c r="E34" s="32"/>
      <c r="F34" s="14"/>
      <c r="G34" s="23"/>
      <c r="H34" s="16" t="str">
        <f aca="false">IF(F34="","",IF(G34&lt;&gt;"",G34,IF(E34="JPY",IF(ISNUMBER($L$1),ROUND(F34/$L$1,2),"レート未入力"),F34)))</f>
        <v/>
      </c>
      <c r="I34" s="33"/>
      <c r="J34" s="16" t="str">
        <f aca="false">IF(ISNUMBER(H34),ROUND(H34*IF(I34="",1,I34),2),"")</f>
        <v/>
      </c>
      <c r="K34" s="35"/>
      <c r="L34" s="22" t="str">
        <f aca="false">IF(A34="","",IF(A34&lt;DATE(2025,4,6),"2024/25",IF(A34&lt;DATE(2026,4,6),"2025/26",IF(A34&lt;DATE(2027,4,6),"2026/27","2027/28"))))</f>
        <v/>
      </c>
      <c r="N34" s="13"/>
    </row>
    <row r="35" customFormat="false" ht="15" hidden="false" customHeight="false" outlineLevel="0" collapsed="false">
      <c r="A35" s="31"/>
      <c r="B35" s="13"/>
      <c r="C35" s="13"/>
      <c r="D35" s="32"/>
      <c r="E35" s="32"/>
      <c r="F35" s="14"/>
      <c r="G35" s="23"/>
      <c r="H35" s="16" t="str">
        <f aca="false">IF(F35="","",IF(G35&lt;&gt;"",G35,IF(E35="JPY",IF(ISNUMBER($L$1),ROUND(F35/$L$1,2),"レート未入力"),F35)))</f>
        <v/>
      </c>
      <c r="I35" s="33"/>
      <c r="J35" s="16" t="str">
        <f aca="false">IF(ISNUMBER(H35),ROUND(H35*IF(I35="",1,I35),2),"")</f>
        <v/>
      </c>
      <c r="K35" s="35"/>
      <c r="L35" s="22" t="str">
        <f aca="false">IF(A35="","",IF(A35&lt;DATE(2025,4,6),"2024/25",IF(A35&lt;DATE(2026,4,6),"2025/26",IF(A35&lt;DATE(2027,4,6),"2026/27","2027/28"))))</f>
        <v/>
      </c>
      <c r="N35" s="13"/>
    </row>
    <row r="36" customFormat="false" ht="15" hidden="false" customHeight="false" outlineLevel="0" collapsed="false">
      <c r="A36" s="31"/>
      <c r="B36" s="13"/>
      <c r="C36" s="13"/>
      <c r="D36" s="32"/>
      <c r="E36" s="32"/>
      <c r="F36" s="14"/>
      <c r="G36" s="23"/>
      <c r="H36" s="16" t="str">
        <f aca="false">IF(F36="","",IF(G36&lt;&gt;"",G36,IF(E36="JPY",IF(ISNUMBER($L$1),ROUND(F36/$L$1,2),"レート未入力"),F36)))</f>
        <v/>
      </c>
      <c r="I36" s="33"/>
      <c r="J36" s="16" t="str">
        <f aca="false">IF(ISNUMBER(H36),ROUND(H36*IF(I36="",1,I36),2),"")</f>
        <v/>
      </c>
      <c r="K36" s="35"/>
      <c r="L36" s="22" t="str">
        <f aca="false">IF(A36="","",IF(A36&lt;DATE(2025,4,6),"2024/25",IF(A36&lt;DATE(2026,4,6),"2025/26",IF(A36&lt;DATE(2027,4,6),"2026/27","2027/28"))))</f>
        <v/>
      </c>
      <c r="N36" s="13"/>
    </row>
    <row r="37" customFormat="false" ht="15" hidden="false" customHeight="false" outlineLevel="0" collapsed="false">
      <c r="A37" s="31"/>
      <c r="B37" s="13"/>
      <c r="C37" s="13"/>
      <c r="D37" s="32"/>
      <c r="E37" s="32"/>
      <c r="F37" s="14"/>
      <c r="G37" s="23"/>
      <c r="H37" s="16" t="str">
        <f aca="false">IF(F37="","",IF(G37&lt;&gt;"",G37,IF(E37="JPY",IF(ISNUMBER($L$1),ROUND(F37/$L$1,2),"レート未入力"),F37)))</f>
        <v/>
      </c>
      <c r="I37" s="33"/>
      <c r="J37" s="16" t="str">
        <f aca="false">IF(ISNUMBER(H37),ROUND(H37*IF(I37="",1,I37),2),"")</f>
        <v/>
      </c>
      <c r="K37" s="35"/>
      <c r="L37" s="22" t="str">
        <f aca="false">IF(A37="","",IF(A37&lt;DATE(2025,4,6),"2024/25",IF(A37&lt;DATE(2026,4,6),"2025/26",IF(A37&lt;DATE(2027,4,6),"2026/27","2027/28"))))</f>
        <v/>
      </c>
      <c r="N37" s="13"/>
    </row>
    <row r="38" customFormat="false" ht="15" hidden="false" customHeight="false" outlineLevel="0" collapsed="false">
      <c r="A38" s="31"/>
      <c r="B38" s="13"/>
      <c r="C38" s="13"/>
      <c r="D38" s="32"/>
      <c r="E38" s="32"/>
      <c r="F38" s="14"/>
      <c r="G38" s="23"/>
      <c r="H38" s="16" t="str">
        <f aca="false">IF(F38="","",IF(G38&lt;&gt;"",G38,IF(E38="JPY",IF(ISNUMBER($L$1),ROUND(F38/$L$1,2),"レート未入力"),F38)))</f>
        <v/>
      </c>
      <c r="I38" s="33"/>
      <c r="J38" s="16" t="str">
        <f aca="false">IF(ISNUMBER(H38),ROUND(H38*IF(I38="",1,I38),2),"")</f>
        <v/>
      </c>
      <c r="K38" s="35"/>
      <c r="L38" s="22" t="str">
        <f aca="false">IF(A38="","",IF(A38&lt;DATE(2025,4,6),"2024/25",IF(A38&lt;DATE(2026,4,6),"2025/26",IF(A38&lt;DATE(2027,4,6),"2026/27","2027/28"))))</f>
        <v/>
      </c>
      <c r="N38" s="13"/>
    </row>
    <row r="39" customFormat="false" ht="15" hidden="false" customHeight="false" outlineLevel="0" collapsed="false">
      <c r="A39" s="31"/>
      <c r="B39" s="13"/>
      <c r="C39" s="13"/>
      <c r="D39" s="32"/>
      <c r="E39" s="32"/>
      <c r="F39" s="14"/>
      <c r="G39" s="23"/>
      <c r="H39" s="16" t="str">
        <f aca="false">IF(F39="","",IF(G39&lt;&gt;"",G39,IF(E39="JPY",IF(ISNUMBER($L$1),ROUND(F39/$L$1,2),"レート未入力"),F39)))</f>
        <v/>
      </c>
      <c r="I39" s="33"/>
      <c r="J39" s="16" t="str">
        <f aca="false">IF(ISNUMBER(H39),ROUND(H39*IF(I39="",1,I39),2),"")</f>
        <v/>
      </c>
      <c r="K39" s="35"/>
      <c r="L39" s="22" t="str">
        <f aca="false">IF(A39="","",IF(A39&lt;DATE(2025,4,6),"2024/25",IF(A39&lt;DATE(2026,4,6),"2025/26",IF(A39&lt;DATE(2027,4,6),"2026/27","2027/28"))))</f>
        <v/>
      </c>
      <c r="N39" s="13"/>
    </row>
    <row r="40" customFormat="false" ht="15" hidden="false" customHeight="false" outlineLevel="0" collapsed="false">
      <c r="A40" s="31"/>
      <c r="B40" s="13"/>
      <c r="C40" s="13"/>
      <c r="D40" s="32"/>
      <c r="E40" s="32"/>
      <c r="F40" s="14"/>
      <c r="G40" s="23"/>
      <c r="H40" s="16" t="str">
        <f aca="false">IF(F40="","",IF(G40&lt;&gt;"",G40,IF(E40="JPY",IF(ISNUMBER($L$1),ROUND(F40/$L$1,2),"レート未入力"),F40)))</f>
        <v/>
      </c>
      <c r="I40" s="33"/>
      <c r="J40" s="16" t="str">
        <f aca="false">IF(ISNUMBER(H40),ROUND(H40*IF(I40="",1,I40),2),"")</f>
        <v/>
      </c>
      <c r="K40" s="35"/>
      <c r="L40" s="22" t="str">
        <f aca="false">IF(A40="","",IF(A40&lt;DATE(2025,4,6),"2024/25",IF(A40&lt;DATE(2026,4,6),"2025/26",IF(A40&lt;DATE(2027,4,6),"2026/27","2027/28"))))</f>
        <v/>
      </c>
      <c r="N40" s="13"/>
    </row>
    <row r="41" customFormat="false" ht="15" hidden="false" customHeight="false" outlineLevel="0" collapsed="false">
      <c r="A41" s="31"/>
      <c r="B41" s="13"/>
      <c r="C41" s="13"/>
      <c r="D41" s="32"/>
      <c r="E41" s="32"/>
      <c r="F41" s="14"/>
      <c r="G41" s="23"/>
      <c r="H41" s="16" t="str">
        <f aca="false">IF(F41="","",IF(G41&lt;&gt;"",G41,IF(E41="JPY",IF(ISNUMBER($L$1),ROUND(F41/$L$1,2),"レート未入力"),F41)))</f>
        <v/>
      </c>
      <c r="I41" s="33"/>
      <c r="J41" s="16" t="str">
        <f aca="false">IF(ISNUMBER(H41),ROUND(H41*IF(I41="",1,I41),2),"")</f>
        <v/>
      </c>
      <c r="K41" s="35"/>
      <c r="L41" s="22" t="str">
        <f aca="false">IF(A41="","",IF(A41&lt;DATE(2025,4,6),"2024/25",IF(A41&lt;DATE(2026,4,6),"2025/26",IF(A41&lt;DATE(2027,4,6),"2026/27","2027/28"))))</f>
        <v/>
      </c>
      <c r="N41" s="13"/>
    </row>
    <row r="42" customFormat="false" ht="15" hidden="false" customHeight="false" outlineLevel="0" collapsed="false">
      <c r="A42" s="31"/>
      <c r="B42" s="13"/>
      <c r="C42" s="13"/>
      <c r="D42" s="32"/>
      <c r="E42" s="32"/>
      <c r="F42" s="14"/>
      <c r="G42" s="23"/>
      <c r="H42" s="16" t="str">
        <f aca="false">IF(F42="","",IF(G42&lt;&gt;"",G42,IF(E42="JPY",IF(ISNUMBER($L$1),ROUND(F42/$L$1,2),"レート未入力"),F42)))</f>
        <v/>
      </c>
      <c r="I42" s="33"/>
      <c r="J42" s="16" t="str">
        <f aca="false">IF(ISNUMBER(H42),ROUND(H42*IF(I42="",1,I42),2),"")</f>
        <v/>
      </c>
      <c r="K42" s="35"/>
      <c r="L42" s="22" t="str">
        <f aca="false">IF(A42="","",IF(A42&lt;DATE(2025,4,6),"2024/25",IF(A42&lt;DATE(2026,4,6),"2025/26",IF(A42&lt;DATE(2027,4,6),"2026/27","2027/28"))))</f>
        <v/>
      </c>
      <c r="N42" s="13"/>
    </row>
    <row r="43" customFormat="false" ht="15" hidden="false" customHeight="false" outlineLevel="0" collapsed="false">
      <c r="A43" s="31"/>
      <c r="B43" s="13"/>
      <c r="C43" s="13"/>
      <c r="D43" s="32"/>
      <c r="E43" s="32"/>
      <c r="F43" s="14"/>
      <c r="G43" s="23"/>
      <c r="H43" s="16" t="str">
        <f aca="false">IF(F43="","",IF(G43&lt;&gt;"",G43,IF(E43="JPY",IF(ISNUMBER($L$1),ROUND(F43/$L$1,2),"レート未入力"),F43)))</f>
        <v/>
      </c>
      <c r="I43" s="33"/>
      <c r="J43" s="16" t="str">
        <f aca="false">IF(ISNUMBER(H43),ROUND(H43*IF(I43="",1,I43),2),"")</f>
        <v/>
      </c>
      <c r="K43" s="35"/>
      <c r="L43" s="22" t="str">
        <f aca="false">IF(A43="","",IF(A43&lt;DATE(2025,4,6),"2024/25",IF(A43&lt;DATE(2026,4,6),"2025/26",IF(A43&lt;DATE(2027,4,6),"2026/27","2027/28"))))</f>
        <v/>
      </c>
      <c r="N43" s="13"/>
    </row>
    <row r="44" customFormat="false" ht="15" hidden="false" customHeight="false" outlineLevel="0" collapsed="false">
      <c r="A44" s="31"/>
      <c r="B44" s="13"/>
      <c r="C44" s="13"/>
      <c r="D44" s="32"/>
      <c r="E44" s="32"/>
      <c r="F44" s="14"/>
      <c r="G44" s="23"/>
      <c r="H44" s="16" t="str">
        <f aca="false">IF(F44="","",IF(G44&lt;&gt;"",G44,IF(E44="JPY",IF(ISNUMBER($L$1),ROUND(F44/$L$1,2),"レート未入力"),F44)))</f>
        <v/>
      </c>
      <c r="I44" s="33"/>
      <c r="J44" s="16" t="str">
        <f aca="false">IF(ISNUMBER(H44),ROUND(H44*IF(I44="",1,I44),2),"")</f>
        <v/>
      </c>
      <c r="K44" s="35"/>
      <c r="L44" s="22" t="str">
        <f aca="false">IF(A44="","",IF(A44&lt;DATE(2025,4,6),"2024/25",IF(A44&lt;DATE(2026,4,6),"2025/26",IF(A44&lt;DATE(2027,4,6),"2026/27","2027/28"))))</f>
        <v/>
      </c>
      <c r="N44" s="13"/>
    </row>
    <row r="45" customFormat="false" ht="15" hidden="false" customHeight="false" outlineLevel="0" collapsed="false">
      <c r="A45" s="31"/>
      <c r="B45" s="13"/>
      <c r="C45" s="13"/>
      <c r="D45" s="32"/>
      <c r="E45" s="32"/>
      <c r="F45" s="14"/>
      <c r="G45" s="23"/>
      <c r="H45" s="16" t="str">
        <f aca="false">IF(F45="","",IF(G45&lt;&gt;"",G45,IF(E45="JPY",IF(ISNUMBER($L$1),ROUND(F45/$L$1,2),"レート未入力"),F45)))</f>
        <v/>
      </c>
      <c r="I45" s="33"/>
      <c r="J45" s="16" t="str">
        <f aca="false">IF(ISNUMBER(H45),ROUND(H45*IF(I45="",1,I45),2),"")</f>
        <v/>
      </c>
      <c r="K45" s="35"/>
      <c r="L45" s="22" t="str">
        <f aca="false">IF(A45="","",IF(A45&lt;DATE(2025,4,6),"2024/25",IF(A45&lt;DATE(2026,4,6),"2025/26",IF(A45&lt;DATE(2027,4,6),"2026/27","2027/28"))))</f>
        <v/>
      </c>
      <c r="N45" s="13"/>
    </row>
    <row r="46" customFormat="false" ht="15" hidden="false" customHeight="false" outlineLevel="0" collapsed="false">
      <c r="A46" s="31"/>
      <c r="B46" s="13"/>
      <c r="C46" s="13"/>
      <c r="D46" s="32"/>
      <c r="E46" s="32"/>
      <c r="F46" s="14"/>
      <c r="G46" s="23"/>
      <c r="H46" s="16" t="str">
        <f aca="false">IF(F46="","",IF(G46&lt;&gt;"",G46,IF(E46="JPY",IF(ISNUMBER($L$1),ROUND(F46/$L$1,2),"レート未入力"),F46)))</f>
        <v/>
      </c>
      <c r="I46" s="33"/>
      <c r="J46" s="16" t="str">
        <f aca="false">IF(ISNUMBER(H46),ROUND(H46*IF(I46="",1,I46),2),"")</f>
        <v/>
      </c>
      <c r="K46" s="35"/>
      <c r="L46" s="22" t="str">
        <f aca="false">IF(A46="","",IF(A46&lt;DATE(2025,4,6),"2024/25",IF(A46&lt;DATE(2026,4,6),"2025/26",IF(A46&lt;DATE(2027,4,6),"2026/27","2027/28"))))</f>
        <v/>
      </c>
      <c r="N46" s="13"/>
    </row>
    <row r="47" customFormat="false" ht="15" hidden="false" customHeight="false" outlineLevel="0" collapsed="false">
      <c r="A47" s="31"/>
      <c r="B47" s="13"/>
      <c r="C47" s="13"/>
      <c r="D47" s="32"/>
      <c r="E47" s="32"/>
      <c r="F47" s="14"/>
      <c r="G47" s="23"/>
      <c r="H47" s="16" t="str">
        <f aca="false">IF(F47="","",IF(G47&lt;&gt;"",G47,IF(E47="JPY",IF(ISNUMBER($L$1),ROUND(F47/$L$1,2),"レート未入力"),F47)))</f>
        <v/>
      </c>
      <c r="I47" s="33"/>
      <c r="J47" s="16" t="str">
        <f aca="false">IF(ISNUMBER(H47),ROUND(H47*IF(I47="",1,I47),2),"")</f>
        <v/>
      </c>
      <c r="K47" s="35"/>
      <c r="L47" s="22" t="str">
        <f aca="false">IF(A47="","",IF(A47&lt;DATE(2025,4,6),"2024/25",IF(A47&lt;DATE(2026,4,6),"2025/26",IF(A47&lt;DATE(2027,4,6),"2026/27","2027/28"))))</f>
        <v/>
      </c>
      <c r="N47" s="13"/>
    </row>
    <row r="48" customFormat="false" ht="15" hidden="false" customHeight="false" outlineLevel="0" collapsed="false">
      <c r="A48" s="31"/>
      <c r="B48" s="13"/>
      <c r="C48" s="13"/>
      <c r="D48" s="32"/>
      <c r="E48" s="32"/>
      <c r="F48" s="14"/>
      <c r="G48" s="23"/>
      <c r="H48" s="16" t="str">
        <f aca="false">IF(F48="","",IF(G48&lt;&gt;"",G48,IF(E48="JPY",IF(ISNUMBER($L$1),ROUND(F48/$L$1,2),"レート未入力"),F48)))</f>
        <v/>
      </c>
      <c r="I48" s="33"/>
      <c r="J48" s="16" t="str">
        <f aca="false">IF(ISNUMBER(H48),ROUND(H48*IF(I48="",1,I48),2),"")</f>
        <v/>
      </c>
      <c r="K48" s="35"/>
      <c r="L48" s="22" t="str">
        <f aca="false">IF(A48="","",IF(A48&lt;DATE(2025,4,6),"2024/25",IF(A48&lt;DATE(2026,4,6),"2025/26",IF(A48&lt;DATE(2027,4,6),"2026/27","2027/28"))))</f>
        <v/>
      </c>
      <c r="N48" s="13"/>
    </row>
    <row r="49" customFormat="false" ht="15" hidden="false" customHeight="false" outlineLevel="0" collapsed="false">
      <c r="A49" s="31"/>
      <c r="B49" s="13"/>
      <c r="C49" s="13"/>
      <c r="D49" s="32"/>
      <c r="E49" s="32"/>
      <c r="F49" s="14"/>
      <c r="G49" s="23"/>
      <c r="H49" s="16" t="str">
        <f aca="false">IF(F49="","",IF(G49&lt;&gt;"",G49,IF(E49="JPY",IF(ISNUMBER($L$1),ROUND(F49/$L$1,2),"レート未入力"),F49)))</f>
        <v/>
      </c>
      <c r="I49" s="33"/>
      <c r="J49" s="16" t="str">
        <f aca="false">IF(ISNUMBER(H49),ROUND(H49*IF(I49="",1,I49),2),"")</f>
        <v/>
      </c>
      <c r="K49" s="35"/>
      <c r="L49" s="22" t="str">
        <f aca="false">IF(A49="","",IF(A49&lt;DATE(2025,4,6),"2024/25",IF(A49&lt;DATE(2026,4,6),"2025/26",IF(A49&lt;DATE(2027,4,6),"2026/27","2027/28"))))</f>
        <v/>
      </c>
      <c r="N49" s="13"/>
    </row>
    <row r="50" customFormat="false" ht="15" hidden="false" customHeight="false" outlineLevel="0" collapsed="false">
      <c r="A50" s="31"/>
      <c r="B50" s="13"/>
      <c r="C50" s="13"/>
      <c r="D50" s="32"/>
      <c r="E50" s="32"/>
      <c r="F50" s="14"/>
      <c r="G50" s="23"/>
      <c r="H50" s="16" t="str">
        <f aca="false">IF(F50="","",IF(G50&lt;&gt;"",G50,IF(E50="JPY",IF(ISNUMBER($L$1),ROUND(F50/$L$1,2),"レート未入力"),F50)))</f>
        <v/>
      </c>
      <c r="I50" s="33"/>
      <c r="J50" s="16" t="str">
        <f aca="false">IF(ISNUMBER(H50),ROUND(H50*IF(I50="",1,I50),2),"")</f>
        <v/>
      </c>
      <c r="K50" s="35"/>
      <c r="L50" s="22" t="str">
        <f aca="false">IF(A50="","",IF(A50&lt;DATE(2025,4,6),"2024/25",IF(A50&lt;DATE(2026,4,6),"2025/26",IF(A50&lt;DATE(2027,4,6),"2026/27","2027/28"))))</f>
        <v/>
      </c>
      <c r="N50" s="13"/>
    </row>
    <row r="51" customFormat="false" ht="15" hidden="false" customHeight="false" outlineLevel="0" collapsed="false">
      <c r="A51" s="31"/>
      <c r="B51" s="13"/>
      <c r="C51" s="13"/>
      <c r="D51" s="32"/>
      <c r="E51" s="32"/>
      <c r="F51" s="14"/>
      <c r="G51" s="23"/>
      <c r="H51" s="16" t="str">
        <f aca="false">IF(F51="","",IF(G51&lt;&gt;"",G51,IF(E51="JPY",IF(ISNUMBER($L$1),ROUND(F51/$L$1,2),"レート未入力"),F51)))</f>
        <v/>
      </c>
      <c r="I51" s="33"/>
      <c r="J51" s="16" t="str">
        <f aca="false">IF(ISNUMBER(H51),ROUND(H51*IF(I51="",1,I51),2),"")</f>
        <v/>
      </c>
      <c r="K51" s="35"/>
      <c r="L51" s="22" t="str">
        <f aca="false">IF(A51="","",IF(A51&lt;DATE(2025,4,6),"2024/25",IF(A51&lt;DATE(2026,4,6),"2025/26",IF(A51&lt;DATE(2027,4,6),"2026/27","2027/28"))))</f>
        <v/>
      </c>
      <c r="N51" s="13"/>
    </row>
    <row r="52" customFormat="false" ht="15" hidden="false" customHeight="false" outlineLevel="0" collapsed="false">
      <c r="A52" s="31"/>
      <c r="B52" s="13"/>
      <c r="C52" s="13"/>
      <c r="D52" s="32"/>
      <c r="E52" s="32"/>
      <c r="F52" s="14"/>
      <c r="G52" s="23"/>
      <c r="H52" s="16" t="str">
        <f aca="false">IF(F52="","",IF(G52&lt;&gt;"",G52,IF(E52="JPY",IF(ISNUMBER($L$1),ROUND(F52/$L$1,2),"レート未入力"),F52)))</f>
        <v/>
      </c>
      <c r="I52" s="33"/>
      <c r="J52" s="16" t="str">
        <f aca="false">IF(ISNUMBER(H52),ROUND(H52*IF(I52="",1,I52),2),"")</f>
        <v/>
      </c>
      <c r="K52" s="35"/>
      <c r="L52" s="22" t="str">
        <f aca="false">IF(A52="","",IF(A52&lt;DATE(2025,4,6),"2024/25",IF(A52&lt;DATE(2026,4,6),"2025/26",IF(A52&lt;DATE(2027,4,6),"2026/27","2027/28"))))</f>
        <v/>
      </c>
      <c r="N52" s="13"/>
    </row>
    <row r="53" customFormat="false" ht="15" hidden="false" customHeight="false" outlineLevel="0" collapsed="false">
      <c r="A53" s="31"/>
      <c r="B53" s="13"/>
      <c r="C53" s="13"/>
      <c r="D53" s="32"/>
      <c r="E53" s="32"/>
      <c r="F53" s="14"/>
      <c r="G53" s="23"/>
      <c r="H53" s="16" t="str">
        <f aca="false">IF(F53="","",IF(G53&lt;&gt;"",G53,IF(E53="JPY",IF(ISNUMBER($L$1),ROUND(F53/$L$1,2),"レート未入力"),F53)))</f>
        <v/>
      </c>
      <c r="I53" s="33"/>
      <c r="J53" s="16" t="str">
        <f aca="false">IF(ISNUMBER(H53),ROUND(H53*IF(I53="",1,I53),2),"")</f>
        <v/>
      </c>
      <c r="K53" s="35"/>
      <c r="L53" s="22" t="str">
        <f aca="false">IF(A53="","",IF(A53&lt;DATE(2025,4,6),"2024/25",IF(A53&lt;DATE(2026,4,6),"2025/26",IF(A53&lt;DATE(2027,4,6),"2026/27","2027/28"))))</f>
        <v/>
      </c>
      <c r="N53" s="13"/>
    </row>
    <row r="54" customFormat="false" ht="15" hidden="false" customHeight="false" outlineLevel="0" collapsed="false">
      <c r="A54" s="31"/>
      <c r="B54" s="13"/>
      <c r="C54" s="13"/>
      <c r="D54" s="32"/>
      <c r="E54" s="32"/>
      <c r="F54" s="14"/>
      <c r="G54" s="23"/>
      <c r="H54" s="16" t="str">
        <f aca="false">IF(F54="","",IF(G54&lt;&gt;"",G54,IF(E54="JPY",IF(ISNUMBER($L$1),ROUND(F54/$L$1,2),"レート未入力"),F54)))</f>
        <v/>
      </c>
      <c r="I54" s="33"/>
      <c r="J54" s="16" t="str">
        <f aca="false">IF(ISNUMBER(H54),ROUND(H54*IF(I54="",1,I54),2),"")</f>
        <v/>
      </c>
      <c r="K54" s="35"/>
      <c r="L54" s="22" t="str">
        <f aca="false">IF(A54="","",IF(A54&lt;DATE(2025,4,6),"2024/25",IF(A54&lt;DATE(2026,4,6),"2025/26",IF(A54&lt;DATE(2027,4,6),"2026/27","2027/28"))))</f>
        <v/>
      </c>
      <c r="N54" s="13"/>
    </row>
    <row r="55" customFormat="false" ht="15" hidden="false" customHeight="false" outlineLevel="0" collapsed="false">
      <c r="A55" s="31"/>
      <c r="B55" s="13"/>
      <c r="C55" s="13"/>
      <c r="D55" s="32"/>
      <c r="E55" s="32"/>
      <c r="F55" s="14"/>
      <c r="G55" s="23"/>
      <c r="H55" s="16" t="str">
        <f aca="false">IF(F55="","",IF(G55&lt;&gt;"",G55,IF(E55="JPY",IF(ISNUMBER($L$1),ROUND(F55/$L$1,2),"レート未入力"),F55)))</f>
        <v/>
      </c>
      <c r="I55" s="33"/>
      <c r="J55" s="16" t="str">
        <f aca="false">IF(ISNUMBER(H55),ROUND(H55*IF(I55="",1,I55),2),"")</f>
        <v/>
      </c>
      <c r="K55" s="35"/>
      <c r="L55" s="22" t="str">
        <f aca="false">IF(A55="","",IF(A55&lt;DATE(2025,4,6),"2024/25",IF(A55&lt;DATE(2026,4,6),"2025/26",IF(A55&lt;DATE(2027,4,6),"2026/27","2027/28"))))</f>
        <v/>
      </c>
      <c r="N55" s="13"/>
    </row>
    <row r="56" customFormat="false" ht="15" hidden="false" customHeight="false" outlineLevel="0" collapsed="false">
      <c r="A56" s="31"/>
      <c r="B56" s="13"/>
      <c r="C56" s="13"/>
      <c r="D56" s="32"/>
      <c r="E56" s="32"/>
      <c r="F56" s="14"/>
      <c r="G56" s="23"/>
      <c r="H56" s="16" t="str">
        <f aca="false">IF(F56="","",IF(G56&lt;&gt;"",G56,IF(E56="JPY",IF(ISNUMBER($L$1),ROUND(F56/$L$1,2),"レート未入力"),F56)))</f>
        <v/>
      </c>
      <c r="I56" s="33"/>
      <c r="J56" s="16" t="str">
        <f aca="false">IF(ISNUMBER(H56),ROUND(H56*IF(I56="",1,I56),2),"")</f>
        <v/>
      </c>
      <c r="K56" s="35"/>
      <c r="L56" s="22" t="str">
        <f aca="false">IF(A56="","",IF(A56&lt;DATE(2025,4,6),"2024/25",IF(A56&lt;DATE(2026,4,6),"2025/26",IF(A56&lt;DATE(2027,4,6),"2026/27","2027/28"))))</f>
        <v/>
      </c>
      <c r="N56" s="13"/>
    </row>
    <row r="57" customFormat="false" ht="15" hidden="false" customHeight="false" outlineLevel="0" collapsed="false">
      <c r="A57" s="31"/>
      <c r="B57" s="13"/>
      <c r="C57" s="13"/>
      <c r="D57" s="32"/>
      <c r="E57" s="32"/>
      <c r="F57" s="14"/>
      <c r="G57" s="23"/>
      <c r="H57" s="16" t="str">
        <f aca="false">IF(F57="","",IF(G57&lt;&gt;"",G57,IF(E57="JPY",IF(ISNUMBER($L$1),ROUND(F57/$L$1,2),"レート未入力"),F57)))</f>
        <v/>
      </c>
      <c r="I57" s="33"/>
      <c r="J57" s="16" t="str">
        <f aca="false">IF(ISNUMBER(H57),ROUND(H57*IF(I57="",1,I57),2),"")</f>
        <v/>
      </c>
      <c r="K57" s="35"/>
      <c r="L57" s="22" t="str">
        <f aca="false">IF(A57="","",IF(A57&lt;DATE(2025,4,6),"2024/25",IF(A57&lt;DATE(2026,4,6),"2025/26",IF(A57&lt;DATE(2027,4,6),"2026/27","2027/28"))))</f>
        <v/>
      </c>
      <c r="N57" s="13"/>
    </row>
    <row r="58" customFormat="false" ht="15" hidden="false" customHeight="false" outlineLevel="0" collapsed="false">
      <c r="A58" s="31"/>
      <c r="B58" s="13"/>
      <c r="C58" s="13"/>
      <c r="D58" s="32"/>
      <c r="E58" s="32"/>
      <c r="F58" s="14"/>
      <c r="G58" s="23"/>
      <c r="H58" s="16" t="str">
        <f aca="false">IF(F58="","",IF(G58&lt;&gt;"",G58,IF(E58="JPY",IF(ISNUMBER($L$1),ROUND(F58/$L$1,2),"レート未入力"),F58)))</f>
        <v/>
      </c>
      <c r="I58" s="33"/>
      <c r="J58" s="16" t="str">
        <f aca="false">IF(ISNUMBER(H58),ROUND(H58*IF(I58="",1,I58),2),"")</f>
        <v/>
      </c>
      <c r="K58" s="35"/>
      <c r="L58" s="22" t="str">
        <f aca="false">IF(A58="","",IF(A58&lt;DATE(2025,4,6),"2024/25",IF(A58&lt;DATE(2026,4,6),"2025/26",IF(A58&lt;DATE(2027,4,6),"2026/27","2027/28"))))</f>
        <v/>
      </c>
      <c r="N58" s="13"/>
    </row>
    <row r="59" customFormat="false" ht="15" hidden="false" customHeight="false" outlineLevel="0" collapsed="false">
      <c r="A59" s="31"/>
      <c r="B59" s="13"/>
      <c r="C59" s="13"/>
      <c r="D59" s="32"/>
      <c r="E59" s="32"/>
      <c r="F59" s="14"/>
      <c r="G59" s="23"/>
      <c r="H59" s="16" t="str">
        <f aca="false">IF(F59="","",IF(G59&lt;&gt;"",G59,IF(E59="JPY",IF(ISNUMBER($L$1),ROUND(F59/$L$1,2),"レート未入力"),F59)))</f>
        <v/>
      </c>
      <c r="I59" s="33"/>
      <c r="J59" s="16" t="str">
        <f aca="false">IF(ISNUMBER(H59),ROUND(H59*IF(I59="",1,I59),2),"")</f>
        <v/>
      </c>
      <c r="K59" s="35"/>
      <c r="L59" s="22" t="str">
        <f aca="false">IF(A59="","",IF(A59&lt;DATE(2025,4,6),"2024/25",IF(A59&lt;DATE(2026,4,6),"2025/26",IF(A59&lt;DATE(2027,4,6),"2026/27","2027/28"))))</f>
        <v/>
      </c>
      <c r="N59" s="13"/>
    </row>
    <row r="60" customFormat="false" ht="15" hidden="false" customHeight="false" outlineLevel="0" collapsed="false">
      <c r="A60" s="31"/>
      <c r="B60" s="13"/>
      <c r="C60" s="13"/>
      <c r="D60" s="32"/>
      <c r="E60" s="32"/>
      <c r="F60" s="14"/>
      <c r="G60" s="23"/>
      <c r="H60" s="16" t="str">
        <f aca="false">IF(F60="","",IF(G60&lt;&gt;"",G60,IF(E60="JPY",IF(ISNUMBER($L$1),ROUND(F60/$L$1,2),"レート未入力"),F60)))</f>
        <v/>
      </c>
      <c r="I60" s="33"/>
      <c r="J60" s="16" t="str">
        <f aca="false">IF(ISNUMBER(H60),ROUND(H60*IF(I60="",1,I60),2),"")</f>
        <v/>
      </c>
      <c r="K60" s="35"/>
      <c r="L60" s="22" t="str">
        <f aca="false">IF(A60="","",IF(A60&lt;DATE(2025,4,6),"2024/25",IF(A60&lt;DATE(2026,4,6),"2025/26",IF(A60&lt;DATE(2027,4,6),"2026/27","2027/28"))))</f>
        <v/>
      </c>
      <c r="N60" s="13"/>
    </row>
    <row r="61" customFormat="false" ht="15" hidden="false" customHeight="false" outlineLevel="0" collapsed="false">
      <c r="A61" s="31"/>
      <c r="B61" s="13"/>
      <c r="C61" s="13"/>
      <c r="D61" s="32"/>
      <c r="E61" s="32"/>
      <c r="F61" s="14"/>
      <c r="G61" s="23"/>
      <c r="H61" s="16" t="str">
        <f aca="false">IF(F61="","",IF(G61&lt;&gt;"",G61,IF(E61="JPY",IF(ISNUMBER($L$1),ROUND(F61/$L$1,2),"レート未入力"),F61)))</f>
        <v/>
      </c>
      <c r="I61" s="33"/>
      <c r="J61" s="16" t="str">
        <f aca="false">IF(ISNUMBER(H61),ROUND(H61*IF(I61="",1,I61),2),"")</f>
        <v/>
      </c>
      <c r="K61" s="35"/>
      <c r="L61" s="22" t="str">
        <f aca="false">IF(A61="","",IF(A61&lt;DATE(2025,4,6),"2024/25",IF(A61&lt;DATE(2026,4,6),"2025/26",IF(A61&lt;DATE(2027,4,6),"2026/27","2027/28"))))</f>
        <v/>
      </c>
      <c r="N61" s="13"/>
    </row>
    <row r="62" customFormat="false" ht="15" hidden="false" customHeight="false" outlineLevel="0" collapsed="false">
      <c r="A62" s="31"/>
      <c r="B62" s="13"/>
      <c r="C62" s="13"/>
      <c r="D62" s="32"/>
      <c r="E62" s="32"/>
      <c r="F62" s="14"/>
      <c r="G62" s="23"/>
      <c r="H62" s="16" t="str">
        <f aca="false">IF(F62="","",IF(G62&lt;&gt;"",G62,IF(E62="JPY",IF(ISNUMBER($L$1),ROUND(F62/$L$1,2),"レート未入力"),F62)))</f>
        <v/>
      </c>
      <c r="I62" s="33"/>
      <c r="J62" s="16" t="str">
        <f aca="false">IF(ISNUMBER(H62),ROUND(H62*IF(I62="",1,I62),2),"")</f>
        <v/>
      </c>
      <c r="K62" s="35"/>
      <c r="L62" s="22" t="str">
        <f aca="false">IF(A62="","",IF(A62&lt;DATE(2025,4,6),"2024/25",IF(A62&lt;DATE(2026,4,6),"2025/26",IF(A62&lt;DATE(2027,4,6),"2026/27","2027/28"))))</f>
        <v/>
      </c>
      <c r="N62" s="13"/>
    </row>
    <row r="63" customFormat="false" ht="15" hidden="false" customHeight="false" outlineLevel="0" collapsed="false">
      <c r="A63" s="31"/>
      <c r="B63" s="13"/>
      <c r="C63" s="13"/>
      <c r="D63" s="32"/>
      <c r="E63" s="32"/>
      <c r="F63" s="14"/>
      <c r="G63" s="23"/>
      <c r="H63" s="16" t="str">
        <f aca="false">IF(F63="","",IF(G63&lt;&gt;"",G63,IF(E63="JPY",IF(ISNUMBER($L$1),ROUND(F63/$L$1,2),"レート未入力"),F63)))</f>
        <v/>
      </c>
      <c r="I63" s="33"/>
      <c r="J63" s="16" t="str">
        <f aca="false">IF(ISNUMBER(H63),ROUND(H63*IF(I63="",1,I63),2),"")</f>
        <v/>
      </c>
      <c r="K63" s="35"/>
      <c r="L63" s="22" t="str">
        <f aca="false">IF(A63="","",IF(A63&lt;DATE(2025,4,6),"2024/25",IF(A63&lt;DATE(2026,4,6),"2025/26",IF(A63&lt;DATE(2027,4,6),"2026/27","2027/28"))))</f>
        <v/>
      </c>
      <c r="N63" s="13"/>
    </row>
    <row r="64" customFormat="false" ht="15" hidden="false" customHeight="false" outlineLevel="0" collapsed="false">
      <c r="A64" s="31"/>
      <c r="B64" s="13"/>
      <c r="C64" s="13"/>
      <c r="D64" s="32"/>
      <c r="E64" s="32"/>
      <c r="F64" s="14"/>
      <c r="G64" s="23"/>
      <c r="H64" s="16" t="str">
        <f aca="false">IF(F64="","",IF(G64&lt;&gt;"",G64,IF(E64="JPY",IF(ISNUMBER($L$1),ROUND(F64/$L$1,2),"レート未入力"),F64)))</f>
        <v/>
      </c>
      <c r="I64" s="33"/>
      <c r="J64" s="16" t="str">
        <f aca="false">IF(ISNUMBER(H64),ROUND(H64*IF(I64="",1,I64),2),"")</f>
        <v/>
      </c>
      <c r="K64" s="35"/>
      <c r="L64" s="22" t="str">
        <f aca="false">IF(A64="","",IF(A64&lt;DATE(2025,4,6),"2024/25",IF(A64&lt;DATE(2026,4,6),"2025/26",IF(A64&lt;DATE(2027,4,6),"2026/27","2027/28"))))</f>
        <v/>
      </c>
      <c r="N64" s="13"/>
    </row>
    <row r="65" customFormat="false" ht="15" hidden="false" customHeight="false" outlineLevel="0" collapsed="false">
      <c r="A65" s="31"/>
      <c r="B65" s="13"/>
      <c r="C65" s="13"/>
      <c r="D65" s="32"/>
      <c r="E65" s="32"/>
      <c r="F65" s="14"/>
      <c r="G65" s="23"/>
      <c r="H65" s="16" t="str">
        <f aca="false">IF(F65="","",IF(G65&lt;&gt;"",G65,IF(E65="JPY",IF(ISNUMBER($L$1),ROUND(F65/$L$1,2),"レート未入力"),F65)))</f>
        <v/>
      </c>
      <c r="I65" s="33"/>
      <c r="J65" s="16" t="str">
        <f aca="false">IF(ISNUMBER(H65),ROUND(H65*IF(I65="",1,I65),2),"")</f>
        <v/>
      </c>
      <c r="K65" s="35"/>
      <c r="L65" s="22" t="str">
        <f aca="false">IF(A65="","",IF(A65&lt;DATE(2025,4,6),"2024/25",IF(A65&lt;DATE(2026,4,6),"2025/26",IF(A65&lt;DATE(2027,4,6),"2026/27","2027/28"))))</f>
        <v/>
      </c>
      <c r="N65" s="13"/>
    </row>
    <row r="66" customFormat="false" ht="15" hidden="false" customHeight="false" outlineLevel="0" collapsed="false">
      <c r="A66" s="31"/>
      <c r="B66" s="13"/>
      <c r="C66" s="13"/>
      <c r="D66" s="32"/>
      <c r="E66" s="32"/>
      <c r="F66" s="14"/>
      <c r="G66" s="23"/>
      <c r="H66" s="16" t="str">
        <f aca="false">IF(F66="","",IF(G66&lt;&gt;"",G66,IF(E66="JPY",IF(ISNUMBER($L$1),ROUND(F66/$L$1,2),"レート未入力"),F66)))</f>
        <v/>
      </c>
      <c r="I66" s="33"/>
      <c r="J66" s="16" t="str">
        <f aca="false">IF(ISNUMBER(H66),ROUND(H66*IF(I66="",1,I66),2),"")</f>
        <v/>
      </c>
      <c r="K66" s="35"/>
      <c r="L66" s="22" t="str">
        <f aca="false">IF(A66="","",IF(A66&lt;DATE(2025,4,6),"2024/25",IF(A66&lt;DATE(2026,4,6),"2025/26",IF(A66&lt;DATE(2027,4,6),"2026/27","2027/28"))))</f>
        <v/>
      </c>
      <c r="N66" s="13"/>
    </row>
    <row r="67" customFormat="false" ht="15" hidden="false" customHeight="false" outlineLevel="0" collapsed="false">
      <c r="A67" s="31"/>
      <c r="B67" s="13"/>
      <c r="C67" s="13"/>
      <c r="D67" s="32"/>
      <c r="E67" s="32"/>
      <c r="F67" s="14"/>
      <c r="G67" s="23"/>
      <c r="H67" s="16" t="str">
        <f aca="false">IF(F67="","",IF(G67&lt;&gt;"",G67,IF(E67="JPY",IF(ISNUMBER($L$1),ROUND(F67/$L$1,2),"レート未入力"),F67)))</f>
        <v/>
      </c>
      <c r="I67" s="33"/>
      <c r="J67" s="16" t="str">
        <f aca="false">IF(ISNUMBER(H67),ROUND(H67*IF(I67="",1,I67),2),"")</f>
        <v/>
      </c>
      <c r="K67" s="35"/>
      <c r="L67" s="22" t="str">
        <f aca="false">IF(A67="","",IF(A67&lt;DATE(2025,4,6),"2024/25",IF(A67&lt;DATE(2026,4,6),"2025/26",IF(A67&lt;DATE(2027,4,6),"2026/27","2027/28"))))</f>
        <v/>
      </c>
      <c r="N67" s="13"/>
    </row>
    <row r="68" customFormat="false" ht="15" hidden="false" customHeight="false" outlineLevel="0" collapsed="false">
      <c r="A68" s="31"/>
      <c r="B68" s="13"/>
      <c r="C68" s="13"/>
      <c r="D68" s="32"/>
      <c r="E68" s="32"/>
      <c r="F68" s="14"/>
      <c r="G68" s="23"/>
      <c r="H68" s="16" t="str">
        <f aca="false">IF(F68="","",IF(G68&lt;&gt;"",G68,IF(E68="JPY",IF(ISNUMBER($L$1),ROUND(F68/$L$1,2),"レート未入力"),F68)))</f>
        <v/>
      </c>
      <c r="I68" s="33"/>
      <c r="J68" s="16" t="str">
        <f aca="false">IF(ISNUMBER(H68),ROUND(H68*IF(I68="",1,I68),2),"")</f>
        <v/>
      </c>
      <c r="K68" s="35"/>
      <c r="L68" s="22" t="str">
        <f aca="false">IF(A68="","",IF(A68&lt;DATE(2025,4,6),"2024/25",IF(A68&lt;DATE(2026,4,6),"2025/26",IF(A68&lt;DATE(2027,4,6),"2026/27","2027/28"))))</f>
        <v/>
      </c>
      <c r="N68" s="13"/>
    </row>
    <row r="69" customFormat="false" ht="15" hidden="false" customHeight="false" outlineLevel="0" collapsed="false">
      <c r="A69" s="31"/>
      <c r="B69" s="13"/>
      <c r="C69" s="13"/>
      <c r="D69" s="32"/>
      <c r="E69" s="32"/>
      <c r="F69" s="14"/>
      <c r="G69" s="23"/>
      <c r="H69" s="16" t="str">
        <f aca="false">IF(F69="","",IF(G69&lt;&gt;"",G69,IF(E69="JPY",IF(ISNUMBER($L$1),ROUND(F69/$L$1,2),"レート未入力"),F69)))</f>
        <v/>
      </c>
      <c r="I69" s="33"/>
      <c r="J69" s="16" t="str">
        <f aca="false">IF(ISNUMBER(H69),ROUND(H69*IF(I69="",1,I69),2),"")</f>
        <v/>
      </c>
      <c r="K69" s="35"/>
      <c r="L69" s="22" t="str">
        <f aca="false">IF(A69="","",IF(A69&lt;DATE(2025,4,6),"2024/25",IF(A69&lt;DATE(2026,4,6),"2025/26",IF(A69&lt;DATE(2027,4,6),"2026/27","2027/28"))))</f>
        <v/>
      </c>
      <c r="N69" s="13"/>
    </row>
    <row r="70" customFormat="false" ht="15" hidden="false" customHeight="false" outlineLevel="0" collapsed="false">
      <c r="A70" s="3" t="s">
        <v>196</v>
      </c>
      <c r="J70" s="18" t="n">
        <f aca="false">SUM(J30:J69)</f>
        <v>0</v>
      </c>
    </row>
    <row r="72" customFormat="false" ht="15" hidden="false" customHeight="false" outlineLevel="0" collapsed="false">
      <c r="A72" s="26" t="s">
        <v>197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customFormat="false" ht="15" hidden="false" customHeight="false" outlineLevel="0" collapsed="false">
      <c r="A73" s="17" t="s">
        <v>137</v>
      </c>
      <c r="D73" s="36" t="s">
        <v>16</v>
      </c>
      <c r="E73" s="36" t="s">
        <v>18</v>
      </c>
      <c r="F73" s="36"/>
    </row>
    <row r="74" customFormat="false" ht="15" hidden="false" customHeight="false" outlineLevel="0" collapsed="false">
      <c r="A74" s="17" t="s">
        <v>183</v>
      </c>
      <c r="D74" s="18" t="n">
        <f aca="false">SUMIFS($H$6:$H$25,$J$6:$J$25,"2025/26")</f>
        <v>0</v>
      </c>
      <c r="E74" s="18" t="n">
        <f aca="false">SUMIFS($H$6:$H$25,$J$6:$J$25,"2026/27")</f>
        <v>0</v>
      </c>
      <c r="F74" s="18"/>
    </row>
    <row r="75" customFormat="false" ht="15" hidden="false" customHeight="false" outlineLevel="0" collapsed="false">
      <c r="A75" s="21" t="s">
        <v>41</v>
      </c>
      <c r="D75" s="16" t="n">
        <f aca="false">SUMIFS($J$30:$J$69,$D$30:$D$69,$A75,$L$30:$L$69,"2025/26")</f>
        <v>0</v>
      </c>
      <c r="E75" s="16" t="n">
        <f aca="false">SUMIFS($J$30:$J$69,$D$30:$D$69,$A75,$L$30:$L$69,"2026/27")</f>
        <v>0</v>
      </c>
      <c r="F75" s="16"/>
    </row>
    <row r="76" customFormat="false" ht="15" hidden="false" customHeight="false" outlineLevel="0" collapsed="false">
      <c r="A76" s="21" t="s">
        <v>43</v>
      </c>
      <c r="D76" s="16" t="n">
        <f aca="false">SUMIFS($J$30:$J$69,$D$30:$D$69,$A76,$L$30:$L$69,"2025/26")</f>
        <v>0</v>
      </c>
      <c r="E76" s="16" t="n">
        <f aca="false">SUMIFS($J$30:$J$69,$D$30:$D$69,$A76,$L$30:$L$69,"2026/27")</f>
        <v>0</v>
      </c>
      <c r="F76" s="16"/>
    </row>
    <row r="77" customFormat="false" ht="15" hidden="false" customHeight="false" outlineLevel="0" collapsed="false">
      <c r="A77" s="21" t="s">
        <v>45</v>
      </c>
      <c r="D77" s="16" t="n">
        <f aca="false">SUMIFS($J$30:$J$69,$D$30:$D$69,$A77,$L$30:$L$69,"2025/26")</f>
        <v>0</v>
      </c>
      <c r="E77" s="16" t="n">
        <f aca="false">SUMIFS($J$30:$J$69,$D$30:$D$69,$A77,$L$30:$L$69,"2026/27")</f>
        <v>0</v>
      </c>
      <c r="F77" s="16"/>
    </row>
    <row r="78" customFormat="false" ht="15" hidden="false" customHeight="false" outlineLevel="0" collapsed="false">
      <c r="A78" s="21" t="s">
        <v>47</v>
      </c>
      <c r="D78" s="16" t="n">
        <f aca="false">SUMIFS($J$30:$J$69,$D$30:$D$69,$A78,$L$30:$L$69,"2025/26")</f>
        <v>0</v>
      </c>
      <c r="E78" s="16" t="n">
        <f aca="false">SUMIFS($J$30:$J$69,$D$30:$D$69,$A78,$L$30:$L$69,"2026/27")</f>
        <v>0</v>
      </c>
      <c r="F78" s="16"/>
    </row>
    <row r="79" customFormat="false" ht="15" hidden="false" customHeight="false" outlineLevel="0" collapsed="false">
      <c r="A79" s="21" t="s">
        <v>49</v>
      </c>
      <c r="D79" s="16" t="n">
        <f aca="false">SUMIFS($J$30:$J$69,$D$30:$D$69,$A79,$L$30:$L$69,"2025/26")</f>
        <v>0</v>
      </c>
      <c r="E79" s="16" t="n">
        <f aca="false">SUMIFS($J$30:$J$69,$D$30:$D$69,$A79,$L$30:$L$69,"2026/27")</f>
        <v>0</v>
      </c>
      <c r="F79" s="16"/>
    </row>
    <row r="80" customFormat="false" ht="15" hidden="false" customHeight="false" outlineLevel="0" collapsed="false">
      <c r="A80" s="21" t="s">
        <v>51</v>
      </c>
      <c r="D80" s="16" t="n">
        <f aca="false">SUMIFS($J$30:$J$69,$D$30:$D$69,$A80,$L$30:$L$69,"2025/26")</f>
        <v>0</v>
      </c>
      <c r="E80" s="16" t="n">
        <f aca="false">SUMIFS($J$30:$J$69,$D$30:$D$69,$A80,$L$30:$L$69,"2026/27")</f>
        <v>0</v>
      </c>
      <c r="F80" s="16"/>
    </row>
    <row r="81" customFormat="false" ht="15" hidden="false" customHeight="false" outlineLevel="0" collapsed="false">
      <c r="A81" s="21" t="s">
        <v>53</v>
      </c>
      <c r="D81" s="16" t="n">
        <f aca="false">SUMIFS($J$30:$J$69,$D$30:$D$69,$A81,$L$30:$L$69,"2025/26")</f>
        <v>0</v>
      </c>
      <c r="E81" s="16" t="n">
        <f aca="false">SUMIFS($J$30:$J$69,$D$30:$D$69,$A81,$L$30:$L$69,"2026/27")</f>
        <v>0</v>
      </c>
      <c r="F81" s="16"/>
    </row>
    <row r="82" customFormat="false" ht="15" hidden="false" customHeight="false" outlineLevel="0" collapsed="false">
      <c r="A82" s="21" t="s">
        <v>55</v>
      </c>
      <c r="D82" s="16" t="n">
        <f aca="false">SUMIFS($J$30:$J$69,$D$30:$D$69,$A82,$L$30:$L$69,"2025/26")</f>
        <v>0</v>
      </c>
      <c r="E82" s="16" t="n">
        <f aca="false">SUMIFS($J$30:$J$69,$D$30:$D$69,$A82,$L$30:$L$69,"2026/27")</f>
        <v>0</v>
      </c>
      <c r="F82" s="16"/>
    </row>
    <row r="83" customFormat="false" ht="15" hidden="false" customHeight="false" outlineLevel="0" collapsed="false">
      <c r="A83" s="21" t="s">
        <v>57</v>
      </c>
      <c r="D83" s="16" t="n">
        <f aca="false">SUMIFS($J$30:$J$69,$D$30:$D$69,$A83,$L$30:$L$69,"2025/26")</f>
        <v>0</v>
      </c>
      <c r="E83" s="16" t="n">
        <f aca="false">SUMIFS($J$30:$J$69,$D$30:$D$69,$A83,$L$30:$L$69,"2026/27")</f>
        <v>0</v>
      </c>
      <c r="F83" s="16"/>
    </row>
    <row r="84" customFormat="false" ht="15" hidden="false" customHeight="false" outlineLevel="0" collapsed="false">
      <c r="A84" s="21" t="s">
        <v>59</v>
      </c>
      <c r="D84" s="16" t="n">
        <f aca="false">SUMIFS($J$30:$J$69,$D$30:$D$69,$A84,$L$30:$L$69,"2025/26")</f>
        <v>0</v>
      </c>
      <c r="E84" s="16" t="n">
        <f aca="false">SUMIFS($J$30:$J$69,$D$30:$D$69,$A84,$L$30:$L$69,"2026/27")</f>
        <v>0</v>
      </c>
      <c r="F84" s="16"/>
    </row>
    <row r="85" customFormat="false" ht="15" hidden="false" customHeight="false" outlineLevel="0" collapsed="false">
      <c r="A85" s="21" t="s">
        <v>61</v>
      </c>
      <c r="D85" s="16" t="n">
        <f aca="false">SUMIFS($J$30:$J$69,$D$30:$D$69,$A85,$L$30:$L$69,"2025/26")</f>
        <v>0</v>
      </c>
      <c r="E85" s="16" t="n">
        <f aca="false">SUMIFS($J$30:$J$69,$D$30:$D$69,$A85,$L$30:$L$69,"2026/27")</f>
        <v>0</v>
      </c>
      <c r="F85" s="16"/>
    </row>
    <row r="86" customFormat="false" ht="15" hidden="false" customHeight="false" outlineLevel="0" collapsed="false">
      <c r="A86" s="21" t="s">
        <v>63</v>
      </c>
      <c r="D86" s="16" t="n">
        <f aca="false">SUMIFS($J$30:$J$69,$D$30:$D$69,$A86,$L$30:$L$69,"2025/26")</f>
        <v>0</v>
      </c>
      <c r="E86" s="16" t="n">
        <f aca="false">SUMIFS($J$30:$J$69,$D$30:$D$69,$A86,$L$30:$L$69,"2026/27")</f>
        <v>0</v>
      </c>
      <c r="F86" s="16"/>
    </row>
    <row r="87" customFormat="false" ht="15" hidden="false" customHeight="false" outlineLevel="0" collapsed="false">
      <c r="A87" s="21" t="s">
        <v>64</v>
      </c>
      <c r="D87" s="16" t="n">
        <f aca="false">SUMIFS($J$30:$J$69,$D$30:$D$69,$A87,$L$30:$L$69,"2025/26")</f>
        <v>0</v>
      </c>
      <c r="E87" s="16" t="n">
        <f aca="false">SUMIFS($J$30:$J$69,$D$30:$D$69,$A87,$L$30:$L$69,"2026/27")</f>
        <v>0</v>
      </c>
      <c r="F87" s="16"/>
    </row>
    <row r="88" customFormat="false" ht="15" hidden="false" customHeight="false" outlineLevel="0" collapsed="false">
      <c r="A88" s="17" t="s">
        <v>198</v>
      </c>
      <c r="D88" s="18" t="n">
        <f aca="false">SUM(D75:D86)</f>
        <v>0</v>
      </c>
      <c r="E88" s="18" t="n">
        <f aca="false">SUM(E75:E86)</f>
        <v>0</v>
      </c>
      <c r="F88" s="18"/>
    </row>
    <row r="89" customFormat="false" ht="15" hidden="false" customHeight="false" outlineLevel="0" collapsed="false">
      <c r="A89" s="17" t="s">
        <v>199</v>
      </c>
      <c r="D89" s="18" t="n">
        <f aca="false">D74-D88-D87</f>
        <v>0</v>
      </c>
      <c r="E89" s="18" t="n">
        <f aca="false">E74-E88-E87</f>
        <v>0</v>
      </c>
      <c r="F89" s="18"/>
    </row>
    <row r="90" customFormat="false" ht="15" hidden="false" customHeight="false" outlineLevel="0" collapsed="false">
      <c r="A90" s="37" t="s">
        <v>200</v>
      </c>
    </row>
    <row r="91" customFormat="false" ht="15" hidden="false" customHeight="false" outlineLevel="0" collapsed="false">
      <c r="A91" s="21" t="s">
        <v>201</v>
      </c>
      <c r="D91" s="16" t="n">
        <f aca="false">SUMIFS($J$30:$J$69,$D$30:$D$69,"")</f>
        <v>0</v>
      </c>
    </row>
  </sheetData>
  <mergeCells count="17"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</mergeCells>
  <dataValidations count="5">
    <dataValidation allowBlank="true" error="0%〜100%で入力してください" errorStyle="stop" operator="between" showDropDown="false" showErrorMessage="true" showInputMessage="false" sqref="I30:I69" type="decimal">
      <formula1>0</formula1>
      <formula2>1</formula2>
    </dataValidation>
    <dataValidation allowBlank="true" errorStyle="stop" operator="between" showDropDown="false" showErrorMessage="false" showInputMessage="false" sqref="E6:E25 E30:E69" type="list">
      <formula1>_list!$B$1:$B$2</formula1>
      <formula2>0</formula2>
    </dataValidation>
    <dataValidation allowBlank="true" errorStyle="stop" operator="between" showDropDown="false" showErrorMessage="false" showInputMessage="false" sqref="D30:D69" type="list">
      <formula1>_list!$A$1:$A$13</formula1>
      <formula2>0</formula2>
    </dataValidation>
    <dataValidation allowBlank="true" errorStyle="stop" operator="between" showDropDown="false" showErrorMessage="false" showInputMessage="false" sqref="D6:D25" type="list">
      <formula1>_list!$C$1:$C$7</formula1>
      <formula2>0</formula2>
    </dataValidation>
    <dataValidation allowBlank="true" error="日付で入力してください（例：2025/5/2）" errorStyle="stop" operator="between" showDropDown="false" showErrorMessage="true" showInputMessage="false" sqref="A6:A25 A30:A69" type="date">
      <formula1>DATE(2025,4,1)</formula1>
      <formula2>DATE(2027,12,31)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24"/>
  </cols>
  <sheetData>
    <row r="1" customFormat="false" ht="19.4" hidden="false" customHeight="false" outlineLevel="0" collapsed="false">
      <c r="A1" s="1" t="s">
        <v>203</v>
      </c>
      <c r="J1" s="3" t="s">
        <v>164</v>
      </c>
      <c r="L1" s="25" t="str">
        <f aca="false">IF(為替レート!$B$7="","未入力",為替レート!$B$7)</f>
        <v>未入力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26" t="s">
        <v>166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customFormat="false" ht="30" hidden="false" customHeight="true" outlineLevel="0" collapsed="false">
      <c r="A5" s="9" t="s">
        <v>167</v>
      </c>
      <c r="B5" s="9" t="s">
        <v>168</v>
      </c>
      <c r="C5" s="9" t="s">
        <v>169</v>
      </c>
      <c r="D5" s="9" t="s">
        <v>170</v>
      </c>
      <c r="E5" s="9" t="s">
        <v>171</v>
      </c>
      <c r="F5" s="9" t="s">
        <v>172</v>
      </c>
      <c r="G5" s="9" t="s">
        <v>173</v>
      </c>
      <c r="H5" s="9" t="s">
        <v>174</v>
      </c>
      <c r="I5" s="9" t="s">
        <v>175</v>
      </c>
      <c r="J5" s="9" t="s">
        <v>176</v>
      </c>
      <c r="K5" s="9"/>
      <c r="L5" s="9"/>
      <c r="M5" s="9"/>
      <c r="N5" s="9" t="s">
        <v>177</v>
      </c>
    </row>
    <row r="6" customFormat="false" ht="15" hidden="false" customHeight="false" outlineLevel="0" collapsed="false">
      <c r="A6" s="31"/>
      <c r="B6" s="13"/>
      <c r="C6" s="13"/>
      <c r="D6" s="32"/>
      <c r="E6" s="32"/>
      <c r="F6" s="14"/>
      <c r="G6" s="23"/>
      <c r="H6" s="16" t="str">
        <f aca="false">IF(F6="","",IF(G6&lt;&gt;"",G6,IF(E6="JPY",IF(ISNUMBER($L$1),ROUND(F6/$L$1,2),"レート未入力"),F6)))</f>
        <v/>
      </c>
      <c r="I6" s="13"/>
      <c r="J6" s="22" t="str">
        <f aca="false">IF(A6="","",IF(A6&lt;DATE(2025,4,6),"2024/25",IF(A6&lt;DATE(2026,4,6),"2025/26",IF(A6&lt;DATE(2027,4,6),"2026/27","2027/28"))))</f>
        <v/>
      </c>
      <c r="N6" s="13"/>
    </row>
    <row r="7" customFormat="false" ht="15" hidden="false" customHeight="false" outlineLevel="0" collapsed="false">
      <c r="A7" s="31"/>
      <c r="B7" s="13"/>
      <c r="C7" s="13"/>
      <c r="D7" s="32"/>
      <c r="E7" s="32"/>
      <c r="F7" s="14"/>
      <c r="G7" s="23"/>
      <c r="H7" s="16" t="str">
        <f aca="false">IF(F7="","",IF(G7&lt;&gt;"",G7,IF(E7="JPY",IF(ISNUMBER($L$1),ROUND(F7/$L$1,2),"レート未入力"),F7)))</f>
        <v/>
      </c>
      <c r="I7" s="13"/>
      <c r="J7" s="22" t="str">
        <f aca="false">IF(A7="","",IF(A7&lt;DATE(2025,4,6),"2024/25",IF(A7&lt;DATE(2026,4,6),"2025/26",IF(A7&lt;DATE(2027,4,6),"2026/27","2027/28"))))</f>
        <v/>
      </c>
      <c r="N7" s="13"/>
    </row>
    <row r="8" customFormat="false" ht="15" hidden="false" customHeight="false" outlineLevel="0" collapsed="false">
      <c r="A8" s="31"/>
      <c r="B8" s="13"/>
      <c r="C8" s="13"/>
      <c r="D8" s="32"/>
      <c r="E8" s="32"/>
      <c r="F8" s="14"/>
      <c r="G8" s="23"/>
      <c r="H8" s="16" t="str">
        <f aca="false">IF(F8="","",IF(G8&lt;&gt;"",G8,IF(E8="JPY",IF(ISNUMBER($L$1),ROUND(F8/$L$1,2),"レート未入力"),F8)))</f>
        <v/>
      </c>
      <c r="I8" s="13"/>
      <c r="J8" s="22" t="str">
        <f aca="false">IF(A8="","",IF(A8&lt;DATE(2025,4,6),"2024/25",IF(A8&lt;DATE(2026,4,6),"2025/26",IF(A8&lt;DATE(2027,4,6),"2026/27","2027/28"))))</f>
        <v/>
      </c>
      <c r="N8" s="13"/>
    </row>
    <row r="9" customFormat="false" ht="15" hidden="false" customHeight="false" outlineLevel="0" collapsed="false">
      <c r="A9" s="31"/>
      <c r="B9" s="13"/>
      <c r="C9" s="13"/>
      <c r="D9" s="32"/>
      <c r="E9" s="32"/>
      <c r="F9" s="14"/>
      <c r="G9" s="23"/>
      <c r="H9" s="16" t="str">
        <f aca="false">IF(F9="","",IF(G9&lt;&gt;"",G9,IF(E9="JPY",IF(ISNUMBER($L$1),ROUND(F9/$L$1,2),"レート未入力"),F9)))</f>
        <v/>
      </c>
      <c r="I9" s="13"/>
      <c r="J9" s="22" t="str">
        <f aca="false">IF(A9="","",IF(A9&lt;DATE(2025,4,6),"2024/25",IF(A9&lt;DATE(2026,4,6),"2025/26",IF(A9&lt;DATE(2027,4,6),"2026/27","2027/28"))))</f>
        <v/>
      </c>
      <c r="N9" s="13"/>
    </row>
    <row r="10" customFormat="false" ht="15" hidden="false" customHeight="false" outlineLevel="0" collapsed="false">
      <c r="A10" s="31"/>
      <c r="B10" s="13"/>
      <c r="C10" s="13"/>
      <c r="D10" s="32"/>
      <c r="E10" s="32"/>
      <c r="F10" s="14"/>
      <c r="G10" s="23"/>
      <c r="H10" s="16" t="str">
        <f aca="false">IF(F10="","",IF(G10&lt;&gt;"",G10,IF(E10="JPY",IF(ISNUMBER($L$1),ROUND(F10/$L$1,2),"レート未入力"),F10)))</f>
        <v/>
      </c>
      <c r="I10" s="13"/>
      <c r="J10" s="22" t="str">
        <f aca="false">IF(A10="","",IF(A10&lt;DATE(2025,4,6),"2024/25",IF(A10&lt;DATE(2026,4,6),"2025/26",IF(A10&lt;DATE(2027,4,6),"2026/27","2027/28"))))</f>
        <v/>
      </c>
      <c r="N10" s="13"/>
    </row>
    <row r="11" customFormat="false" ht="15" hidden="false" customHeight="false" outlineLevel="0" collapsed="false">
      <c r="A11" s="31"/>
      <c r="B11" s="13"/>
      <c r="C11" s="13"/>
      <c r="D11" s="32"/>
      <c r="E11" s="32"/>
      <c r="F11" s="14"/>
      <c r="G11" s="23"/>
      <c r="H11" s="16" t="str">
        <f aca="false">IF(F11="","",IF(G11&lt;&gt;"",G11,IF(E11="JPY",IF(ISNUMBER($L$1),ROUND(F11/$L$1,2),"レート未入力"),F11)))</f>
        <v/>
      </c>
      <c r="I11" s="13"/>
      <c r="J11" s="22" t="str">
        <f aca="false">IF(A11="","",IF(A11&lt;DATE(2025,4,6),"2024/25",IF(A11&lt;DATE(2026,4,6),"2025/26",IF(A11&lt;DATE(2027,4,6),"2026/27","2027/28"))))</f>
        <v/>
      </c>
      <c r="N11" s="13"/>
    </row>
    <row r="12" customFormat="false" ht="15" hidden="false" customHeight="false" outlineLevel="0" collapsed="false">
      <c r="A12" s="31"/>
      <c r="B12" s="13"/>
      <c r="C12" s="13"/>
      <c r="D12" s="32"/>
      <c r="E12" s="32"/>
      <c r="F12" s="14"/>
      <c r="G12" s="23"/>
      <c r="H12" s="16" t="str">
        <f aca="false">IF(F12="","",IF(G12&lt;&gt;"",G12,IF(E12="JPY",IF(ISNUMBER($L$1),ROUND(F12/$L$1,2),"レート未入力"),F12)))</f>
        <v/>
      </c>
      <c r="I12" s="13"/>
      <c r="J12" s="22" t="str">
        <f aca="false">IF(A12="","",IF(A12&lt;DATE(2025,4,6),"2024/25",IF(A12&lt;DATE(2026,4,6),"2025/26",IF(A12&lt;DATE(2027,4,6),"2026/27","2027/28"))))</f>
        <v/>
      </c>
      <c r="N12" s="13"/>
    </row>
    <row r="13" customFormat="false" ht="15" hidden="false" customHeight="false" outlineLevel="0" collapsed="false">
      <c r="A13" s="31"/>
      <c r="B13" s="13"/>
      <c r="C13" s="13"/>
      <c r="D13" s="32"/>
      <c r="E13" s="32"/>
      <c r="F13" s="14"/>
      <c r="G13" s="23"/>
      <c r="H13" s="16" t="str">
        <f aca="false">IF(F13="","",IF(G13&lt;&gt;"",G13,IF(E13="JPY",IF(ISNUMBER($L$1),ROUND(F13/$L$1,2),"レート未入力"),F13)))</f>
        <v/>
      </c>
      <c r="I13" s="13"/>
      <c r="J13" s="22" t="str">
        <f aca="false">IF(A13="","",IF(A13&lt;DATE(2025,4,6),"2024/25",IF(A13&lt;DATE(2026,4,6),"2025/26",IF(A13&lt;DATE(2027,4,6),"2026/27","2027/28"))))</f>
        <v/>
      </c>
      <c r="N13" s="13"/>
    </row>
    <row r="14" customFormat="false" ht="15" hidden="false" customHeight="false" outlineLevel="0" collapsed="false">
      <c r="A14" s="31"/>
      <c r="B14" s="13"/>
      <c r="C14" s="13"/>
      <c r="D14" s="32"/>
      <c r="E14" s="32"/>
      <c r="F14" s="14"/>
      <c r="G14" s="23"/>
      <c r="H14" s="16" t="str">
        <f aca="false">IF(F14="","",IF(G14&lt;&gt;"",G14,IF(E14="JPY",IF(ISNUMBER($L$1),ROUND(F14/$L$1,2),"レート未入力"),F14)))</f>
        <v/>
      </c>
      <c r="I14" s="13"/>
      <c r="J14" s="22" t="str">
        <f aca="false">IF(A14="","",IF(A14&lt;DATE(2025,4,6),"2024/25",IF(A14&lt;DATE(2026,4,6),"2025/26",IF(A14&lt;DATE(2027,4,6),"2026/27","2027/28"))))</f>
        <v/>
      </c>
      <c r="N14" s="13"/>
    </row>
    <row r="15" customFormat="false" ht="15" hidden="false" customHeight="false" outlineLevel="0" collapsed="false">
      <c r="A15" s="31"/>
      <c r="B15" s="13"/>
      <c r="C15" s="13"/>
      <c r="D15" s="32"/>
      <c r="E15" s="32"/>
      <c r="F15" s="14"/>
      <c r="G15" s="23"/>
      <c r="H15" s="16" t="str">
        <f aca="false">IF(F15="","",IF(G15&lt;&gt;"",G15,IF(E15="JPY",IF(ISNUMBER($L$1),ROUND(F15/$L$1,2),"レート未入力"),F15)))</f>
        <v/>
      </c>
      <c r="I15" s="13"/>
      <c r="J15" s="22" t="str">
        <f aca="false">IF(A15="","",IF(A15&lt;DATE(2025,4,6),"2024/25",IF(A15&lt;DATE(2026,4,6),"2025/26",IF(A15&lt;DATE(2027,4,6),"2026/27","2027/28"))))</f>
        <v/>
      </c>
      <c r="N15" s="13"/>
    </row>
    <row r="16" customFormat="false" ht="15" hidden="false" customHeight="false" outlineLevel="0" collapsed="false">
      <c r="A16" s="31"/>
      <c r="B16" s="13"/>
      <c r="C16" s="13"/>
      <c r="D16" s="32"/>
      <c r="E16" s="32"/>
      <c r="F16" s="14"/>
      <c r="G16" s="23"/>
      <c r="H16" s="16" t="str">
        <f aca="false">IF(F16="","",IF(G16&lt;&gt;"",G16,IF(E16="JPY",IF(ISNUMBER($L$1),ROUND(F16/$L$1,2),"レート未入力"),F16)))</f>
        <v/>
      </c>
      <c r="I16" s="13"/>
      <c r="J16" s="22" t="str">
        <f aca="false">IF(A16="","",IF(A16&lt;DATE(2025,4,6),"2024/25",IF(A16&lt;DATE(2026,4,6),"2025/26",IF(A16&lt;DATE(2027,4,6),"2026/27","2027/28"))))</f>
        <v/>
      </c>
      <c r="N16" s="13"/>
    </row>
    <row r="17" customFormat="false" ht="15" hidden="false" customHeight="false" outlineLevel="0" collapsed="false">
      <c r="A17" s="31"/>
      <c r="B17" s="13"/>
      <c r="C17" s="13"/>
      <c r="D17" s="32"/>
      <c r="E17" s="32"/>
      <c r="F17" s="14"/>
      <c r="G17" s="23"/>
      <c r="H17" s="16" t="str">
        <f aca="false">IF(F17="","",IF(G17&lt;&gt;"",G17,IF(E17="JPY",IF(ISNUMBER($L$1),ROUND(F17/$L$1,2),"レート未入力"),F17)))</f>
        <v/>
      </c>
      <c r="I17" s="13"/>
      <c r="J17" s="22" t="str">
        <f aca="false">IF(A17="","",IF(A17&lt;DATE(2025,4,6),"2024/25",IF(A17&lt;DATE(2026,4,6),"2025/26",IF(A17&lt;DATE(2027,4,6),"2026/27","2027/28"))))</f>
        <v/>
      </c>
      <c r="N17" s="13"/>
    </row>
    <row r="18" customFormat="false" ht="15" hidden="false" customHeight="false" outlineLevel="0" collapsed="false">
      <c r="A18" s="31"/>
      <c r="B18" s="13"/>
      <c r="C18" s="13"/>
      <c r="D18" s="32"/>
      <c r="E18" s="32"/>
      <c r="F18" s="14"/>
      <c r="G18" s="23"/>
      <c r="H18" s="16" t="str">
        <f aca="false">IF(F18="","",IF(G18&lt;&gt;"",G18,IF(E18="JPY",IF(ISNUMBER($L$1),ROUND(F18/$L$1,2),"レート未入力"),F18)))</f>
        <v/>
      </c>
      <c r="I18" s="13"/>
      <c r="J18" s="22" t="str">
        <f aca="false">IF(A18="","",IF(A18&lt;DATE(2025,4,6),"2024/25",IF(A18&lt;DATE(2026,4,6),"2025/26",IF(A18&lt;DATE(2027,4,6),"2026/27","2027/28"))))</f>
        <v/>
      </c>
      <c r="N18" s="13"/>
    </row>
    <row r="19" customFormat="false" ht="15" hidden="false" customHeight="false" outlineLevel="0" collapsed="false">
      <c r="A19" s="31"/>
      <c r="B19" s="13"/>
      <c r="C19" s="13"/>
      <c r="D19" s="32"/>
      <c r="E19" s="32"/>
      <c r="F19" s="14"/>
      <c r="G19" s="23"/>
      <c r="H19" s="16" t="str">
        <f aca="false">IF(F19="","",IF(G19&lt;&gt;"",G19,IF(E19="JPY",IF(ISNUMBER($L$1),ROUND(F19/$L$1,2),"レート未入力"),F19)))</f>
        <v/>
      </c>
      <c r="I19" s="13"/>
      <c r="J19" s="22" t="str">
        <f aca="false">IF(A19="","",IF(A19&lt;DATE(2025,4,6),"2024/25",IF(A19&lt;DATE(2026,4,6),"2025/26",IF(A19&lt;DATE(2027,4,6),"2026/27","2027/28"))))</f>
        <v/>
      </c>
      <c r="N19" s="13"/>
    </row>
    <row r="20" customFormat="false" ht="15" hidden="false" customHeight="false" outlineLevel="0" collapsed="false">
      <c r="A20" s="31"/>
      <c r="B20" s="13"/>
      <c r="C20" s="13"/>
      <c r="D20" s="32"/>
      <c r="E20" s="32"/>
      <c r="F20" s="14"/>
      <c r="G20" s="23"/>
      <c r="H20" s="16" t="str">
        <f aca="false">IF(F20="","",IF(G20&lt;&gt;"",G20,IF(E20="JPY",IF(ISNUMBER($L$1),ROUND(F20/$L$1,2),"レート未入力"),F20)))</f>
        <v/>
      </c>
      <c r="I20" s="13"/>
      <c r="J20" s="22" t="str">
        <f aca="false">IF(A20="","",IF(A20&lt;DATE(2025,4,6),"2024/25",IF(A20&lt;DATE(2026,4,6),"2025/26",IF(A20&lt;DATE(2027,4,6),"2026/27","2027/28"))))</f>
        <v/>
      </c>
      <c r="N20" s="13"/>
    </row>
    <row r="21" customFormat="false" ht="15" hidden="false" customHeight="false" outlineLevel="0" collapsed="false">
      <c r="A21" s="31"/>
      <c r="B21" s="13"/>
      <c r="C21" s="13"/>
      <c r="D21" s="32"/>
      <c r="E21" s="32"/>
      <c r="F21" s="14"/>
      <c r="G21" s="23"/>
      <c r="H21" s="16" t="str">
        <f aca="false">IF(F21="","",IF(G21&lt;&gt;"",G21,IF(E21="JPY",IF(ISNUMBER($L$1),ROUND(F21/$L$1,2),"レート未入力"),F21)))</f>
        <v/>
      </c>
      <c r="I21" s="13"/>
      <c r="J21" s="22" t="str">
        <f aca="false">IF(A21="","",IF(A21&lt;DATE(2025,4,6),"2024/25",IF(A21&lt;DATE(2026,4,6),"2025/26",IF(A21&lt;DATE(2027,4,6),"2026/27","2027/28"))))</f>
        <v/>
      </c>
      <c r="N21" s="13"/>
    </row>
    <row r="22" customFormat="false" ht="15" hidden="false" customHeight="false" outlineLevel="0" collapsed="false">
      <c r="A22" s="31"/>
      <c r="B22" s="13"/>
      <c r="C22" s="13"/>
      <c r="D22" s="32"/>
      <c r="E22" s="32"/>
      <c r="F22" s="14"/>
      <c r="G22" s="23"/>
      <c r="H22" s="16" t="str">
        <f aca="false">IF(F22="","",IF(G22&lt;&gt;"",G22,IF(E22="JPY",IF(ISNUMBER($L$1),ROUND(F22/$L$1,2),"レート未入力"),F22)))</f>
        <v/>
      </c>
      <c r="I22" s="13"/>
      <c r="J22" s="22" t="str">
        <f aca="false">IF(A22="","",IF(A22&lt;DATE(2025,4,6),"2024/25",IF(A22&lt;DATE(2026,4,6),"2025/26",IF(A22&lt;DATE(2027,4,6),"2026/27","2027/28"))))</f>
        <v/>
      </c>
      <c r="N22" s="13"/>
    </row>
    <row r="23" customFormat="false" ht="15" hidden="false" customHeight="false" outlineLevel="0" collapsed="false">
      <c r="A23" s="31"/>
      <c r="B23" s="13"/>
      <c r="C23" s="13"/>
      <c r="D23" s="32"/>
      <c r="E23" s="32"/>
      <c r="F23" s="14"/>
      <c r="G23" s="23"/>
      <c r="H23" s="16" t="str">
        <f aca="false">IF(F23="","",IF(G23&lt;&gt;"",G23,IF(E23="JPY",IF(ISNUMBER($L$1),ROUND(F23/$L$1,2),"レート未入力"),F23)))</f>
        <v/>
      </c>
      <c r="I23" s="13"/>
      <c r="J23" s="22" t="str">
        <f aca="false">IF(A23="","",IF(A23&lt;DATE(2025,4,6),"2024/25",IF(A23&lt;DATE(2026,4,6),"2025/26",IF(A23&lt;DATE(2027,4,6),"2026/27","2027/28"))))</f>
        <v/>
      </c>
      <c r="N23" s="13"/>
    </row>
    <row r="24" customFormat="false" ht="15" hidden="false" customHeight="false" outlineLevel="0" collapsed="false">
      <c r="A24" s="31"/>
      <c r="B24" s="13"/>
      <c r="C24" s="13"/>
      <c r="D24" s="32"/>
      <c r="E24" s="32"/>
      <c r="F24" s="14"/>
      <c r="G24" s="23"/>
      <c r="H24" s="16" t="str">
        <f aca="false">IF(F24="","",IF(G24&lt;&gt;"",G24,IF(E24="JPY",IF(ISNUMBER($L$1),ROUND(F24/$L$1,2),"レート未入力"),F24)))</f>
        <v/>
      </c>
      <c r="I24" s="13"/>
      <c r="J24" s="22" t="str">
        <f aca="false">IF(A24="","",IF(A24&lt;DATE(2025,4,6),"2024/25",IF(A24&lt;DATE(2026,4,6),"2025/26",IF(A24&lt;DATE(2027,4,6),"2026/27","2027/28"))))</f>
        <v/>
      </c>
      <c r="N24" s="13"/>
    </row>
    <row r="25" customFormat="false" ht="15" hidden="false" customHeight="false" outlineLevel="0" collapsed="false">
      <c r="A25" s="31"/>
      <c r="B25" s="13"/>
      <c r="C25" s="13"/>
      <c r="D25" s="32"/>
      <c r="E25" s="32"/>
      <c r="F25" s="14"/>
      <c r="G25" s="23"/>
      <c r="H25" s="16" t="str">
        <f aca="false">IF(F25="","",IF(G25&lt;&gt;"",G25,IF(E25="JPY",IF(ISNUMBER($L$1),ROUND(F25/$L$1,2),"レート未入力"),F25)))</f>
        <v/>
      </c>
      <c r="I25" s="13"/>
      <c r="J25" s="22" t="str">
        <f aca="false">IF(A25="","",IF(A25&lt;DATE(2025,4,6),"2024/25",IF(A25&lt;DATE(2026,4,6),"2025/26",IF(A25&lt;DATE(2027,4,6),"2026/27","2027/28"))))</f>
        <v/>
      </c>
      <c r="N25" s="13"/>
    </row>
    <row r="26" customFormat="false" ht="15" hidden="false" customHeight="false" outlineLevel="0" collapsed="false">
      <c r="A26" s="3" t="s">
        <v>183</v>
      </c>
      <c r="H26" s="18" t="n">
        <f aca="false">SUM(H6:H25)</f>
        <v>0</v>
      </c>
    </row>
    <row r="28" customFormat="false" ht="15" hidden="false" customHeight="false" outlineLevel="0" collapsed="false">
      <c r="A28" s="26" t="s">
        <v>184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</row>
    <row r="29" customFormat="false" ht="30" hidden="false" customHeight="true" outlineLevel="0" collapsed="false">
      <c r="A29" s="9" t="s">
        <v>167</v>
      </c>
      <c r="B29" s="9" t="s">
        <v>185</v>
      </c>
      <c r="C29" s="9" t="s">
        <v>169</v>
      </c>
      <c r="D29" s="9" t="s">
        <v>38</v>
      </c>
      <c r="E29" s="9" t="s">
        <v>171</v>
      </c>
      <c r="F29" s="9" t="s">
        <v>172</v>
      </c>
      <c r="G29" s="9" t="s">
        <v>173</v>
      </c>
      <c r="H29" s="10" t="s">
        <v>186</v>
      </c>
      <c r="I29" s="9" t="s">
        <v>187</v>
      </c>
      <c r="J29" s="9" t="s">
        <v>188</v>
      </c>
      <c r="K29" s="9" t="s">
        <v>189</v>
      </c>
      <c r="L29" s="9" t="s">
        <v>176</v>
      </c>
      <c r="M29" s="9"/>
      <c r="N29" s="9" t="s">
        <v>177</v>
      </c>
    </row>
    <row r="30" customFormat="false" ht="15" hidden="false" customHeight="false" outlineLevel="0" collapsed="false">
      <c r="A30" s="31"/>
      <c r="B30" s="13"/>
      <c r="C30" s="13"/>
      <c r="D30" s="32"/>
      <c r="E30" s="32"/>
      <c r="F30" s="14"/>
      <c r="G30" s="23"/>
      <c r="H30" s="16" t="str">
        <f aca="false">IF(F30="","",IF(G30&lt;&gt;"",G30,IF(E30="JPY",IF(ISNUMBER($L$1),ROUND(F30/$L$1,2),"レート未入力"),F30)))</f>
        <v/>
      </c>
      <c r="I30" s="33"/>
      <c r="J30" s="16" t="str">
        <f aca="false">IF(ISNUMBER(H30),ROUND(H30*IF(I30="",1,I30),2),"")</f>
        <v/>
      </c>
      <c r="K30" s="35"/>
      <c r="L30" s="22" t="str">
        <f aca="false">IF(A30="","",IF(A30&lt;DATE(2025,4,6),"2024/25",IF(A30&lt;DATE(2026,4,6),"2025/26",IF(A30&lt;DATE(2027,4,6),"2026/27","2027/28"))))</f>
        <v/>
      </c>
      <c r="N30" s="13"/>
    </row>
    <row r="31" customFormat="false" ht="15" hidden="false" customHeight="false" outlineLevel="0" collapsed="false">
      <c r="A31" s="31"/>
      <c r="B31" s="13"/>
      <c r="C31" s="13"/>
      <c r="D31" s="32"/>
      <c r="E31" s="32"/>
      <c r="F31" s="14"/>
      <c r="G31" s="23"/>
      <c r="H31" s="16" t="str">
        <f aca="false">IF(F31="","",IF(G31&lt;&gt;"",G31,IF(E31="JPY",IF(ISNUMBER($L$1),ROUND(F31/$L$1,2),"レート未入力"),F31)))</f>
        <v/>
      </c>
      <c r="I31" s="33"/>
      <c r="J31" s="16" t="str">
        <f aca="false">IF(ISNUMBER(H31),ROUND(H31*IF(I31="",1,I31),2),"")</f>
        <v/>
      </c>
      <c r="K31" s="35"/>
      <c r="L31" s="22" t="str">
        <f aca="false">IF(A31="","",IF(A31&lt;DATE(2025,4,6),"2024/25",IF(A31&lt;DATE(2026,4,6),"2025/26",IF(A31&lt;DATE(2027,4,6),"2026/27","2027/28"))))</f>
        <v/>
      </c>
      <c r="N31" s="13"/>
    </row>
    <row r="32" customFormat="false" ht="15" hidden="false" customHeight="false" outlineLevel="0" collapsed="false">
      <c r="A32" s="31"/>
      <c r="B32" s="13"/>
      <c r="C32" s="13"/>
      <c r="D32" s="32"/>
      <c r="E32" s="32"/>
      <c r="F32" s="14"/>
      <c r="G32" s="23"/>
      <c r="H32" s="16" t="str">
        <f aca="false">IF(F32="","",IF(G32&lt;&gt;"",G32,IF(E32="JPY",IF(ISNUMBER($L$1),ROUND(F32/$L$1,2),"レート未入力"),F32)))</f>
        <v/>
      </c>
      <c r="I32" s="33"/>
      <c r="J32" s="16" t="str">
        <f aca="false">IF(ISNUMBER(H32),ROUND(H32*IF(I32="",1,I32),2),"")</f>
        <v/>
      </c>
      <c r="K32" s="35"/>
      <c r="L32" s="22" t="str">
        <f aca="false">IF(A32="","",IF(A32&lt;DATE(2025,4,6),"2024/25",IF(A32&lt;DATE(2026,4,6),"2025/26",IF(A32&lt;DATE(2027,4,6),"2026/27","2027/28"))))</f>
        <v/>
      </c>
      <c r="N32" s="13"/>
    </row>
    <row r="33" customFormat="false" ht="15" hidden="false" customHeight="false" outlineLevel="0" collapsed="false">
      <c r="A33" s="31"/>
      <c r="B33" s="13"/>
      <c r="C33" s="13"/>
      <c r="D33" s="32"/>
      <c r="E33" s="32"/>
      <c r="F33" s="14"/>
      <c r="G33" s="23"/>
      <c r="H33" s="16" t="str">
        <f aca="false">IF(F33="","",IF(G33&lt;&gt;"",G33,IF(E33="JPY",IF(ISNUMBER($L$1),ROUND(F33/$L$1,2),"レート未入力"),F33)))</f>
        <v/>
      </c>
      <c r="I33" s="33"/>
      <c r="J33" s="16" t="str">
        <f aca="false">IF(ISNUMBER(H33),ROUND(H33*IF(I33="",1,I33),2),"")</f>
        <v/>
      </c>
      <c r="K33" s="35"/>
      <c r="L33" s="22" t="str">
        <f aca="false">IF(A33="","",IF(A33&lt;DATE(2025,4,6),"2024/25",IF(A33&lt;DATE(2026,4,6),"2025/26",IF(A33&lt;DATE(2027,4,6),"2026/27","2027/28"))))</f>
        <v/>
      </c>
      <c r="N33" s="13"/>
    </row>
    <row r="34" customFormat="false" ht="15" hidden="false" customHeight="false" outlineLevel="0" collapsed="false">
      <c r="A34" s="31"/>
      <c r="B34" s="13"/>
      <c r="C34" s="13"/>
      <c r="D34" s="32"/>
      <c r="E34" s="32"/>
      <c r="F34" s="14"/>
      <c r="G34" s="23"/>
      <c r="H34" s="16" t="str">
        <f aca="false">IF(F34="","",IF(G34&lt;&gt;"",G34,IF(E34="JPY",IF(ISNUMBER($L$1),ROUND(F34/$L$1,2),"レート未入力"),F34)))</f>
        <v/>
      </c>
      <c r="I34" s="33"/>
      <c r="J34" s="16" t="str">
        <f aca="false">IF(ISNUMBER(H34),ROUND(H34*IF(I34="",1,I34),2),"")</f>
        <v/>
      </c>
      <c r="K34" s="35"/>
      <c r="L34" s="22" t="str">
        <f aca="false">IF(A34="","",IF(A34&lt;DATE(2025,4,6),"2024/25",IF(A34&lt;DATE(2026,4,6),"2025/26",IF(A34&lt;DATE(2027,4,6),"2026/27","2027/28"))))</f>
        <v/>
      </c>
      <c r="N34" s="13"/>
    </row>
    <row r="35" customFormat="false" ht="15" hidden="false" customHeight="false" outlineLevel="0" collapsed="false">
      <c r="A35" s="31"/>
      <c r="B35" s="13"/>
      <c r="C35" s="13"/>
      <c r="D35" s="32"/>
      <c r="E35" s="32"/>
      <c r="F35" s="14"/>
      <c r="G35" s="23"/>
      <c r="H35" s="16" t="str">
        <f aca="false">IF(F35="","",IF(G35&lt;&gt;"",G35,IF(E35="JPY",IF(ISNUMBER($L$1),ROUND(F35/$L$1,2),"レート未入力"),F35)))</f>
        <v/>
      </c>
      <c r="I35" s="33"/>
      <c r="J35" s="16" t="str">
        <f aca="false">IF(ISNUMBER(H35),ROUND(H35*IF(I35="",1,I35),2),"")</f>
        <v/>
      </c>
      <c r="K35" s="35"/>
      <c r="L35" s="22" t="str">
        <f aca="false">IF(A35="","",IF(A35&lt;DATE(2025,4,6),"2024/25",IF(A35&lt;DATE(2026,4,6),"2025/26",IF(A35&lt;DATE(2027,4,6),"2026/27","2027/28"))))</f>
        <v/>
      </c>
      <c r="N35" s="13"/>
    </row>
    <row r="36" customFormat="false" ht="15" hidden="false" customHeight="false" outlineLevel="0" collapsed="false">
      <c r="A36" s="31"/>
      <c r="B36" s="13"/>
      <c r="C36" s="13"/>
      <c r="D36" s="32"/>
      <c r="E36" s="32"/>
      <c r="F36" s="14"/>
      <c r="G36" s="23"/>
      <c r="H36" s="16" t="str">
        <f aca="false">IF(F36="","",IF(G36&lt;&gt;"",G36,IF(E36="JPY",IF(ISNUMBER($L$1),ROUND(F36/$L$1,2),"レート未入力"),F36)))</f>
        <v/>
      </c>
      <c r="I36" s="33"/>
      <c r="J36" s="16" t="str">
        <f aca="false">IF(ISNUMBER(H36),ROUND(H36*IF(I36="",1,I36),2),"")</f>
        <v/>
      </c>
      <c r="K36" s="35"/>
      <c r="L36" s="22" t="str">
        <f aca="false">IF(A36="","",IF(A36&lt;DATE(2025,4,6),"2024/25",IF(A36&lt;DATE(2026,4,6),"2025/26",IF(A36&lt;DATE(2027,4,6),"2026/27","2027/28"))))</f>
        <v/>
      </c>
      <c r="N36" s="13"/>
    </row>
    <row r="37" customFormat="false" ht="15" hidden="false" customHeight="false" outlineLevel="0" collapsed="false">
      <c r="A37" s="31"/>
      <c r="B37" s="13"/>
      <c r="C37" s="13"/>
      <c r="D37" s="32"/>
      <c r="E37" s="32"/>
      <c r="F37" s="14"/>
      <c r="G37" s="23"/>
      <c r="H37" s="16" t="str">
        <f aca="false">IF(F37="","",IF(G37&lt;&gt;"",G37,IF(E37="JPY",IF(ISNUMBER($L$1),ROUND(F37/$L$1,2),"レート未入力"),F37)))</f>
        <v/>
      </c>
      <c r="I37" s="33"/>
      <c r="J37" s="16" t="str">
        <f aca="false">IF(ISNUMBER(H37),ROUND(H37*IF(I37="",1,I37),2),"")</f>
        <v/>
      </c>
      <c r="K37" s="35"/>
      <c r="L37" s="22" t="str">
        <f aca="false">IF(A37="","",IF(A37&lt;DATE(2025,4,6),"2024/25",IF(A37&lt;DATE(2026,4,6),"2025/26",IF(A37&lt;DATE(2027,4,6),"2026/27","2027/28"))))</f>
        <v/>
      </c>
      <c r="N37" s="13"/>
    </row>
    <row r="38" customFormat="false" ht="15" hidden="false" customHeight="false" outlineLevel="0" collapsed="false">
      <c r="A38" s="31"/>
      <c r="B38" s="13"/>
      <c r="C38" s="13"/>
      <c r="D38" s="32"/>
      <c r="E38" s="32"/>
      <c r="F38" s="14"/>
      <c r="G38" s="23"/>
      <c r="H38" s="16" t="str">
        <f aca="false">IF(F38="","",IF(G38&lt;&gt;"",G38,IF(E38="JPY",IF(ISNUMBER($L$1),ROUND(F38/$L$1,2),"レート未入力"),F38)))</f>
        <v/>
      </c>
      <c r="I38" s="33"/>
      <c r="J38" s="16" t="str">
        <f aca="false">IF(ISNUMBER(H38),ROUND(H38*IF(I38="",1,I38),2),"")</f>
        <v/>
      </c>
      <c r="K38" s="35"/>
      <c r="L38" s="22" t="str">
        <f aca="false">IF(A38="","",IF(A38&lt;DATE(2025,4,6),"2024/25",IF(A38&lt;DATE(2026,4,6),"2025/26",IF(A38&lt;DATE(2027,4,6),"2026/27","2027/28"))))</f>
        <v/>
      </c>
      <c r="N38" s="13"/>
    </row>
    <row r="39" customFormat="false" ht="15" hidden="false" customHeight="false" outlineLevel="0" collapsed="false">
      <c r="A39" s="31"/>
      <c r="B39" s="13"/>
      <c r="C39" s="13"/>
      <c r="D39" s="32"/>
      <c r="E39" s="32"/>
      <c r="F39" s="14"/>
      <c r="G39" s="23"/>
      <c r="H39" s="16" t="str">
        <f aca="false">IF(F39="","",IF(G39&lt;&gt;"",G39,IF(E39="JPY",IF(ISNUMBER($L$1),ROUND(F39/$L$1,2),"レート未入力"),F39)))</f>
        <v/>
      </c>
      <c r="I39" s="33"/>
      <c r="J39" s="16" t="str">
        <f aca="false">IF(ISNUMBER(H39),ROUND(H39*IF(I39="",1,I39),2),"")</f>
        <v/>
      </c>
      <c r="K39" s="35"/>
      <c r="L39" s="22" t="str">
        <f aca="false">IF(A39="","",IF(A39&lt;DATE(2025,4,6),"2024/25",IF(A39&lt;DATE(2026,4,6),"2025/26",IF(A39&lt;DATE(2027,4,6),"2026/27","2027/28"))))</f>
        <v/>
      </c>
      <c r="N39" s="13"/>
    </row>
    <row r="40" customFormat="false" ht="15" hidden="false" customHeight="false" outlineLevel="0" collapsed="false">
      <c r="A40" s="31"/>
      <c r="B40" s="13"/>
      <c r="C40" s="13"/>
      <c r="D40" s="32"/>
      <c r="E40" s="32"/>
      <c r="F40" s="14"/>
      <c r="G40" s="23"/>
      <c r="H40" s="16" t="str">
        <f aca="false">IF(F40="","",IF(G40&lt;&gt;"",G40,IF(E40="JPY",IF(ISNUMBER($L$1),ROUND(F40/$L$1,2),"レート未入力"),F40)))</f>
        <v/>
      </c>
      <c r="I40" s="33"/>
      <c r="J40" s="16" t="str">
        <f aca="false">IF(ISNUMBER(H40),ROUND(H40*IF(I40="",1,I40),2),"")</f>
        <v/>
      </c>
      <c r="K40" s="35"/>
      <c r="L40" s="22" t="str">
        <f aca="false">IF(A40="","",IF(A40&lt;DATE(2025,4,6),"2024/25",IF(A40&lt;DATE(2026,4,6),"2025/26",IF(A40&lt;DATE(2027,4,6),"2026/27","2027/28"))))</f>
        <v/>
      </c>
      <c r="N40" s="13"/>
    </row>
    <row r="41" customFormat="false" ht="15" hidden="false" customHeight="false" outlineLevel="0" collapsed="false">
      <c r="A41" s="31"/>
      <c r="B41" s="13"/>
      <c r="C41" s="13"/>
      <c r="D41" s="32"/>
      <c r="E41" s="32"/>
      <c r="F41" s="14"/>
      <c r="G41" s="23"/>
      <c r="H41" s="16" t="str">
        <f aca="false">IF(F41="","",IF(G41&lt;&gt;"",G41,IF(E41="JPY",IF(ISNUMBER($L$1),ROUND(F41/$L$1,2),"レート未入力"),F41)))</f>
        <v/>
      </c>
      <c r="I41" s="33"/>
      <c r="J41" s="16" t="str">
        <f aca="false">IF(ISNUMBER(H41),ROUND(H41*IF(I41="",1,I41),2),"")</f>
        <v/>
      </c>
      <c r="K41" s="35"/>
      <c r="L41" s="22" t="str">
        <f aca="false">IF(A41="","",IF(A41&lt;DATE(2025,4,6),"2024/25",IF(A41&lt;DATE(2026,4,6),"2025/26",IF(A41&lt;DATE(2027,4,6),"2026/27","2027/28"))))</f>
        <v/>
      </c>
      <c r="N41" s="13"/>
    </row>
    <row r="42" customFormat="false" ht="15" hidden="false" customHeight="false" outlineLevel="0" collapsed="false">
      <c r="A42" s="31"/>
      <c r="B42" s="13"/>
      <c r="C42" s="13"/>
      <c r="D42" s="32"/>
      <c r="E42" s="32"/>
      <c r="F42" s="14"/>
      <c r="G42" s="23"/>
      <c r="H42" s="16" t="str">
        <f aca="false">IF(F42="","",IF(G42&lt;&gt;"",G42,IF(E42="JPY",IF(ISNUMBER($L$1),ROUND(F42/$L$1,2),"レート未入力"),F42)))</f>
        <v/>
      </c>
      <c r="I42" s="33"/>
      <c r="J42" s="16" t="str">
        <f aca="false">IF(ISNUMBER(H42),ROUND(H42*IF(I42="",1,I42),2),"")</f>
        <v/>
      </c>
      <c r="K42" s="35"/>
      <c r="L42" s="22" t="str">
        <f aca="false">IF(A42="","",IF(A42&lt;DATE(2025,4,6),"2024/25",IF(A42&lt;DATE(2026,4,6),"2025/26",IF(A42&lt;DATE(2027,4,6),"2026/27","2027/28"))))</f>
        <v/>
      </c>
      <c r="N42" s="13"/>
    </row>
    <row r="43" customFormat="false" ht="15" hidden="false" customHeight="false" outlineLevel="0" collapsed="false">
      <c r="A43" s="31"/>
      <c r="B43" s="13"/>
      <c r="C43" s="13"/>
      <c r="D43" s="32"/>
      <c r="E43" s="32"/>
      <c r="F43" s="14"/>
      <c r="G43" s="23"/>
      <c r="H43" s="16" t="str">
        <f aca="false">IF(F43="","",IF(G43&lt;&gt;"",G43,IF(E43="JPY",IF(ISNUMBER($L$1),ROUND(F43/$L$1,2),"レート未入力"),F43)))</f>
        <v/>
      </c>
      <c r="I43" s="33"/>
      <c r="J43" s="16" t="str">
        <f aca="false">IF(ISNUMBER(H43),ROUND(H43*IF(I43="",1,I43),2),"")</f>
        <v/>
      </c>
      <c r="K43" s="35"/>
      <c r="L43" s="22" t="str">
        <f aca="false">IF(A43="","",IF(A43&lt;DATE(2025,4,6),"2024/25",IF(A43&lt;DATE(2026,4,6),"2025/26",IF(A43&lt;DATE(2027,4,6),"2026/27","2027/28"))))</f>
        <v/>
      </c>
      <c r="N43" s="13"/>
    </row>
    <row r="44" customFormat="false" ht="15" hidden="false" customHeight="false" outlineLevel="0" collapsed="false">
      <c r="A44" s="31"/>
      <c r="B44" s="13"/>
      <c r="C44" s="13"/>
      <c r="D44" s="32"/>
      <c r="E44" s="32"/>
      <c r="F44" s="14"/>
      <c r="G44" s="23"/>
      <c r="H44" s="16" t="str">
        <f aca="false">IF(F44="","",IF(G44&lt;&gt;"",G44,IF(E44="JPY",IF(ISNUMBER($L$1),ROUND(F44/$L$1,2),"レート未入力"),F44)))</f>
        <v/>
      </c>
      <c r="I44" s="33"/>
      <c r="J44" s="16" t="str">
        <f aca="false">IF(ISNUMBER(H44),ROUND(H44*IF(I44="",1,I44),2),"")</f>
        <v/>
      </c>
      <c r="K44" s="35"/>
      <c r="L44" s="22" t="str">
        <f aca="false">IF(A44="","",IF(A44&lt;DATE(2025,4,6),"2024/25",IF(A44&lt;DATE(2026,4,6),"2025/26",IF(A44&lt;DATE(2027,4,6),"2026/27","2027/28"))))</f>
        <v/>
      </c>
      <c r="N44" s="13"/>
    </row>
    <row r="45" customFormat="false" ht="15" hidden="false" customHeight="false" outlineLevel="0" collapsed="false">
      <c r="A45" s="31"/>
      <c r="B45" s="13"/>
      <c r="C45" s="13"/>
      <c r="D45" s="32"/>
      <c r="E45" s="32"/>
      <c r="F45" s="14"/>
      <c r="G45" s="23"/>
      <c r="H45" s="16" t="str">
        <f aca="false">IF(F45="","",IF(G45&lt;&gt;"",G45,IF(E45="JPY",IF(ISNUMBER($L$1),ROUND(F45/$L$1,2),"レート未入力"),F45)))</f>
        <v/>
      </c>
      <c r="I45" s="33"/>
      <c r="J45" s="16" t="str">
        <f aca="false">IF(ISNUMBER(H45),ROUND(H45*IF(I45="",1,I45),2),"")</f>
        <v/>
      </c>
      <c r="K45" s="35"/>
      <c r="L45" s="22" t="str">
        <f aca="false">IF(A45="","",IF(A45&lt;DATE(2025,4,6),"2024/25",IF(A45&lt;DATE(2026,4,6),"2025/26",IF(A45&lt;DATE(2027,4,6),"2026/27","2027/28"))))</f>
        <v/>
      </c>
      <c r="N45" s="13"/>
    </row>
    <row r="46" customFormat="false" ht="15" hidden="false" customHeight="false" outlineLevel="0" collapsed="false">
      <c r="A46" s="31"/>
      <c r="B46" s="13"/>
      <c r="C46" s="13"/>
      <c r="D46" s="32"/>
      <c r="E46" s="32"/>
      <c r="F46" s="14"/>
      <c r="G46" s="23"/>
      <c r="H46" s="16" t="str">
        <f aca="false">IF(F46="","",IF(G46&lt;&gt;"",G46,IF(E46="JPY",IF(ISNUMBER($L$1),ROUND(F46/$L$1,2),"レート未入力"),F46)))</f>
        <v/>
      </c>
      <c r="I46" s="33"/>
      <c r="J46" s="16" t="str">
        <f aca="false">IF(ISNUMBER(H46),ROUND(H46*IF(I46="",1,I46),2),"")</f>
        <v/>
      </c>
      <c r="K46" s="35"/>
      <c r="L46" s="22" t="str">
        <f aca="false">IF(A46="","",IF(A46&lt;DATE(2025,4,6),"2024/25",IF(A46&lt;DATE(2026,4,6),"2025/26",IF(A46&lt;DATE(2027,4,6),"2026/27","2027/28"))))</f>
        <v/>
      </c>
      <c r="N46" s="13"/>
    </row>
    <row r="47" customFormat="false" ht="15" hidden="false" customHeight="false" outlineLevel="0" collapsed="false">
      <c r="A47" s="31"/>
      <c r="B47" s="13"/>
      <c r="C47" s="13"/>
      <c r="D47" s="32"/>
      <c r="E47" s="32"/>
      <c r="F47" s="14"/>
      <c r="G47" s="23"/>
      <c r="H47" s="16" t="str">
        <f aca="false">IF(F47="","",IF(G47&lt;&gt;"",G47,IF(E47="JPY",IF(ISNUMBER($L$1),ROUND(F47/$L$1,2),"レート未入力"),F47)))</f>
        <v/>
      </c>
      <c r="I47" s="33"/>
      <c r="J47" s="16" t="str">
        <f aca="false">IF(ISNUMBER(H47),ROUND(H47*IF(I47="",1,I47),2),"")</f>
        <v/>
      </c>
      <c r="K47" s="35"/>
      <c r="L47" s="22" t="str">
        <f aca="false">IF(A47="","",IF(A47&lt;DATE(2025,4,6),"2024/25",IF(A47&lt;DATE(2026,4,6),"2025/26",IF(A47&lt;DATE(2027,4,6),"2026/27","2027/28"))))</f>
        <v/>
      </c>
      <c r="N47" s="13"/>
    </row>
    <row r="48" customFormat="false" ht="15" hidden="false" customHeight="false" outlineLevel="0" collapsed="false">
      <c r="A48" s="31"/>
      <c r="B48" s="13"/>
      <c r="C48" s="13"/>
      <c r="D48" s="32"/>
      <c r="E48" s="32"/>
      <c r="F48" s="14"/>
      <c r="G48" s="23"/>
      <c r="H48" s="16" t="str">
        <f aca="false">IF(F48="","",IF(G48&lt;&gt;"",G48,IF(E48="JPY",IF(ISNUMBER($L$1),ROUND(F48/$L$1,2),"レート未入力"),F48)))</f>
        <v/>
      </c>
      <c r="I48" s="33"/>
      <c r="J48" s="16" t="str">
        <f aca="false">IF(ISNUMBER(H48),ROUND(H48*IF(I48="",1,I48),2),"")</f>
        <v/>
      </c>
      <c r="K48" s="35"/>
      <c r="L48" s="22" t="str">
        <f aca="false">IF(A48="","",IF(A48&lt;DATE(2025,4,6),"2024/25",IF(A48&lt;DATE(2026,4,6),"2025/26",IF(A48&lt;DATE(2027,4,6),"2026/27","2027/28"))))</f>
        <v/>
      </c>
      <c r="N48" s="13"/>
    </row>
    <row r="49" customFormat="false" ht="15" hidden="false" customHeight="false" outlineLevel="0" collapsed="false">
      <c r="A49" s="31"/>
      <c r="B49" s="13"/>
      <c r="C49" s="13"/>
      <c r="D49" s="32"/>
      <c r="E49" s="32"/>
      <c r="F49" s="14"/>
      <c r="G49" s="23"/>
      <c r="H49" s="16" t="str">
        <f aca="false">IF(F49="","",IF(G49&lt;&gt;"",G49,IF(E49="JPY",IF(ISNUMBER($L$1),ROUND(F49/$L$1,2),"レート未入力"),F49)))</f>
        <v/>
      </c>
      <c r="I49" s="33"/>
      <c r="J49" s="16" t="str">
        <f aca="false">IF(ISNUMBER(H49),ROUND(H49*IF(I49="",1,I49),2),"")</f>
        <v/>
      </c>
      <c r="K49" s="35"/>
      <c r="L49" s="22" t="str">
        <f aca="false">IF(A49="","",IF(A49&lt;DATE(2025,4,6),"2024/25",IF(A49&lt;DATE(2026,4,6),"2025/26",IF(A49&lt;DATE(2027,4,6),"2026/27","2027/28"))))</f>
        <v/>
      </c>
      <c r="N49" s="13"/>
    </row>
    <row r="50" customFormat="false" ht="15" hidden="false" customHeight="false" outlineLevel="0" collapsed="false">
      <c r="A50" s="31"/>
      <c r="B50" s="13"/>
      <c r="C50" s="13"/>
      <c r="D50" s="32"/>
      <c r="E50" s="32"/>
      <c r="F50" s="14"/>
      <c r="G50" s="23"/>
      <c r="H50" s="16" t="str">
        <f aca="false">IF(F50="","",IF(G50&lt;&gt;"",G50,IF(E50="JPY",IF(ISNUMBER($L$1),ROUND(F50/$L$1,2),"レート未入力"),F50)))</f>
        <v/>
      </c>
      <c r="I50" s="33"/>
      <c r="J50" s="16" t="str">
        <f aca="false">IF(ISNUMBER(H50),ROUND(H50*IF(I50="",1,I50),2),"")</f>
        <v/>
      </c>
      <c r="K50" s="35"/>
      <c r="L50" s="22" t="str">
        <f aca="false">IF(A50="","",IF(A50&lt;DATE(2025,4,6),"2024/25",IF(A50&lt;DATE(2026,4,6),"2025/26",IF(A50&lt;DATE(2027,4,6),"2026/27","2027/28"))))</f>
        <v/>
      </c>
      <c r="N50" s="13"/>
    </row>
    <row r="51" customFormat="false" ht="15" hidden="false" customHeight="false" outlineLevel="0" collapsed="false">
      <c r="A51" s="31"/>
      <c r="B51" s="13"/>
      <c r="C51" s="13"/>
      <c r="D51" s="32"/>
      <c r="E51" s="32"/>
      <c r="F51" s="14"/>
      <c r="G51" s="23"/>
      <c r="H51" s="16" t="str">
        <f aca="false">IF(F51="","",IF(G51&lt;&gt;"",G51,IF(E51="JPY",IF(ISNUMBER($L$1),ROUND(F51/$L$1,2),"レート未入力"),F51)))</f>
        <v/>
      </c>
      <c r="I51" s="33"/>
      <c r="J51" s="16" t="str">
        <f aca="false">IF(ISNUMBER(H51),ROUND(H51*IF(I51="",1,I51),2),"")</f>
        <v/>
      </c>
      <c r="K51" s="35"/>
      <c r="L51" s="22" t="str">
        <f aca="false">IF(A51="","",IF(A51&lt;DATE(2025,4,6),"2024/25",IF(A51&lt;DATE(2026,4,6),"2025/26",IF(A51&lt;DATE(2027,4,6),"2026/27","2027/28"))))</f>
        <v/>
      </c>
      <c r="N51" s="13"/>
    </row>
    <row r="52" customFormat="false" ht="15" hidden="false" customHeight="false" outlineLevel="0" collapsed="false">
      <c r="A52" s="31"/>
      <c r="B52" s="13"/>
      <c r="C52" s="13"/>
      <c r="D52" s="32"/>
      <c r="E52" s="32"/>
      <c r="F52" s="14"/>
      <c r="G52" s="23"/>
      <c r="H52" s="16" t="str">
        <f aca="false">IF(F52="","",IF(G52&lt;&gt;"",G52,IF(E52="JPY",IF(ISNUMBER($L$1),ROUND(F52/$L$1,2),"レート未入力"),F52)))</f>
        <v/>
      </c>
      <c r="I52" s="33"/>
      <c r="J52" s="16" t="str">
        <f aca="false">IF(ISNUMBER(H52),ROUND(H52*IF(I52="",1,I52),2),"")</f>
        <v/>
      </c>
      <c r="K52" s="35"/>
      <c r="L52" s="22" t="str">
        <f aca="false">IF(A52="","",IF(A52&lt;DATE(2025,4,6),"2024/25",IF(A52&lt;DATE(2026,4,6),"2025/26",IF(A52&lt;DATE(2027,4,6),"2026/27","2027/28"))))</f>
        <v/>
      </c>
      <c r="N52" s="13"/>
    </row>
    <row r="53" customFormat="false" ht="15" hidden="false" customHeight="false" outlineLevel="0" collapsed="false">
      <c r="A53" s="31"/>
      <c r="B53" s="13"/>
      <c r="C53" s="13"/>
      <c r="D53" s="32"/>
      <c r="E53" s="32"/>
      <c r="F53" s="14"/>
      <c r="G53" s="23"/>
      <c r="H53" s="16" t="str">
        <f aca="false">IF(F53="","",IF(G53&lt;&gt;"",G53,IF(E53="JPY",IF(ISNUMBER($L$1),ROUND(F53/$L$1,2),"レート未入力"),F53)))</f>
        <v/>
      </c>
      <c r="I53" s="33"/>
      <c r="J53" s="16" t="str">
        <f aca="false">IF(ISNUMBER(H53),ROUND(H53*IF(I53="",1,I53),2),"")</f>
        <v/>
      </c>
      <c r="K53" s="35"/>
      <c r="L53" s="22" t="str">
        <f aca="false">IF(A53="","",IF(A53&lt;DATE(2025,4,6),"2024/25",IF(A53&lt;DATE(2026,4,6),"2025/26",IF(A53&lt;DATE(2027,4,6),"2026/27","2027/28"))))</f>
        <v/>
      </c>
      <c r="N53" s="13"/>
    </row>
    <row r="54" customFormat="false" ht="15" hidden="false" customHeight="false" outlineLevel="0" collapsed="false">
      <c r="A54" s="31"/>
      <c r="B54" s="13"/>
      <c r="C54" s="13"/>
      <c r="D54" s="32"/>
      <c r="E54" s="32"/>
      <c r="F54" s="14"/>
      <c r="G54" s="23"/>
      <c r="H54" s="16" t="str">
        <f aca="false">IF(F54="","",IF(G54&lt;&gt;"",G54,IF(E54="JPY",IF(ISNUMBER($L$1),ROUND(F54/$L$1,2),"レート未入力"),F54)))</f>
        <v/>
      </c>
      <c r="I54" s="33"/>
      <c r="J54" s="16" t="str">
        <f aca="false">IF(ISNUMBER(H54),ROUND(H54*IF(I54="",1,I54),2),"")</f>
        <v/>
      </c>
      <c r="K54" s="35"/>
      <c r="L54" s="22" t="str">
        <f aca="false">IF(A54="","",IF(A54&lt;DATE(2025,4,6),"2024/25",IF(A54&lt;DATE(2026,4,6),"2025/26",IF(A54&lt;DATE(2027,4,6),"2026/27","2027/28"))))</f>
        <v/>
      </c>
      <c r="N54" s="13"/>
    </row>
    <row r="55" customFormat="false" ht="15" hidden="false" customHeight="false" outlineLevel="0" collapsed="false">
      <c r="A55" s="31"/>
      <c r="B55" s="13"/>
      <c r="C55" s="13"/>
      <c r="D55" s="32"/>
      <c r="E55" s="32"/>
      <c r="F55" s="14"/>
      <c r="G55" s="23"/>
      <c r="H55" s="16" t="str">
        <f aca="false">IF(F55="","",IF(G55&lt;&gt;"",G55,IF(E55="JPY",IF(ISNUMBER($L$1),ROUND(F55/$L$1,2),"レート未入力"),F55)))</f>
        <v/>
      </c>
      <c r="I55" s="33"/>
      <c r="J55" s="16" t="str">
        <f aca="false">IF(ISNUMBER(H55),ROUND(H55*IF(I55="",1,I55),2),"")</f>
        <v/>
      </c>
      <c r="K55" s="35"/>
      <c r="L55" s="22" t="str">
        <f aca="false">IF(A55="","",IF(A55&lt;DATE(2025,4,6),"2024/25",IF(A55&lt;DATE(2026,4,6),"2025/26",IF(A55&lt;DATE(2027,4,6),"2026/27","2027/28"))))</f>
        <v/>
      </c>
      <c r="N55" s="13"/>
    </row>
    <row r="56" customFormat="false" ht="15" hidden="false" customHeight="false" outlineLevel="0" collapsed="false">
      <c r="A56" s="31"/>
      <c r="B56" s="13"/>
      <c r="C56" s="13"/>
      <c r="D56" s="32"/>
      <c r="E56" s="32"/>
      <c r="F56" s="14"/>
      <c r="G56" s="23"/>
      <c r="H56" s="16" t="str">
        <f aca="false">IF(F56="","",IF(G56&lt;&gt;"",G56,IF(E56="JPY",IF(ISNUMBER($L$1),ROUND(F56/$L$1,2),"レート未入力"),F56)))</f>
        <v/>
      </c>
      <c r="I56" s="33"/>
      <c r="J56" s="16" t="str">
        <f aca="false">IF(ISNUMBER(H56),ROUND(H56*IF(I56="",1,I56),2),"")</f>
        <v/>
      </c>
      <c r="K56" s="35"/>
      <c r="L56" s="22" t="str">
        <f aca="false">IF(A56="","",IF(A56&lt;DATE(2025,4,6),"2024/25",IF(A56&lt;DATE(2026,4,6),"2025/26",IF(A56&lt;DATE(2027,4,6),"2026/27","2027/28"))))</f>
        <v/>
      </c>
      <c r="N56" s="13"/>
    </row>
    <row r="57" customFormat="false" ht="15" hidden="false" customHeight="false" outlineLevel="0" collapsed="false">
      <c r="A57" s="31"/>
      <c r="B57" s="13"/>
      <c r="C57" s="13"/>
      <c r="D57" s="32"/>
      <c r="E57" s="32"/>
      <c r="F57" s="14"/>
      <c r="G57" s="23"/>
      <c r="H57" s="16" t="str">
        <f aca="false">IF(F57="","",IF(G57&lt;&gt;"",G57,IF(E57="JPY",IF(ISNUMBER($L$1),ROUND(F57/$L$1,2),"レート未入力"),F57)))</f>
        <v/>
      </c>
      <c r="I57" s="33"/>
      <c r="J57" s="16" t="str">
        <f aca="false">IF(ISNUMBER(H57),ROUND(H57*IF(I57="",1,I57),2),"")</f>
        <v/>
      </c>
      <c r="K57" s="35"/>
      <c r="L57" s="22" t="str">
        <f aca="false">IF(A57="","",IF(A57&lt;DATE(2025,4,6),"2024/25",IF(A57&lt;DATE(2026,4,6),"2025/26",IF(A57&lt;DATE(2027,4,6),"2026/27","2027/28"))))</f>
        <v/>
      </c>
      <c r="N57" s="13"/>
    </row>
    <row r="58" customFormat="false" ht="15" hidden="false" customHeight="false" outlineLevel="0" collapsed="false">
      <c r="A58" s="31"/>
      <c r="B58" s="13"/>
      <c r="C58" s="13"/>
      <c r="D58" s="32"/>
      <c r="E58" s="32"/>
      <c r="F58" s="14"/>
      <c r="G58" s="23"/>
      <c r="H58" s="16" t="str">
        <f aca="false">IF(F58="","",IF(G58&lt;&gt;"",G58,IF(E58="JPY",IF(ISNUMBER($L$1),ROUND(F58/$L$1,2),"レート未入力"),F58)))</f>
        <v/>
      </c>
      <c r="I58" s="33"/>
      <c r="J58" s="16" t="str">
        <f aca="false">IF(ISNUMBER(H58),ROUND(H58*IF(I58="",1,I58),2),"")</f>
        <v/>
      </c>
      <c r="K58" s="35"/>
      <c r="L58" s="22" t="str">
        <f aca="false">IF(A58="","",IF(A58&lt;DATE(2025,4,6),"2024/25",IF(A58&lt;DATE(2026,4,6),"2025/26",IF(A58&lt;DATE(2027,4,6),"2026/27","2027/28"))))</f>
        <v/>
      </c>
      <c r="N58" s="13"/>
    </row>
    <row r="59" customFormat="false" ht="15" hidden="false" customHeight="false" outlineLevel="0" collapsed="false">
      <c r="A59" s="31"/>
      <c r="B59" s="13"/>
      <c r="C59" s="13"/>
      <c r="D59" s="32"/>
      <c r="E59" s="32"/>
      <c r="F59" s="14"/>
      <c r="G59" s="23"/>
      <c r="H59" s="16" t="str">
        <f aca="false">IF(F59="","",IF(G59&lt;&gt;"",G59,IF(E59="JPY",IF(ISNUMBER($L$1),ROUND(F59/$L$1,2),"レート未入力"),F59)))</f>
        <v/>
      </c>
      <c r="I59" s="33"/>
      <c r="J59" s="16" t="str">
        <f aca="false">IF(ISNUMBER(H59),ROUND(H59*IF(I59="",1,I59),2),"")</f>
        <v/>
      </c>
      <c r="K59" s="35"/>
      <c r="L59" s="22" t="str">
        <f aca="false">IF(A59="","",IF(A59&lt;DATE(2025,4,6),"2024/25",IF(A59&lt;DATE(2026,4,6),"2025/26",IF(A59&lt;DATE(2027,4,6),"2026/27","2027/28"))))</f>
        <v/>
      </c>
      <c r="N59" s="13"/>
    </row>
    <row r="60" customFormat="false" ht="15" hidden="false" customHeight="false" outlineLevel="0" collapsed="false">
      <c r="A60" s="31"/>
      <c r="B60" s="13"/>
      <c r="C60" s="13"/>
      <c r="D60" s="32"/>
      <c r="E60" s="32"/>
      <c r="F60" s="14"/>
      <c r="G60" s="23"/>
      <c r="H60" s="16" t="str">
        <f aca="false">IF(F60="","",IF(G60&lt;&gt;"",G60,IF(E60="JPY",IF(ISNUMBER($L$1),ROUND(F60/$L$1,2),"レート未入力"),F60)))</f>
        <v/>
      </c>
      <c r="I60" s="33"/>
      <c r="J60" s="16" t="str">
        <f aca="false">IF(ISNUMBER(H60),ROUND(H60*IF(I60="",1,I60),2),"")</f>
        <v/>
      </c>
      <c r="K60" s="35"/>
      <c r="L60" s="22" t="str">
        <f aca="false">IF(A60="","",IF(A60&lt;DATE(2025,4,6),"2024/25",IF(A60&lt;DATE(2026,4,6),"2025/26",IF(A60&lt;DATE(2027,4,6),"2026/27","2027/28"))))</f>
        <v/>
      </c>
      <c r="N60" s="13"/>
    </row>
    <row r="61" customFormat="false" ht="15" hidden="false" customHeight="false" outlineLevel="0" collapsed="false">
      <c r="A61" s="31"/>
      <c r="B61" s="13"/>
      <c r="C61" s="13"/>
      <c r="D61" s="32"/>
      <c r="E61" s="32"/>
      <c r="F61" s="14"/>
      <c r="G61" s="23"/>
      <c r="H61" s="16" t="str">
        <f aca="false">IF(F61="","",IF(G61&lt;&gt;"",G61,IF(E61="JPY",IF(ISNUMBER($L$1),ROUND(F61/$L$1,2),"レート未入力"),F61)))</f>
        <v/>
      </c>
      <c r="I61" s="33"/>
      <c r="J61" s="16" t="str">
        <f aca="false">IF(ISNUMBER(H61),ROUND(H61*IF(I61="",1,I61),2),"")</f>
        <v/>
      </c>
      <c r="K61" s="35"/>
      <c r="L61" s="22" t="str">
        <f aca="false">IF(A61="","",IF(A61&lt;DATE(2025,4,6),"2024/25",IF(A61&lt;DATE(2026,4,6),"2025/26",IF(A61&lt;DATE(2027,4,6),"2026/27","2027/28"))))</f>
        <v/>
      </c>
      <c r="N61" s="13"/>
    </row>
    <row r="62" customFormat="false" ht="15" hidden="false" customHeight="false" outlineLevel="0" collapsed="false">
      <c r="A62" s="31"/>
      <c r="B62" s="13"/>
      <c r="C62" s="13"/>
      <c r="D62" s="32"/>
      <c r="E62" s="32"/>
      <c r="F62" s="14"/>
      <c r="G62" s="23"/>
      <c r="H62" s="16" t="str">
        <f aca="false">IF(F62="","",IF(G62&lt;&gt;"",G62,IF(E62="JPY",IF(ISNUMBER($L$1),ROUND(F62/$L$1,2),"レート未入力"),F62)))</f>
        <v/>
      </c>
      <c r="I62" s="33"/>
      <c r="J62" s="16" t="str">
        <f aca="false">IF(ISNUMBER(H62),ROUND(H62*IF(I62="",1,I62),2),"")</f>
        <v/>
      </c>
      <c r="K62" s="35"/>
      <c r="L62" s="22" t="str">
        <f aca="false">IF(A62="","",IF(A62&lt;DATE(2025,4,6),"2024/25",IF(A62&lt;DATE(2026,4,6),"2025/26",IF(A62&lt;DATE(2027,4,6),"2026/27","2027/28"))))</f>
        <v/>
      </c>
      <c r="N62" s="13"/>
    </row>
    <row r="63" customFormat="false" ht="15" hidden="false" customHeight="false" outlineLevel="0" collapsed="false">
      <c r="A63" s="31"/>
      <c r="B63" s="13"/>
      <c r="C63" s="13"/>
      <c r="D63" s="32"/>
      <c r="E63" s="32"/>
      <c r="F63" s="14"/>
      <c r="G63" s="23"/>
      <c r="H63" s="16" t="str">
        <f aca="false">IF(F63="","",IF(G63&lt;&gt;"",G63,IF(E63="JPY",IF(ISNUMBER($L$1),ROUND(F63/$L$1,2),"レート未入力"),F63)))</f>
        <v/>
      </c>
      <c r="I63" s="33"/>
      <c r="J63" s="16" t="str">
        <f aca="false">IF(ISNUMBER(H63),ROUND(H63*IF(I63="",1,I63),2),"")</f>
        <v/>
      </c>
      <c r="K63" s="35"/>
      <c r="L63" s="22" t="str">
        <f aca="false">IF(A63="","",IF(A63&lt;DATE(2025,4,6),"2024/25",IF(A63&lt;DATE(2026,4,6),"2025/26",IF(A63&lt;DATE(2027,4,6),"2026/27","2027/28"))))</f>
        <v/>
      </c>
      <c r="N63" s="13"/>
    </row>
    <row r="64" customFormat="false" ht="15" hidden="false" customHeight="false" outlineLevel="0" collapsed="false">
      <c r="A64" s="31"/>
      <c r="B64" s="13"/>
      <c r="C64" s="13"/>
      <c r="D64" s="32"/>
      <c r="E64" s="32"/>
      <c r="F64" s="14"/>
      <c r="G64" s="23"/>
      <c r="H64" s="16" t="str">
        <f aca="false">IF(F64="","",IF(G64&lt;&gt;"",G64,IF(E64="JPY",IF(ISNUMBER($L$1),ROUND(F64/$L$1,2),"レート未入力"),F64)))</f>
        <v/>
      </c>
      <c r="I64" s="33"/>
      <c r="J64" s="16" t="str">
        <f aca="false">IF(ISNUMBER(H64),ROUND(H64*IF(I64="",1,I64),2),"")</f>
        <v/>
      </c>
      <c r="K64" s="35"/>
      <c r="L64" s="22" t="str">
        <f aca="false">IF(A64="","",IF(A64&lt;DATE(2025,4,6),"2024/25",IF(A64&lt;DATE(2026,4,6),"2025/26",IF(A64&lt;DATE(2027,4,6),"2026/27","2027/28"))))</f>
        <v/>
      </c>
      <c r="N64" s="13"/>
    </row>
    <row r="65" customFormat="false" ht="15" hidden="false" customHeight="false" outlineLevel="0" collapsed="false">
      <c r="A65" s="31"/>
      <c r="B65" s="13"/>
      <c r="C65" s="13"/>
      <c r="D65" s="32"/>
      <c r="E65" s="32"/>
      <c r="F65" s="14"/>
      <c r="G65" s="23"/>
      <c r="H65" s="16" t="str">
        <f aca="false">IF(F65="","",IF(G65&lt;&gt;"",G65,IF(E65="JPY",IF(ISNUMBER($L$1),ROUND(F65/$L$1,2),"レート未入力"),F65)))</f>
        <v/>
      </c>
      <c r="I65" s="33"/>
      <c r="J65" s="16" t="str">
        <f aca="false">IF(ISNUMBER(H65),ROUND(H65*IF(I65="",1,I65),2),"")</f>
        <v/>
      </c>
      <c r="K65" s="35"/>
      <c r="L65" s="22" t="str">
        <f aca="false">IF(A65="","",IF(A65&lt;DATE(2025,4,6),"2024/25",IF(A65&lt;DATE(2026,4,6),"2025/26",IF(A65&lt;DATE(2027,4,6),"2026/27","2027/28"))))</f>
        <v/>
      </c>
      <c r="N65" s="13"/>
    </row>
    <row r="66" customFormat="false" ht="15" hidden="false" customHeight="false" outlineLevel="0" collapsed="false">
      <c r="A66" s="31"/>
      <c r="B66" s="13"/>
      <c r="C66" s="13"/>
      <c r="D66" s="32"/>
      <c r="E66" s="32"/>
      <c r="F66" s="14"/>
      <c r="G66" s="23"/>
      <c r="H66" s="16" t="str">
        <f aca="false">IF(F66="","",IF(G66&lt;&gt;"",G66,IF(E66="JPY",IF(ISNUMBER($L$1),ROUND(F66/$L$1,2),"レート未入力"),F66)))</f>
        <v/>
      </c>
      <c r="I66" s="33"/>
      <c r="J66" s="16" t="str">
        <f aca="false">IF(ISNUMBER(H66),ROUND(H66*IF(I66="",1,I66),2),"")</f>
        <v/>
      </c>
      <c r="K66" s="35"/>
      <c r="L66" s="22" t="str">
        <f aca="false">IF(A66="","",IF(A66&lt;DATE(2025,4,6),"2024/25",IF(A66&lt;DATE(2026,4,6),"2025/26",IF(A66&lt;DATE(2027,4,6),"2026/27","2027/28"))))</f>
        <v/>
      </c>
      <c r="N66" s="13"/>
    </row>
    <row r="67" customFormat="false" ht="15" hidden="false" customHeight="false" outlineLevel="0" collapsed="false">
      <c r="A67" s="31"/>
      <c r="B67" s="13"/>
      <c r="C67" s="13"/>
      <c r="D67" s="32"/>
      <c r="E67" s="32"/>
      <c r="F67" s="14"/>
      <c r="G67" s="23"/>
      <c r="H67" s="16" t="str">
        <f aca="false">IF(F67="","",IF(G67&lt;&gt;"",G67,IF(E67="JPY",IF(ISNUMBER($L$1),ROUND(F67/$L$1,2),"レート未入力"),F67)))</f>
        <v/>
      </c>
      <c r="I67" s="33"/>
      <c r="J67" s="16" t="str">
        <f aca="false">IF(ISNUMBER(H67),ROUND(H67*IF(I67="",1,I67),2),"")</f>
        <v/>
      </c>
      <c r="K67" s="35"/>
      <c r="L67" s="22" t="str">
        <f aca="false">IF(A67="","",IF(A67&lt;DATE(2025,4,6),"2024/25",IF(A67&lt;DATE(2026,4,6),"2025/26",IF(A67&lt;DATE(2027,4,6),"2026/27","2027/28"))))</f>
        <v/>
      </c>
      <c r="N67" s="13"/>
    </row>
    <row r="68" customFormat="false" ht="15" hidden="false" customHeight="false" outlineLevel="0" collapsed="false">
      <c r="A68" s="31"/>
      <c r="B68" s="13"/>
      <c r="C68" s="13"/>
      <c r="D68" s="32"/>
      <c r="E68" s="32"/>
      <c r="F68" s="14"/>
      <c r="G68" s="23"/>
      <c r="H68" s="16" t="str">
        <f aca="false">IF(F68="","",IF(G68&lt;&gt;"",G68,IF(E68="JPY",IF(ISNUMBER($L$1),ROUND(F68/$L$1,2),"レート未入力"),F68)))</f>
        <v/>
      </c>
      <c r="I68" s="33"/>
      <c r="J68" s="16" t="str">
        <f aca="false">IF(ISNUMBER(H68),ROUND(H68*IF(I68="",1,I68),2),"")</f>
        <v/>
      </c>
      <c r="K68" s="35"/>
      <c r="L68" s="22" t="str">
        <f aca="false">IF(A68="","",IF(A68&lt;DATE(2025,4,6),"2024/25",IF(A68&lt;DATE(2026,4,6),"2025/26",IF(A68&lt;DATE(2027,4,6),"2026/27","2027/28"))))</f>
        <v/>
      </c>
      <c r="N68" s="13"/>
    </row>
    <row r="69" customFormat="false" ht="15" hidden="false" customHeight="false" outlineLevel="0" collapsed="false">
      <c r="A69" s="31"/>
      <c r="B69" s="13"/>
      <c r="C69" s="13"/>
      <c r="D69" s="32"/>
      <c r="E69" s="32"/>
      <c r="F69" s="14"/>
      <c r="G69" s="23"/>
      <c r="H69" s="16" t="str">
        <f aca="false">IF(F69="","",IF(G69&lt;&gt;"",G69,IF(E69="JPY",IF(ISNUMBER($L$1),ROUND(F69/$L$1,2),"レート未入力"),F69)))</f>
        <v/>
      </c>
      <c r="I69" s="33"/>
      <c r="J69" s="16" t="str">
        <f aca="false">IF(ISNUMBER(H69),ROUND(H69*IF(I69="",1,I69),2),"")</f>
        <v/>
      </c>
      <c r="K69" s="35"/>
      <c r="L69" s="22" t="str">
        <f aca="false">IF(A69="","",IF(A69&lt;DATE(2025,4,6),"2024/25",IF(A69&lt;DATE(2026,4,6),"2025/26",IF(A69&lt;DATE(2027,4,6),"2026/27","2027/28"))))</f>
        <v/>
      </c>
      <c r="N69" s="13"/>
    </row>
    <row r="70" customFormat="false" ht="15" hidden="false" customHeight="false" outlineLevel="0" collapsed="false">
      <c r="A70" s="3" t="s">
        <v>196</v>
      </c>
      <c r="J70" s="18" t="n">
        <f aca="false">SUM(J30:J69)</f>
        <v>0</v>
      </c>
    </row>
    <row r="72" customFormat="false" ht="15" hidden="false" customHeight="false" outlineLevel="0" collapsed="false">
      <c r="A72" s="26" t="s">
        <v>197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customFormat="false" ht="15" hidden="false" customHeight="false" outlineLevel="0" collapsed="false">
      <c r="A73" s="17" t="s">
        <v>137</v>
      </c>
      <c r="D73" s="36" t="s">
        <v>16</v>
      </c>
      <c r="E73" s="36" t="s">
        <v>18</v>
      </c>
      <c r="F73" s="36"/>
    </row>
    <row r="74" customFormat="false" ht="15" hidden="false" customHeight="false" outlineLevel="0" collapsed="false">
      <c r="A74" s="17" t="s">
        <v>183</v>
      </c>
      <c r="D74" s="18" t="n">
        <f aca="false">SUMIFS($H$6:$H$25,$J$6:$J$25,"2025/26")</f>
        <v>0</v>
      </c>
      <c r="E74" s="18" t="n">
        <f aca="false">SUMIFS($H$6:$H$25,$J$6:$J$25,"2026/27")</f>
        <v>0</v>
      </c>
      <c r="F74" s="18"/>
    </row>
    <row r="75" customFormat="false" ht="15" hidden="false" customHeight="false" outlineLevel="0" collapsed="false">
      <c r="A75" s="21" t="s">
        <v>41</v>
      </c>
      <c r="D75" s="16" t="n">
        <f aca="false">SUMIFS($J$30:$J$69,$D$30:$D$69,$A75,$L$30:$L$69,"2025/26")</f>
        <v>0</v>
      </c>
      <c r="E75" s="16" t="n">
        <f aca="false">SUMIFS($J$30:$J$69,$D$30:$D$69,$A75,$L$30:$L$69,"2026/27")</f>
        <v>0</v>
      </c>
      <c r="F75" s="16"/>
    </row>
    <row r="76" customFormat="false" ht="15" hidden="false" customHeight="false" outlineLevel="0" collapsed="false">
      <c r="A76" s="21" t="s">
        <v>43</v>
      </c>
      <c r="D76" s="16" t="n">
        <f aca="false">SUMIFS($J$30:$J$69,$D$30:$D$69,$A76,$L$30:$L$69,"2025/26")</f>
        <v>0</v>
      </c>
      <c r="E76" s="16" t="n">
        <f aca="false">SUMIFS($J$30:$J$69,$D$30:$D$69,$A76,$L$30:$L$69,"2026/27")</f>
        <v>0</v>
      </c>
      <c r="F76" s="16"/>
    </row>
    <row r="77" customFormat="false" ht="15" hidden="false" customHeight="false" outlineLevel="0" collapsed="false">
      <c r="A77" s="21" t="s">
        <v>45</v>
      </c>
      <c r="D77" s="16" t="n">
        <f aca="false">SUMIFS($J$30:$J$69,$D$30:$D$69,$A77,$L$30:$L$69,"2025/26")</f>
        <v>0</v>
      </c>
      <c r="E77" s="16" t="n">
        <f aca="false">SUMIFS($J$30:$J$69,$D$30:$D$69,$A77,$L$30:$L$69,"2026/27")</f>
        <v>0</v>
      </c>
      <c r="F77" s="16"/>
    </row>
    <row r="78" customFormat="false" ht="15" hidden="false" customHeight="false" outlineLevel="0" collapsed="false">
      <c r="A78" s="21" t="s">
        <v>47</v>
      </c>
      <c r="D78" s="16" t="n">
        <f aca="false">SUMIFS($J$30:$J$69,$D$30:$D$69,$A78,$L$30:$L$69,"2025/26")</f>
        <v>0</v>
      </c>
      <c r="E78" s="16" t="n">
        <f aca="false">SUMIFS($J$30:$J$69,$D$30:$D$69,$A78,$L$30:$L$69,"2026/27")</f>
        <v>0</v>
      </c>
      <c r="F78" s="16"/>
    </row>
    <row r="79" customFormat="false" ht="15" hidden="false" customHeight="false" outlineLevel="0" collapsed="false">
      <c r="A79" s="21" t="s">
        <v>49</v>
      </c>
      <c r="D79" s="16" t="n">
        <f aca="false">SUMIFS($J$30:$J$69,$D$30:$D$69,$A79,$L$30:$L$69,"2025/26")</f>
        <v>0</v>
      </c>
      <c r="E79" s="16" t="n">
        <f aca="false">SUMIFS($J$30:$J$69,$D$30:$D$69,$A79,$L$30:$L$69,"2026/27")</f>
        <v>0</v>
      </c>
      <c r="F79" s="16"/>
    </row>
    <row r="80" customFormat="false" ht="15" hidden="false" customHeight="false" outlineLevel="0" collapsed="false">
      <c r="A80" s="21" t="s">
        <v>51</v>
      </c>
      <c r="D80" s="16" t="n">
        <f aca="false">SUMIFS($J$30:$J$69,$D$30:$D$69,$A80,$L$30:$L$69,"2025/26")</f>
        <v>0</v>
      </c>
      <c r="E80" s="16" t="n">
        <f aca="false">SUMIFS($J$30:$J$69,$D$30:$D$69,$A80,$L$30:$L$69,"2026/27")</f>
        <v>0</v>
      </c>
      <c r="F80" s="16"/>
    </row>
    <row r="81" customFormat="false" ht="15" hidden="false" customHeight="false" outlineLevel="0" collapsed="false">
      <c r="A81" s="21" t="s">
        <v>53</v>
      </c>
      <c r="D81" s="16" t="n">
        <f aca="false">SUMIFS($J$30:$J$69,$D$30:$D$69,$A81,$L$30:$L$69,"2025/26")</f>
        <v>0</v>
      </c>
      <c r="E81" s="16" t="n">
        <f aca="false">SUMIFS($J$30:$J$69,$D$30:$D$69,$A81,$L$30:$L$69,"2026/27")</f>
        <v>0</v>
      </c>
      <c r="F81" s="16"/>
    </row>
    <row r="82" customFormat="false" ht="15" hidden="false" customHeight="false" outlineLevel="0" collapsed="false">
      <c r="A82" s="21" t="s">
        <v>55</v>
      </c>
      <c r="D82" s="16" t="n">
        <f aca="false">SUMIFS($J$30:$J$69,$D$30:$D$69,$A82,$L$30:$L$69,"2025/26")</f>
        <v>0</v>
      </c>
      <c r="E82" s="16" t="n">
        <f aca="false">SUMIFS($J$30:$J$69,$D$30:$D$69,$A82,$L$30:$L$69,"2026/27")</f>
        <v>0</v>
      </c>
      <c r="F82" s="16"/>
    </row>
    <row r="83" customFormat="false" ht="15" hidden="false" customHeight="false" outlineLevel="0" collapsed="false">
      <c r="A83" s="21" t="s">
        <v>57</v>
      </c>
      <c r="D83" s="16" t="n">
        <f aca="false">SUMIFS($J$30:$J$69,$D$30:$D$69,$A83,$L$30:$L$69,"2025/26")</f>
        <v>0</v>
      </c>
      <c r="E83" s="16" t="n">
        <f aca="false">SUMIFS($J$30:$J$69,$D$30:$D$69,$A83,$L$30:$L$69,"2026/27")</f>
        <v>0</v>
      </c>
      <c r="F83" s="16"/>
    </row>
    <row r="84" customFormat="false" ht="15" hidden="false" customHeight="false" outlineLevel="0" collapsed="false">
      <c r="A84" s="21" t="s">
        <v>59</v>
      </c>
      <c r="D84" s="16" t="n">
        <f aca="false">SUMIFS($J$30:$J$69,$D$30:$D$69,$A84,$L$30:$L$69,"2025/26")</f>
        <v>0</v>
      </c>
      <c r="E84" s="16" t="n">
        <f aca="false">SUMIFS($J$30:$J$69,$D$30:$D$69,$A84,$L$30:$L$69,"2026/27")</f>
        <v>0</v>
      </c>
      <c r="F84" s="16"/>
    </row>
    <row r="85" customFormat="false" ht="15" hidden="false" customHeight="false" outlineLevel="0" collapsed="false">
      <c r="A85" s="21" t="s">
        <v>61</v>
      </c>
      <c r="D85" s="16" t="n">
        <f aca="false">SUMIFS($J$30:$J$69,$D$30:$D$69,$A85,$L$30:$L$69,"2025/26")</f>
        <v>0</v>
      </c>
      <c r="E85" s="16" t="n">
        <f aca="false">SUMIFS($J$30:$J$69,$D$30:$D$69,$A85,$L$30:$L$69,"2026/27")</f>
        <v>0</v>
      </c>
      <c r="F85" s="16"/>
    </row>
    <row r="86" customFormat="false" ht="15" hidden="false" customHeight="false" outlineLevel="0" collapsed="false">
      <c r="A86" s="21" t="s">
        <v>63</v>
      </c>
      <c r="D86" s="16" t="n">
        <f aca="false">SUMIFS($J$30:$J$69,$D$30:$D$69,$A86,$L$30:$L$69,"2025/26")</f>
        <v>0</v>
      </c>
      <c r="E86" s="16" t="n">
        <f aca="false">SUMIFS($J$30:$J$69,$D$30:$D$69,$A86,$L$30:$L$69,"2026/27")</f>
        <v>0</v>
      </c>
      <c r="F86" s="16"/>
    </row>
    <row r="87" customFormat="false" ht="15" hidden="false" customHeight="false" outlineLevel="0" collapsed="false">
      <c r="A87" s="21" t="s">
        <v>64</v>
      </c>
      <c r="D87" s="16" t="n">
        <f aca="false">SUMIFS($J$30:$J$69,$D$30:$D$69,$A87,$L$30:$L$69,"2025/26")</f>
        <v>0</v>
      </c>
      <c r="E87" s="16" t="n">
        <f aca="false">SUMIFS($J$30:$J$69,$D$30:$D$69,$A87,$L$30:$L$69,"2026/27")</f>
        <v>0</v>
      </c>
      <c r="F87" s="16"/>
    </row>
    <row r="88" customFormat="false" ht="15" hidden="false" customHeight="false" outlineLevel="0" collapsed="false">
      <c r="A88" s="17" t="s">
        <v>198</v>
      </c>
      <c r="D88" s="18" t="n">
        <f aca="false">SUM(D75:D86)</f>
        <v>0</v>
      </c>
      <c r="E88" s="18" t="n">
        <f aca="false">SUM(E75:E86)</f>
        <v>0</v>
      </c>
      <c r="F88" s="18"/>
    </row>
    <row r="89" customFormat="false" ht="15" hidden="false" customHeight="false" outlineLevel="0" collapsed="false">
      <c r="A89" s="17" t="s">
        <v>199</v>
      </c>
      <c r="D89" s="18" t="n">
        <f aca="false">D74-D88-D87</f>
        <v>0</v>
      </c>
      <c r="E89" s="18" t="n">
        <f aca="false">E74-E88-E87</f>
        <v>0</v>
      </c>
      <c r="F89" s="18"/>
    </row>
    <row r="90" customFormat="false" ht="15" hidden="false" customHeight="false" outlineLevel="0" collapsed="false">
      <c r="A90" s="37" t="s">
        <v>200</v>
      </c>
    </row>
    <row r="91" customFormat="false" ht="15" hidden="false" customHeight="false" outlineLevel="0" collapsed="false">
      <c r="A91" s="21" t="s">
        <v>201</v>
      </c>
      <c r="D91" s="16" t="n">
        <f aca="false">SUMIFS($J$30:$J$69,$D$30:$D$69,"")</f>
        <v>0</v>
      </c>
    </row>
  </sheetData>
  <mergeCells count="17"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</mergeCells>
  <dataValidations count="5">
    <dataValidation allowBlank="true" error="0%〜100%で入力してください" errorStyle="stop" operator="between" showDropDown="false" showErrorMessage="true" showInputMessage="false" sqref="I30:I69" type="decimal">
      <formula1>0</formula1>
      <formula2>1</formula2>
    </dataValidation>
    <dataValidation allowBlank="true" errorStyle="stop" operator="between" showDropDown="false" showErrorMessage="false" showInputMessage="false" sqref="E6:E25 E30:E69" type="list">
      <formula1>_list!$B$1:$B$2</formula1>
      <formula2>0</formula2>
    </dataValidation>
    <dataValidation allowBlank="true" errorStyle="stop" operator="between" showDropDown="false" showErrorMessage="false" showInputMessage="false" sqref="D30:D69" type="list">
      <formula1>_list!$A$1:$A$13</formula1>
      <formula2>0</formula2>
    </dataValidation>
    <dataValidation allowBlank="true" errorStyle="stop" operator="between" showDropDown="false" showErrorMessage="false" showInputMessage="false" sqref="D6:D25" type="list">
      <formula1>_list!$C$1:$C$7</formula1>
      <formula2>0</formula2>
    </dataValidation>
    <dataValidation allowBlank="true" error="日付で入力してください（例：2025/5/2）" errorStyle="stop" operator="between" showDropDown="false" showErrorMessage="true" showInputMessage="false" sqref="A6:A25 A30:A69" type="date">
      <formula1>DATE(2025,4,1)</formula1>
      <formula2>DATE(2027,12,31)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24"/>
  </cols>
  <sheetData>
    <row r="1" customFormat="false" ht="19.4" hidden="false" customHeight="false" outlineLevel="0" collapsed="false">
      <c r="A1" s="1" t="s">
        <v>204</v>
      </c>
      <c r="J1" s="3" t="s">
        <v>164</v>
      </c>
      <c r="L1" s="25" t="str">
        <f aca="false">IF(為替レート!$B$8="","未入力",為替レート!$B$8)</f>
        <v>未入力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26" t="s">
        <v>166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customFormat="false" ht="30" hidden="false" customHeight="true" outlineLevel="0" collapsed="false">
      <c r="A5" s="9" t="s">
        <v>167</v>
      </c>
      <c r="B5" s="9" t="s">
        <v>168</v>
      </c>
      <c r="C5" s="9" t="s">
        <v>169</v>
      </c>
      <c r="D5" s="9" t="s">
        <v>170</v>
      </c>
      <c r="E5" s="9" t="s">
        <v>171</v>
      </c>
      <c r="F5" s="9" t="s">
        <v>172</v>
      </c>
      <c r="G5" s="9" t="s">
        <v>173</v>
      </c>
      <c r="H5" s="9" t="s">
        <v>174</v>
      </c>
      <c r="I5" s="9" t="s">
        <v>175</v>
      </c>
      <c r="J5" s="9" t="s">
        <v>176</v>
      </c>
      <c r="K5" s="9"/>
      <c r="L5" s="9"/>
      <c r="M5" s="9"/>
      <c r="N5" s="9" t="s">
        <v>177</v>
      </c>
    </row>
    <row r="6" customFormat="false" ht="15" hidden="false" customHeight="false" outlineLevel="0" collapsed="false">
      <c r="A6" s="31"/>
      <c r="B6" s="13"/>
      <c r="C6" s="13"/>
      <c r="D6" s="32"/>
      <c r="E6" s="32"/>
      <c r="F6" s="14"/>
      <c r="G6" s="23"/>
      <c r="H6" s="16" t="str">
        <f aca="false">IF(F6="","",IF(G6&lt;&gt;"",G6,IF(E6="JPY",IF(ISNUMBER($L$1),ROUND(F6/$L$1,2),"レート未入力"),F6)))</f>
        <v/>
      </c>
      <c r="I6" s="13"/>
      <c r="J6" s="22" t="str">
        <f aca="false">IF(A6="","",IF(A6&lt;DATE(2025,4,6),"2024/25",IF(A6&lt;DATE(2026,4,6),"2025/26",IF(A6&lt;DATE(2027,4,6),"2026/27","2027/28"))))</f>
        <v/>
      </c>
      <c r="N6" s="13"/>
    </row>
    <row r="7" customFormat="false" ht="15" hidden="false" customHeight="false" outlineLevel="0" collapsed="false">
      <c r="A7" s="31"/>
      <c r="B7" s="13"/>
      <c r="C7" s="13"/>
      <c r="D7" s="32"/>
      <c r="E7" s="32"/>
      <c r="F7" s="14"/>
      <c r="G7" s="23"/>
      <c r="H7" s="16" t="str">
        <f aca="false">IF(F7="","",IF(G7&lt;&gt;"",G7,IF(E7="JPY",IF(ISNUMBER($L$1),ROUND(F7/$L$1,2),"レート未入力"),F7)))</f>
        <v/>
      </c>
      <c r="I7" s="13"/>
      <c r="J7" s="22" t="str">
        <f aca="false">IF(A7="","",IF(A7&lt;DATE(2025,4,6),"2024/25",IF(A7&lt;DATE(2026,4,6),"2025/26",IF(A7&lt;DATE(2027,4,6),"2026/27","2027/28"))))</f>
        <v/>
      </c>
      <c r="N7" s="13"/>
    </row>
    <row r="8" customFormat="false" ht="15" hidden="false" customHeight="false" outlineLevel="0" collapsed="false">
      <c r="A8" s="31"/>
      <c r="B8" s="13"/>
      <c r="C8" s="13"/>
      <c r="D8" s="32"/>
      <c r="E8" s="32"/>
      <c r="F8" s="14"/>
      <c r="G8" s="23"/>
      <c r="H8" s="16" t="str">
        <f aca="false">IF(F8="","",IF(G8&lt;&gt;"",G8,IF(E8="JPY",IF(ISNUMBER($L$1),ROUND(F8/$L$1,2),"レート未入力"),F8)))</f>
        <v/>
      </c>
      <c r="I8" s="13"/>
      <c r="J8" s="22" t="str">
        <f aca="false">IF(A8="","",IF(A8&lt;DATE(2025,4,6),"2024/25",IF(A8&lt;DATE(2026,4,6),"2025/26",IF(A8&lt;DATE(2027,4,6),"2026/27","2027/28"))))</f>
        <v/>
      </c>
      <c r="N8" s="13"/>
    </row>
    <row r="9" customFormat="false" ht="15" hidden="false" customHeight="false" outlineLevel="0" collapsed="false">
      <c r="A9" s="31"/>
      <c r="B9" s="13"/>
      <c r="C9" s="13"/>
      <c r="D9" s="32"/>
      <c r="E9" s="32"/>
      <c r="F9" s="14"/>
      <c r="G9" s="23"/>
      <c r="H9" s="16" t="str">
        <f aca="false">IF(F9="","",IF(G9&lt;&gt;"",G9,IF(E9="JPY",IF(ISNUMBER($L$1),ROUND(F9/$L$1,2),"レート未入力"),F9)))</f>
        <v/>
      </c>
      <c r="I9" s="13"/>
      <c r="J9" s="22" t="str">
        <f aca="false">IF(A9="","",IF(A9&lt;DATE(2025,4,6),"2024/25",IF(A9&lt;DATE(2026,4,6),"2025/26",IF(A9&lt;DATE(2027,4,6),"2026/27","2027/28"))))</f>
        <v/>
      </c>
      <c r="N9" s="13"/>
    </row>
    <row r="10" customFormat="false" ht="15" hidden="false" customHeight="false" outlineLevel="0" collapsed="false">
      <c r="A10" s="31"/>
      <c r="B10" s="13"/>
      <c r="C10" s="13"/>
      <c r="D10" s="32"/>
      <c r="E10" s="32"/>
      <c r="F10" s="14"/>
      <c r="G10" s="23"/>
      <c r="H10" s="16" t="str">
        <f aca="false">IF(F10="","",IF(G10&lt;&gt;"",G10,IF(E10="JPY",IF(ISNUMBER($L$1),ROUND(F10/$L$1,2),"レート未入力"),F10)))</f>
        <v/>
      </c>
      <c r="I10" s="13"/>
      <c r="J10" s="22" t="str">
        <f aca="false">IF(A10="","",IF(A10&lt;DATE(2025,4,6),"2024/25",IF(A10&lt;DATE(2026,4,6),"2025/26",IF(A10&lt;DATE(2027,4,6),"2026/27","2027/28"))))</f>
        <v/>
      </c>
      <c r="N10" s="13"/>
    </row>
    <row r="11" customFormat="false" ht="15" hidden="false" customHeight="false" outlineLevel="0" collapsed="false">
      <c r="A11" s="31"/>
      <c r="B11" s="13"/>
      <c r="C11" s="13"/>
      <c r="D11" s="32"/>
      <c r="E11" s="32"/>
      <c r="F11" s="14"/>
      <c r="G11" s="23"/>
      <c r="H11" s="16" t="str">
        <f aca="false">IF(F11="","",IF(G11&lt;&gt;"",G11,IF(E11="JPY",IF(ISNUMBER($L$1),ROUND(F11/$L$1,2),"レート未入力"),F11)))</f>
        <v/>
      </c>
      <c r="I11" s="13"/>
      <c r="J11" s="22" t="str">
        <f aca="false">IF(A11="","",IF(A11&lt;DATE(2025,4,6),"2024/25",IF(A11&lt;DATE(2026,4,6),"2025/26",IF(A11&lt;DATE(2027,4,6),"2026/27","2027/28"))))</f>
        <v/>
      </c>
      <c r="N11" s="13"/>
    </row>
    <row r="12" customFormat="false" ht="15" hidden="false" customHeight="false" outlineLevel="0" collapsed="false">
      <c r="A12" s="31"/>
      <c r="B12" s="13"/>
      <c r="C12" s="13"/>
      <c r="D12" s="32"/>
      <c r="E12" s="32"/>
      <c r="F12" s="14"/>
      <c r="G12" s="23"/>
      <c r="H12" s="16" t="str">
        <f aca="false">IF(F12="","",IF(G12&lt;&gt;"",G12,IF(E12="JPY",IF(ISNUMBER($L$1),ROUND(F12/$L$1,2),"レート未入力"),F12)))</f>
        <v/>
      </c>
      <c r="I12" s="13"/>
      <c r="J12" s="22" t="str">
        <f aca="false">IF(A12="","",IF(A12&lt;DATE(2025,4,6),"2024/25",IF(A12&lt;DATE(2026,4,6),"2025/26",IF(A12&lt;DATE(2027,4,6),"2026/27","2027/28"))))</f>
        <v/>
      </c>
      <c r="N12" s="13"/>
    </row>
    <row r="13" customFormat="false" ht="15" hidden="false" customHeight="false" outlineLevel="0" collapsed="false">
      <c r="A13" s="31"/>
      <c r="B13" s="13"/>
      <c r="C13" s="13"/>
      <c r="D13" s="32"/>
      <c r="E13" s="32"/>
      <c r="F13" s="14"/>
      <c r="G13" s="23"/>
      <c r="H13" s="16" t="str">
        <f aca="false">IF(F13="","",IF(G13&lt;&gt;"",G13,IF(E13="JPY",IF(ISNUMBER($L$1),ROUND(F13/$L$1,2),"レート未入力"),F13)))</f>
        <v/>
      </c>
      <c r="I13" s="13"/>
      <c r="J13" s="22" t="str">
        <f aca="false">IF(A13="","",IF(A13&lt;DATE(2025,4,6),"2024/25",IF(A13&lt;DATE(2026,4,6),"2025/26",IF(A13&lt;DATE(2027,4,6),"2026/27","2027/28"))))</f>
        <v/>
      </c>
      <c r="N13" s="13"/>
    </row>
    <row r="14" customFormat="false" ht="15" hidden="false" customHeight="false" outlineLevel="0" collapsed="false">
      <c r="A14" s="31"/>
      <c r="B14" s="13"/>
      <c r="C14" s="13"/>
      <c r="D14" s="32"/>
      <c r="E14" s="32"/>
      <c r="F14" s="14"/>
      <c r="G14" s="23"/>
      <c r="H14" s="16" t="str">
        <f aca="false">IF(F14="","",IF(G14&lt;&gt;"",G14,IF(E14="JPY",IF(ISNUMBER($L$1),ROUND(F14/$L$1,2),"レート未入力"),F14)))</f>
        <v/>
      </c>
      <c r="I14" s="13"/>
      <c r="J14" s="22" t="str">
        <f aca="false">IF(A14="","",IF(A14&lt;DATE(2025,4,6),"2024/25",IF(A14&lt;DATE(2026,4,6),"2025/26",IF(A14&lt;DATE(2027,4,6),"2026/27","2027/28"))))</f>
        <v/>
      </c>
      <c r="N14" s="13"/>
    </row>
    <row r="15" customFormat="false" ht="15" hidden="false" customHeight="false" outlineLevel="0" collapsed="false">
      <c r="A15" s="31"/>
      <c r="B15" s="13"/>
      <c r="C15" s="13"/>
      <c r="D15" s="32"/>
      <c r="E15" s="32"/>
      <c r="F15" s="14"/>
      <c r="G15" s="23"/>
      <c r="H15" s="16" t="str">
        <f aca="false">IF(F15="","",IF(G15&lt;&gt;"",G15,IF(E15="JPY",IF(ISNUMBER($L$1),ROUND(F15/$L$1,2),"レート未入力"),F15)))</f>
        <v/>
      </c>
      <c r="I15" s="13"/>
      <c r="J15" s="22" t="str">
        <f aca="false">IF(A15="","",IF(A15&lt;DATE(2025,4,6),"2024/25",IF(A15&lt;DATE(2026,4,6),"2025/26",IF(A15&lt;DATE(2027,4,6),"2026/27","2027/28"))))</f>
        <v/>
      </c>
      <c r="N15" s="13"/>
    </row>
    <row r="16" customFormat="false" ht="15" hidden="false" customHeight="false" outlineLevel="0" collapsed="false">
      <c r="A16" s="31"/>
      <c r="B16" s="13"/>
      <c r="C16" s="13"/>
      <c r="D16" s="32"/>
      <c r="E16" s="32"/>
      <c r="F16" s="14"/>
      <c r="G16" s="23"/>
      <c r="H16" s="16" t="str">
        <f aca="false">IF(F16="","",IF(G16&lt;&gt;"",G16,IF(E16="JPY",IF(ISNUMBER($L$1),ROUND(F16/$L$1,2),"レート未入力"),F16)))</f>
        <v/>
      </c>
      <c r="I16" s="13"/>
      <c r="J16" s="22" t="str">
        <f aca="false">IF(A16="","",IF(A16&lt;DATE(2025,4,6),"2024/25",IF(A16&lt;DATE(2026,4,6),"2025/26",IF(A16&lt;DATE(2027,4,6),"2026/27","2027/28"))))</f>
        <v/>
      </c>
      <c r="N16" s="13"/>
    </row>
    <row r="17" customFormat="false" ht="15" hidden="false" customHeight="false" outlineLevel="0" collapsed="false">
      <c r="A17" s="31"/>
      <c r="B17" s="13"/>
      <c r="C17" s="13"/>
      <c r="D17" s="32"/>
      <c r="E17" s="32"/>
      <c r="F17" s="14"/>
      <c r="G17" s="23"/>
      <c r="H17" s="16" t="str">
        <f aca="false">IF(F17="","",IF(G17&lt;&gt;"",G17,IF(E17="JPY",IF(ISNUMBER($L$1),ROUND(F17/$L$1,2),"レート未入力"),F17)))</f>
        <v/>
      </c>
      <c r="I17" s="13"/>
      <c r="J17" s="22" t="str">
        <f aca="false">IF(A17="","",IF(A17&lt;DATE(2025,4,6),"2024/25",IF(A17&lt;DATE(2026,4,6),"2025/26",IF(A17&lt;DATE(2027,4,6),"2026/27","2027/28"))))</f>
        <v/>
      </c>
      <c r="N17" s="13"/>
    </row>
    <row r="18" customFormat="false" ht="15" hidden="false" customHeight="false" outlineLevel="0" collapsed="false">
      <c r="A18" s="31"/>
      <c r="B18" s="13"/>
      <c r="C18" s="13"/>
      <c r="D18" s="32"/>
      <c r="E18" s="32"/>
      <c r="F18" s="14"/>
      <c r="G18" s="23"/>
      <c r="H18" s="16" t="str">
        <f aca="false">IF(F18="","",IF(G18&lt;&gt;"",G18,IF(E18="JPY",IF(ISNUMBER($L$1),ROUND(F18/$L$1,2),"レート未入力"),F18)))</f>
        <v/>
      </c>
      <c r="I18" s="13"/>
      <c r="J18" s="22" t="str">
        <f aca="false">IF(A18="","",IF(A18&lt;DATE(2025,4,6),"2024/25",IF(A18&lt;DATE(2026,4,6),"2025/26",IF(A18&lt;DATE(2027,4,6),"2026/27","2027/28"))))</f>
        <v/>
      </c>
      <c r="N18" s="13"/>
    </row>
    <row r="19" customFormat="false" ht="15" hidden="false" customHeight="false" outlineLevel="0" collapsed="false">
      <c r="A19" s="31"/>
      <c r="B19" s="13"/>
      <c r="C19" s="13"/>
      <c r="D19" s="32"/>
      <c r="E19" s="32"/>
      <c r="F19" s="14"/>
      <c r="G19" s="23"/>
      <c r="H19" s="16" t="str">
        <f aca="false">IF(F19="","",IF(G19&lt;&gt;"",G19,IF(E19="JPY",IF(ISNUMBER($L$1),ROUND(F19/$L$1,2),"レート未入力"),F19)))</f>
        <v/>
      </c>
      <c r="I19" s="13"/>
      <c r="J19" s="22" t="str">
        <f aca="false">IF(A19="","",IF(A19&lt;DATE(2025,4,6),"2024/25",IF(A19&lt;DATE(2026,4,6),"2025/26",IF(A19&lt;DATE(2027,4,6),"2026/27","2027/28"))))</f>
        <v/>
      </c>
      <c r="N19" s="13"/>
    </row>
    <row r="20" customFormat="false" ht="15" hidden="false" customHeight="false" outlineLevel="0" collapsed="false">
      <c r="A20" s="31"/>
      <c r="B20" s="13"/>
      <c r="C20" s="13"/>
      <c r="D20" s="32"/>
      <c r="E20" s="32"/>
      <c r="F20" s="14"/>
      <c r="G20" s="23"/>
      <c r="H20" s="16" t="str">
        <f aca="false">IF(F20="","",IF(G20&lt;&gt;"",G20,IF(E20="JPY",IF(ISNUMBER($L$1),ROUND(F20/$L$1,2),"レート未入力"),F20)))</f>
        <v/>
      </c>
      <c r="I20" s="13"/>
      <c r="J20" s="22" t="str">
        <f aca="false">IF(A20="","",IF(A20&lt;DATE(2025,4,6),"2024/25",IF(A20&lt;DATE(2026,4,6),"2025/26",IF(A20&lt;DATE(2027,4,6),"2026/27","2027/28"))))</f>
        <v/>
      </c>
      <c r="N20" s="13"/>
    </row>
    <row r="21" customFormat="false" ht="15" hidden="false" customHeight="false" outlineLevel="0" collapsed="false">
      <c r="A21" s="31"/>
      <c r="B21" s="13"/>
      <c r="C21" s="13"/>
      <c r="D21" s="32"/>
      <c r="E21" s="32"/>
      <c r="F21" s="14"/>
      <c r="G21" s="23"/>
      <c r="H21" s="16" t="str">
        <f aca="false">IF(F21="","",IF(G21&lt;&gt;"",G21,IF(E21="JPY",IF(ISNUMBER($L$1),ROUND(F21/$L$1,2),"レート未入力"),F21)))</f>
        <v/>
      </c>
      <c r="I21" s="13"/>
      <c r="J21" s="22" t="str">
        <f aca="false">IF(A21="","",IF(A21&lt;DATE(2025,4,6),"2024/25",IF(A21&lt;DATE(2026,4,6),"2025/26",IF(A21&lt;DATE(2027,4,6),"2026/27","2027/28"))))</f>
        <v/>
      </c>
      <c r="N21" s="13"/>
    </row>
    <row r="22" customFormat="false" ht="15" hidden="false" customHeight="false" outlineLevel="0" collapsed="false">
      <c r="A22" s="31"/>
      <c r="B22" s="13"/>
      <c r="C22" s="13"/>
      <c r="D22" s="32"/>
      <c r="E22" s="32"/>
      <c r="F22" s="14"/>
      <c r="G22" s="23"/>
      <c r="H22" s="16" t="str">
        <f aca="false">IF(F22="","",IF(G22&lt;&gt;"",G22,IF(E22="JPY",IF(ISNUMBER($L$1),ROUND(F22/$L$1,2),"レート未入力"),F22)))</f>
        <v/>
      </c>
      <c r="I22" s="13"/>
      <c r="J22" s="22" t="str">
        <f aca="false">IF(A22="","",IF(A22&lt;DATE(2025,4,6),"2024/25",IF(A22&lt;DATE(2026,4,6),"2025/26",IF(A22&lt;DATE(2027,4,6),"2026/27","2027/28"))))</f>
        <v/>
      </c>
      <c r="N22" s="13"/>
    </row>
    <row r="23" customFormat="false" ht="15" hidden="false" customHeight="false" outlineLevel="0" collapsed="false">
      <c r="A23" s="31"/>
      <c r="B23" s="13"/>
      <c r="C23" s="13"/>
      <c r="D23" s="32"/>
      <c r="E23" s="32"/>
      <c r="F23" s="14"/>
      <c r="G23" s="23"/>
      <c r="H23" s="16" t="str">
        <f aca="false">IF(F23="","",IF(G23&lt;&gt;"",G23,IF(E23="JPY",IF(ISNUMBER($L$1),ROUND(F23/$L$1,2),"レート未入力"),F23)))</f>
        <v/>
      </c>
      <c r="I23" s="13"/>
      <c r="J23" s="22" t="str">
        <f aca="false">IF(A23="","",IF(A23&lt;DATE(2025,4,6),"2024/25",IF(A23&lt;DATE(2026,4,6),"2025/26",IF(A23&lt;DATE(2027,4,6),"2026/27","2027/28"))))</f>
        <v/>
      </c>
      <c r="N23" s="13"/>
    </row>
    <row r="24" customFormat="false" ht="15" hidden="false" customHeight="false" outlineLevel="0" collapsed="false">
      <c r="A24" s="31"/>
      <c r="B24" s="13"/>
      <c r="C24" s="13"/>
      <c r="D24" s="32"/>
      <c r="E24" s="32"/>
      <c r="F24" s="14"/>
      <c r="G24" s="23"/>
      <c r="H24" s="16" t="str">
        <f aca="false">IF(F24="","",IF(G24&lt;&gt;"",G24,IF(E24="JPY",IF(ISNUMBER($L$1),ROUND(F24/$L$1,2),"レート未入力"),F24)))</f>
        <v/>
      </c>
      <c r="I24" s="13"/>
      <c r="J24" s="22" t="str">
        <f aca="false">IF(A24="","",IF(A24&lt;DATE(2025,4,6),"2024/25",IF(A24&lt;DATE(2026,4,6),"2025/26",IF(A24&lt;DATE(2027,4,6),"2026/27","2027/28"))))</f>
        <v/>
      </c>
      <c r="N24" s="13"/>
    </row>
    <row r="25" customFormat="false" ht="15" hidden="false" customHeight="false" outlineLevel="0" collapsed="false">
      <c r="A25" s="31"/>
      <c r="B25" s="13"/>
      <c r="C25" s="13"/>
      <c r="D25" s="32"/>
      <c r="E25" s="32"/>
      <c r="F25" s="14"/>
      <c r="G25" s="23"/>
      <c r="H25" s="16" t="str">
        <f aca="false">IF(F25="","",IF(G25&lt;&gt;"",G25,IF(E25="JPY",IF(ISNUMBER($L$1),ROUND(F25/$L$1,2),"レート未入力"),F25)))</f>
        <v/>
      </c>
      <c r="I25" s="13"/>
      <c r="J25" s="22" t="str">
        <f aca="false">IF(A25="","",IF(A25&lt;DATE(2025,4,6),"2024/25",IF(A25&lt;DATE(2026,4,6),"2025/26",IF(A25&lt;DATE(2027,4,6),"2026/27","2027/28"))))</f>
        <v/>
      </c>
      <c r="N25" s="13"/>
    </row>
    <row r="26" customFormat="false" ht="15" hidden="false" customHeight="false" outlineLevel="0" collapsed="false">
      <c r="A26" s="3" t="s">
        <v>183</v>
      </c>
      <c r="H26" s="18" t="n">
        <f aca="false">SUM(H6:H25)</f>
        <v>0</v>
      </c>
    </row>
    <row r="28" customFormat="false" ht="15" hidden="false" customHeight="false" outlineLevel="0" collapsed="false">
      <c r="A28" s="26" t="s">
        <v>184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</row>
    <row r="29" customFormat="false" ht="30" hidden="false" customHeight="true" outlineLevel="0" collapsed="false">
      <c r="A29" s="9" t="s">
        <v>167</v>
      </c>
      <c r="B29" s="9" t="s">
        <v>185</v>
      </c>
      <c r="C29" s="9" t="s">
        <v>169</v>
      </c>
      <c r="D29" s="9" t="s">
        <v>38</v>
      </c>
      <c r="E29" s="9" t="s">
        <v>171</v>
      </c>
      <c r="F29" s="9" t="s">
        <v>172</v>
      </c>
      <c r="G29" s="9" t="s">
        <v>173</v>
      </c>
      <c r="H29" s="10" t="s">
        <v>186</v>
      </c>
      <c r="I29" s="9" t="s">
        <v>187</v>
      </c>
      <c r="J29" s="9" t="s">
        <v>188</v>
      </c>
      <c r="K29" s="9" t="s">
        <v>189</v>
      </c>
      <c r="L29" s="9" t="s">
        <v>176</v>
      </c>
      <c r="M29" s="9"/>
      <c r="N29" s="9" t="s">
        <v>177</v>
      </c>
    </row>
    <row r="30" customFormat="false" ht="15" hidden="false" customHeight="false" outlineLevel="0" collapsed="false">
      <c r="A30" s="31"/>
      <c r="B30" s="13"/>
      <c r="C30" s="13"/>
      <c r="D30" s="32"/>
      <c r="E30" s="32"/>
      <c r="F30" s="14"/>
      <c r="G30" s="23"/>
      <c r="H30" s="16" t="str">
        <f aca="false">IF(F30="","",IF(G30&lt;&gt;"",G30,IF(E30="JPY",IF(ISNUMBER($L$1),ROUND(F30/$L$1,2),"レート未入力"),F30)))</f>
        <v/>
      </c>
      <c r="I30" s="33"/>
      <c r="J30" s="16" t="str">
        <f aca="false">IF(ISNUMBER(H30),ROUND(H30*IF(I30="",1,I30),2),"")</f>
        <v/>
      </c>
      <c r="K30" s="35"/>
      <c r="L30" s="22" t="str">
        <f aca="false">IF(A30="","",IF(A30&lt;DATE(2025,4,6),"2024/25",IF(A30&lt;DATE(2026,4,6),"2025/26",IF(A30&lt;DATE(2027,4,6),"2026/27","2027/28"))))</f>
        <v/>
      </c>
      <c r="N30" s="13"/>
    </row>
    <row r="31" customFormat="false" ht="15" hidden="false" customHeight="false" outlineLevel="0" collapsed="false">
      <c r="A31" s="31"/>
      <c r="B31" s="13"/>
      <c r="C31" s="13"/>
      <c r="D31" s="32"/>
      <c r="E31" s="32"/>
      <c r="F31" s="14"/>
      <c r="G31" s="23"/>
      <c r="H31" s="16" t="str">
        <f aca="false">IF(F31="","",IF(G31&lt;&gt;"",G31,IF(E31="JPY",IF(ISNUMBER($L$1),ROUND(F31/$L$1,2),"レート未入力"),F31)))</f>
        <v/>
      </c>
      <c r="I31" s="33"/>
      <c r="J31" s="16" t="str">
        <f aca="false">IF(ISNUMBER(H31),ROUND(H31*IF(I31="",1,I31),2),"")</f>
        <v/>
      </c>
      <c r="K31" s="35"/>
      <c r="L31" s="22" t="str">
        <f aca="false">IF(A31="","",IF(A31&lt;DATE(2025,4,6),"2024/25",IF(A31&lt;DATE(2026,4,6),"2025/26",IF(A31&lt;DATE(2027,4,6),"2026/27","2027/28"))))</f>
        <v/>
      </c>
      <c r="N31" s="13"/>
    </row>
    <row r="32" customFormat="false" ht="15" hidden="false" customHeight="false" outlineLevel="0" collapsed="false">
      <c r="A32" s="31"/>
      <c r="B32" s="13"/>
      <c r="C32" s="13"/>
      <c r="D32" s="32"/>
      <c r="E32" s="32"/>
      <c r="F32" s="14"/>
      <c r="G32" s="23"/>
      <c r="H32" s="16" t="str">
        <f aca="false">IF(F32="","",IF(G32&lt;&gt;"",G32,IF(E32="JPY",IF(ISNUMBER($L$1),ROUND(F32/$L$1,2),"レート未入力"),F32)))</f>
        <v/>
      </c>
      <c r="I32" s="33"/>
      <c r="J32" s="16" t="str">
        <f aca="false">IF(ISNUMBER(H32),ROUND(H32*IF(I32="",1,I32),2),"")</f>
        <v/>
      </c>
      <c r="K32" s="35"/>
      <c r="L32" s="22" t="str">
        <f aca="false">IF(A32="","",IF(A32&lt;DATE(2025,4,6),"2024/25",IF(A32&lt;DATE(2026,4,6),"2025/26",IF(A32&lt;DATE(2027,4,6),"2026/27","2027/28"))))</f>
        <v/>
      </c>
      <c r="N32" s="13"/>
    </row>
    <row r="33" customFormat="false" ht="15" hidden="false" customHeight="false" outlineLevel="0" collapsed="false">
      <c r="A33" s="31"/>
      <c r="B33" s="13"/>
      <c r="C33" s="13"/>
      <c r="D33" s="32"/>
      <c r="E33" s="32"/>
      <c r="F33" s="14"/>
      <c r="G33" s="23"/>
      <c r="H33" s="16" t="str">
        <f aca="false">IF(F33="","",IF(G33&lt;&gt;"",G33,IF(E33="JPY",IF(ISNUMBER($L$1),ROUND(F33/$L$1,2),"レート未入力"),F33)))</f>
        <v/>
      </c>
      <c r="I33" s="33"/>
      <c r="J33" s="16" t="str">
        <f aca="false">IF(ISNUMBER(H33),ROUND(H33*IF(I33="",1,I33),2),"")</f>
        <v/>
      </c>
      <c r="K33" s="35"/>
      <c r="L33" s="22" t="str">
        <f aca="false">IF(A33="","",IF(A33&lt;DATE(2025,4,6),"2024/25",IF(A33&lt;DATE(2026,4,6),"2025/26",IF(A33&lt;DATE(2027,4,6),"2026/27","2027/28"))))</f>
        <v/>
      </c>
      <c r="N33" s="13"/>
    </row>
    <row r="34" customFormat="false" ht="15" hidden="false" customHeight="false" outlineLevel="0" collapsed="false">
      <c r="A34" s="31"/>
      <c r="B34" s="13"/>
      <c r="C34" s="13"/>
      <c r="D34" s="32"/>
      <c r="E34" s="32"/>
      <c r="F34" s="14"/>
      <c r="G34" s="23"/>
      <c r="H34" s="16" t="str">
        <f aca="false">IF(F34="","",IF(G34&lt;&gt;"",G34,IF(E34="JPY",IF(ISNUMBER($L$1),ROUND(F34/$L$1,2),"レート未入力"),F34)))</f>
        <v/>
      </c>
      <c r="I34" s="33"/>
      <c r="J34" s="16" t="str">
        <f aca="false">IF(ISNUMBER(H34),ROUND(H34*IF(I34="",1,I34),2),"")</f>
        <v/>
      </c>
      <c r="K34" s="35"/>
      <c r="L34" s="22" t="str">
        <f aca="false">IF(A34="","",IF(A34&lt;DATE(2025,4,6),"2024/25",IF(A34&lt;DATE(2026,4,6),"2025/26",IF(A34&lt;DATE(2027,4,6),"2026/27","2027/28"))))</f>
        <v/>
      </c>
      <c r="N34" s="13"/>
    </row>
    <row r="35" customFormat="false" ht="15" hidden="false" customHeight="false" outlineLevel="0" collapsed="false">
      <c r="A35" s="31"/>
      <c r="B35" s="13"/>
      <c r="C35" s="13"/>
      <c r="D35" s="32"/>
      <c r="E35" s="32"/>
      <c r="F35" s="14"/>
      <c r="G35" s="23"/>
      <c r="H35" s="16" t="str">
        <f aca="false">IF(F35="","",IF(G35&lt;&gt;"",G35,IF(E35="JPY",IF(ISNUMBER($L$1),ROUND(F35/$L$1,2),"レート未入力"),F35)))</f>
        <v/>
      </c>
      <c r="I35" s="33"/>
      <c r="J35" s="16" t="str">
        <f aca="false">IF(ISNUMBER(H35),ROUND(H35*IF(I35="",1,I35),2),"")</f>
        <v/>
      </c>
      <c r="K35" s="35"/>
      <c r="L35" s="22" t="str">
        <f aca="false">IF(A35="","",IF(A35&lt;DATE(2025,4,6),"2024/25",IF(A35&lt;DATE(2026,4,6),"2025/26",IF(A35&lt;DATE(2027,4,6),"2026/27","2027/28"))))</f>
        <v/>
      </c>
      <c r="N35" s="13"/>
    </row>
    <row r="36" customFormat="false" ht="15" hidden="false" customHeight="false" outlineLevel="0" collapsed="false">
      <c r="A36" s="31"/>
      <c r="B36" s="13"/>
      <c r="C36" s="13"/>
      <c r="D36" s="32"/>
      <c r="E36" s="32"/>
      <c r="F36" s="14"/>
      <c r="G36" s="23"/>
      <c r="H36" s="16" t="str">
        <f aca="false">IF(F36="","",IF(G36&lt;&gt;"",G36,IF(E36="JPY",IF(ISNUMBER($L$1),ROUND(F36/$L$1,2),"レート未入力"),F36)))</f>
        <v/>
      </c>
      <c r="I36" s="33"/>
      <c r="J36" s="16" t="str">
        <f aca="false">IF(ISNUMBER(H36),ROUND(H36*IF(I36="",1,I36),2),"")</f>
        <v/>
      </c>
      <c r="K36" s="35"/>
      <c r="L36" s="22" t="str">
        <f aca="false">IF(A36="","",IF(A36&lt;DATE(2025,4,6),"2024/25",IF(A36&lt;DATE(2026,4,6),"2025/26",IF(A36&lt;DATE(2027,4,6),"2026/27","2027/28"))))</f>
        <v/>
      </c>
      <c r="N36" s="13"/>
    </row>
    <row r="37" customFormat="false" ht="15" hidden="false" customHeight="false" outlineLevel="0" collapsed="false">
      <c r="A37" s="31"/>
      <c r="B37" s="13"/>
      <c r="C37" s="13"/>
      <c r="D37" s="32"/>
      <c r="E37" s="32"/>
      <c r="F37" s="14"/>
      <c r="G37" s="23"/>
      <c r="H37" s="16" t="str">
        <f aca="false">IF(F37="","",IF(G37&lt;&gt;"",G37,IF(E37="JPY",IF(ISNUMBER($L$1),ROUND(F37/$L$1,2),"レート未入力"),F37)))</f>
        <v/>
      </c>
      <c r="I37" s="33"/>
      <c r="J37" s="16" t="str">
        <f aca="false">IF(ISNUMBER(H37),ROUND(H37*IF(I37="",1,I37),2),"")</f>
        <v/>
      </c>
      <c r="K37" s="35"/>
      <c r="L37" s="22" t="str">
        <f aca="false">IF(A37="","",IF(A37&lt;DATE(2025,4,6),"2024/25",IF(A37&lt;DATE(2026,4,6),"2025/26",IF(A37&lt;DATE(2027,4,6),"2026/27","2027/28"))))</f>
        <v/>
      </c>
      <c r="N37" s="13"/>
    </row>
    <row r="38" customFormat="false" ht="15" hidden="false" customHeight="false" outlineLevel="0" collapsed="false">
      <c r="A38" s="31"/>
      <c r="B38" s="13"/>
      <c r="C38" s="13"/>
      <c r="D38" s="32"/>
      <c r="E38" s="32"/>
      <c r="F38" s="14"/>
      <c r="G38" s="23"/>
      <c r="H38" s="16" t="str">
        <f aca="false">IF(F38="","",IF(G38&lt;&gt;"",G38,IF(E38="JPY",IF(ISNUMBER($L$1),ROUND(F38/$L$1,2),"レート未入力"),F38)))</f>
        <v/>
      </c>
      <c r="I38" s="33"/>
      <c r="J38" s="16" t="str">
        <f aca="false">IF(ISNUMBER(H38),ROUND(H38*IF(I38="",1,I38),2),"")</f>
        <v/>
      </c>
      <c r="K38" s="35"/>
      <c r="L38" s="22" t="str">
        <f aca="false">IF(A38="","",IF(A38&lt;DATE(2025,4,6),"2024/25",IF(A38&lt;DATE(2026,4,6),"2025/26",IF(A38&lt;DATE(2027,4,6),"2026/27","2027/28"))))</f>
        <v/>
      </c>
      <c r="N38" s="13"/>
    </row>
    <row r="39" customFormat="false" ht="15" hidden="false" customHeight="false" outlineLevel="0" collapsed="false">
      <c r="A39" s="31"/>
      <c r="B39" s="13"/>
      <c r="C39" s="13"/>
      <c r="D39" s="32"/>
      <c r="E39" s="32"/>
      <c r="F39" s="14"/>
      <c r="G39" s="23"/>
      <c r="H39" s="16" t="str">
        <f aca="false">IF(F39="","",IF(G39&lt;&gt;"",G39,IF(E39="JPY",IF(ISNUMBER($L$1),ROUND(F39/$L$1,2),"レート未入力"),F39)))</f>
        <v/>
      </c>
      <c r="I39" s="33"/>
      <c r="J39" s="16" t="str">
        <f aca="false">IF(ISNUMBER(H39),ROUND(H39*IF(I39="",1,I39),2),"")</f>
        <v/>
      </c>
      <c r="K39" s="35"/>
      <c r="L39" s="22" t="str">
        <f aca="false">IF(A39="","",IF(A39&lt;DATE(2025,4,6),"2024/25",IF(A39&lt;DATE(2026,4,6),"2025/26",IF(A39&lt;DATE(2027,4,6),"2026/27","2027/28"))))</f>
        <v/>
      </c>
      <c r="N39" s="13"/>
    </row>
    <row r="40" customFormat="false" ht="15" hidden="false" customHeight="false" outlineLevel="0" collapsed="false">
      <c r="A40" s="31"/>
      <c r="B40" s="13"/>
      <c r="C40" s="13"/>
      <c r="D40" s="32"/>
      <c r="E40" s="32"/>
      <c r="F40" s="14"/>
      <c r="G40" s="23"/>
      <c r="H40" s="16" t="str">
        <f aca="false">IF(F40="","",IF(G40&lt;&gt;"",G40,IF(E40="JPY",IF(ISNUMBER($L$1),ROUND(F40/$L$1,2),"レート未入力"),F40)))</f>
        <v/>
      </c>
      <c r="I40" s="33"/>
      <c r="J40" s="16" t="str">
        <f aca="false">IF(ISNUMBER(H40),ROUND(H40*IF(I40="",1,I40),2),"")</f>
        <v/>
      </c>
      <c r="K40" s="35"/>
      <c r="L40" s="22" t="str">
        <f aca="false">IF(A40="","",IF(A40&lt;DATE(2025,4,6),"2024/25",IF(A40&lt;DATE(2026,4,6),"2025/26",IF(A40&lt;DATE(2027,4,6),"2026/27","2027/28"))))</f>
        <v/>
      </c>
      <c r="N40" s="13"/>
    </row>
    <row r="41" customFormat="false" ht="15" hidden="false" customHeight="false" outlineLevel="0" collapsed="false">
      <c r="A41" s="31"/>
      <c r="B41" s="13"/>
      <c r="C41" s="13"/>
      <c r="D41" s="32"/>
      <c r="E41" s="32"/>
      <c r="F41" s="14"/>
      <c r="G41" s="23"/>
      <c r="H41" s="16" t="str">
        <f aca="false">IF(F41="","",IF(G41&lt;&gt;"",G41,IF(E41="JPY",IF(ISNUMBER($L$1),ROUND(F41/$L$1,2),"レート未入力"),F41)))</f>
        <v/>
      </c>
      <c r="I41" s="33"/>
      <c r="J41" s="16" t="str">
        <f aca="false">IF(ISNUMBER(H41),ROUND(H41*IF(I41="",1,I41),2),"")</f>
        <v/>
      </c>
      <c r="K41" s="35"/>
      <c r="L41" s="22" t="str">
        <f aca="false">IF(A41="","",IF(A41&lt;DATE(2025,4,6),"2024/25",IF(A41&lt;DATE(2026,4,6),"2025/26",IF(A41&lt;DATE(2027,4,6),"2026/27","2027/28"))))</f>
        <v/>
      </c>
      <c r="N41" s="13"/>
    </row>
    <row r="42" customFormat="false" ht="15" hidden="false" customHeight="false" outlineLevel="0" collapsed="false">
      <c r="A42" s="31"/>
      <c r="B42" s="13"/>
      <c r="C42" s="13"/>
      <c r="D42" s="32"/>
      <c r="E42" s="32"/>
      <c r="F42" s="14"/>
      <c r="G42" s="23"/>
      <c r="H42" s="16" t="str">
        <f aca="false">IF(F42="","",IF(G42&lt;&gt;"",G42,IF(E42="JPY",IF(ISNUMBER($L$1),ROUND(F42/$L$1,2),"レート未入力"),F42)))</f>
        <v/>
      </c>
      <c r="I42" s="33"/>
      <c r="J42" s="16" t="str">
        <f aca="false">IF(ISNUMBER(H42),ROUND(H42*IF(I42="",1,I42),2),"")</f>
        <v/>
      </c>
      <c r="K42" s="35"/>
      <c r="L42" s="22" t="str">
        <f aca="false">IF(A42="","",IF(A42&lt;DATE(2025,4,6),"2024/25",IF(A42&lt;DATE(2026,4,6),"2025/26",IF(A42&lt;DATE(2027,4,6),"2026/27","2027/28"))))</f>
        <v/>
      </c>
      <c r="N42" s="13"/>
    </row>
    <row r="43" customFormat="false" ht="15" hidden="false" customHeight="false" outlineLevel="0" collapsed="false">
      <c r="A43" s="31"/>
      <c r="B43" s="13"/>
      <c r="C43" s="13"/>
      <c r="D43" s="32"/>
      <c r="E43" s="32"/>
      <c r="F43" s="14"/>
      <c r="G43" s="23"/>
      <c r="H43" s="16" t="str">
        <f aca="false">IF(F43="","",IF(G43&lt;&gt;"",G43,IF(E43="JPY",IF(ISNUMBER($L$1),ROUND(F43/$L$1,2),"レート未入力"),F43)))</f>
        <v/>
      </c>
      <c r="I43" s="33"/>
      <c r="J43" s="16" t="str">
        <f aca="false">IF(ISNUMBER(H43),ROUND(H43*IF(I43="",1,I43),2),"")</f>
        <v/>
      </c>
      <c r="K43" s="35"/>
      <c r="L43" s="22" t="str">
        <f aca="false">IF(A43="","",IF(A43&lt;DATE(2025,4,6),"2024/25",IF(A43&lt;DATE(2026,4,6),"2025/26",IF(A43&lt;DATE(2027,4,6),"2026/27","2027/28"))))</f>
        <v/>
      </c>
      <c r="N43" s="13"/>
    </row>
    <row r="44" customFormat="false" ht="15" hidden="false" customHeight="false" outlineLevel="0" collapsed="false">
      <c r="A44" s="31"/>
      <c r="B44" s="13"/>
      <c r="C44" s="13"/>
      <c r="D44" s="32"/>
      <c r="E44" s="32"/>
      <c r="F44" s="14"/>
      <c r="G44" s="23"/>
      <c r="H44" s="16" t="str">
        <f aca="false">IF(F44="","",IF(G44&lt;&gt;"",G44,IF(E44="JPY",IF(ISNUMBER($L$1),ROUND(F44/$L$1,2),"レート未入力"),F44)))</f>
        <v/>
      </c>
      <c r="I44" s="33"/>
      <c r="J44" s="16" t="str">
        <f aca="false">IF(ISNUMBER(H44),ROUND(H44*IF(I44="",1,I44),2),"")</f>
        <v/>
      </c>
      <c r="K44" s="35"/>
      <c r="L44" s="22" t="str">
        <f aca="false">IF(A44="","",IF(A44&lt;DATE(2025,4,6),"2024/25",IF(A44&lt;DATE(2026,4,6),"2025/26",IF(A44&lt;DATE(2027,4,6),"2026/27","2027/28"))))</f>
        <v/>
      </c>
      <c r="N44" s="13"/>
    </row>
    <row r="45" customFormat="false" ht="15" hidden="false" customHeight="false" outlineLevel="0" collapsed="false">
      <c r="A45" s="31"/>
      <c r="B45" s="13"/>
      <c r="C45" s="13"/>
      <c r="D45" s="32"/>
      <c r="E45" s="32"/>
      <c r="F45" s="14"/>
      <c r="G45" s="23"/>
      <c r="H45" s="16" t="str">
        <f aca="false">IF(F45="","",IF(G45&lt;&gt;"",G45,IF(E45="JPY",IF(ISNUMBER($L$1),ROUND(F45/$L$1,2),"レート未入力"),F45)))</f>
        <v/>
      </c>
      <c r="I45" s="33"/>
      <c r="J45" s="16" t="str">
        <f aca="false">IF(ISNUMBER(H45),ROUND(H45*IF(I45="",1,I45),2),"")</f>
        <v/>
      </c>
      <c r="K45" s="35"/>
      <c r="L45" s="22" t="str">
        <f aca="false">IF(A45="","",IF(A45&lt;DATE(2025,4,6),"2024/25",IF(A45&lt;DATE(2026,4,6),"2025/26",IF(A45&lt;DATE(2027,4,6),"2026/27","2027/28"))))</f>
        <v/>
      </c>
      <c r="N45" s="13"/>
    </row>
    <row r="46" customFormat="false" ht="15" hidden="false" customHeight="false" outlineLevel="0" collapsed="false">
      <c r="A46" s="31"/>
      <c r="B46" s="13"/>
      <c r="C46" s="13"/>
      <c r="D46" s="32"/>
      <c r="E46" s="32"/>
      <c r="F46" s="14"/>
      <c r="G46" s="23"/>
      <c r="H46" s="16" t="str">
        <f aca="false">IF(F46="","",IF(G46&lt;&gt;"",G46,IF(E46="JPY",IF(ISNUMBER($L$1),ROUND(F46/$L$1,2),"レート未入力"),F46)))</f>
        <v/>
      </c>
      <c r="I46" s="33"/>
      <c r="J46" s="16" t="str">
        <f aca="false">IF(ISNUMBER(H46),ROUND(H46*IF(I46="",1,I46),2),"")</f>
        <v/>
      </c>
      <c r="K46" s="35"/>
      <c r="L46" s="22" t="str">
        <f aca="false">IF(A46="","",IF(A46&lt;DATE(2025,4,6),"2024/25",IF(A46&lt;DATE(2026,4,6),"2025/26",IF(A46&lt;DATE(2027,4,6),"2026/27","2027/28"))))</f>
        <v/>
      </c>
      <c r="N46" s="13"/>
    </row>
    <row r="47" customFormat="false" ht="15" hidden="false" customHeight="false" outlineLevel="0" collapsed="false">
      <c r="A47" s="31"/>
      <c r="B47" s="13"/>
      <c r="C47" s="13"/>
      <c r="D47" s="32"/>
      <c r="E47" s="32"/>
      <c r="F47" s="14"/>
      <c r="G47" s="23"/>
      <c r="H47" s="16" t="str">
        <f aca="false">IF(F47="","",IF(G47&lt;&gt;"",G47,IF(E47="JPY",IF(ISNUMBER($L$1),ROUND(F47/$L$1,2),"レート未入力"),F47)))</f>
        <v/>
      </c>
      <c r="I47" s="33"/>
      <c r="J47" s="16" t="str">
        <f aca="false">IF(ISNUMBER(H47),ROUND(H47*IF(I47="",1,I47),2),"")</f>
        <v/>
      </c>
      <c r="K47" s="35"/>
      <c r="L47" s="22" t="str">
        <f aca="false">IF(A47="","",IF(A47&lt;DATE(2025,4,6),"2024/25",IF(A47&lt;DATE(2026,4,6),"2025/26",IF(A47&lt;DATE(2027,4,6),"2026/27","2027/28"))))</f>
        <v/>
      </c>
      <c r="N47" s="13"/>
    </row>
    <row r="48" customFormat="false" ht="15" hidden="false" customHeight="false" outlineLevel="0" collapsed="false">
      <c r="A48" s="31"/>
      <c r="B48" s="13"/>
      <c r="C48" s="13"/>
      <c r="D48" s="32"/>
      <c r="E48" s="32"/>
      <c r="F48" s="14"/>
      <c r="G48" s="23"/>
      <c r="H48" s="16" t="str">
        <f aca="false">IF(F48="","",IF(G48&lt;&gt;"",G48,IF(E48="JPY",IF(ISNUMBER($L$1),ROUND(F48/$L$1,2),"レート未入力"),F48)))</f>
        <v/>
      </c>
      <c r="I48" s="33"/>
      <c r="J48" s="16" t="str">
        <f aca="false">IF(ISNUMBER(H48),ROUND(H48*IF(I48="",1,I48),2),"")</f>
        <v/>
      </c>
      <c r="K48" s="35"/>
      <c r="L48" s="22" t="str">
        <f aca="false">IF(A48="","",IF(A48&lt;DATE(2025,4,6),"2024/25",IF(A48&lt;DATE(2026,4,6),"2025/26",IF(A48&lt;DATE(2027,4,6),"2026/27","2027/28"))))</f>
        <v/>
      </c>
      <c r="N48" s="13"/>
    </row>
    <row r="49" customFormat="false" ht="15" hidden="false" customHeight="false" outlineLevel="0" collapsed="false">
      <c r="A49" s="31"/>
      <c r="B49" s="13"/>
      <c r="C49" s="13"/>
      <c r="D49" s="32"/>
      <c r="E49" s="32"/>
      <c r="F49" s="14"/>
      <c r="G49" s="23"/>
      <c r="H49" s="16" t="str">
        <f aca="false">IF(F49="","",IF(G49&lt;&gt;"",G49,IF(E49="JPY",IF(ISNUMBER($L$1),ROUND(F49/$L$1,2),"レート未入力"),F49)))</f>
        <v/>
      </c>
      <c r="I49" s="33"/>
      <c r="J49" s="16" t="str">
        <f aca="false">IF(ISNUMBER(H49),ROUND(H49*IF(I49="",1,I49),2),"")</f>
        <v/>
      </c>
      <c r="K49" s="35"/>
      <c r="L49" s="22" t="str">
        <f aca="false">IF(A49="","",IF(A49&lt;DATE(2025,4,6),"2024/25",IF(A49&lt;DATE(2026,4,6),"2025/26",IF(A49&lt;DATE(2027,4,6),"2026/27","2027/28"))))</f>
        <v/>
      </c>
      <c r="N49" s="13"/>
    </row>
    <row r="50" customFormat="false" ht="15" hidden="false" customHeight="false" outlineLevel="0" collapsed="false">
      <c r="A50" s="31"/>
      <c r="B50" s="13"/>
      <c r="C50" s="13"/>
      <c r="D50" s="32"/>
      <c r="E50" s="32"/>
      <c r="F50" s="14"/>
      <c r="G50" s="23"/>
      <c r="H50" s="16" t="str">
        <f aca="false">IF(F50="","",IF(G50&lt;&gt;"",G50,IF(E50="JPY",IF(ISNUMBER($L$1),ROUND(F50/$L$1,2),"レート未入力"),F50)))</f>
        <v/>
      </c>
      <c r="I50" s="33"/>
      <c r="J50" s="16" t="str">
        <f aca="false">IF(ISNUMBER(H50),ROUND(H50*IF(I50="",1,I50),2),"")</f>
        <v/>
      </c>
      <c r="K50" s="35"/>
      <c r="L50" s="22" t="str">
        <f aca="false">IF(A50="","",IF(A50&lt;DATE(2025,4,6),"2024/25",IF(A50&lt;DATE(2026,4,6),"2025/26",IF(A50&lt;DATE(2027,4,6),"2026/27","2027/28"))))</f>
        <v/>
      </c>
      <c r="N50" s="13"/>
    </row>
    <row r="51" customFormat="false" ht="15" hidden="false" customHeight="false" outlineLevel="0" collapsed="false">
      <c r="A51" s="31"/>
      <c r="B51" s="13"/>
      <c r="C51" s="13"/>
      <c r="D51" s="32"/>
      <c r="E51" s="32"/>
      <c r="F51" s="14"/>
      <c r="G51" s="23"/>
      <c r="H51" s="16" t="str">
        <f aca="false">IF(F51="","",IF(G51&lt;&gt;"",G51,IF(E51="JPY",IF(ISNUMBER($L$1),ROUND(F51/$L$1,2),"レート未入力"),F51)))</f>
        <v/>
      </c>
      <c r="I51" s="33"/>
      <c r="J51" s="16" t="str">
        <f aca="false">IF(ISNUMBER(H51),ROUND(H51*IF(I51="",1,I51),2),"")</f>
        <v/>
      </c>
      <c r="K51" s="35"/>
      <c r="L51" s="22" t="str">
        <f aca="false">IF(A51="","",IF(A51&lt;DATE(2025,4,6),"2024/25",IF(A51&lt;DATE(2026,4,6),"2025/26",IF(A51&lt;DATE(2027,4,6),"2026/27","2027/28"))))</f>
        <v/>
      </c>
      <c r="N51" s="13"/>
    </row>
    <row r="52" customFormat="false" ht="15" hidden="false" customHeight="false" outlineLevel="0" collapsed="false">
      <c r="A52" s="31"/>
      <c r="B52" s="13"/>
      <c r="C52" s="13"/>
      <c r="D52" s="32"/>
      <c r="E52" s="32"/>
      <c r="F52" s="14"/>
      <c r="G52" s="23"/>
      <c r="H52" s="16" t="str">
        <f aca="false">IF(F52="","",IF(G52&lt;&gt;"",G52,IF(E52="JPY",IF(ISNUMBER($L$1),ROUND(F52/$L$1,2),"レート未入力"),F52)))</f>
        <v/>
      </c>
      <c r="I52" s="33"/>
      <c r="J52" s="16" t="str">
        <f aca="false">IF(ISNUMBER(H52),ROUND(H52*IF(I52="",1,I52),2),"")</f>
        <v/>
      </c>
      <c r="K52" s="35"/>
      <c r="L52" s="22" t="str">
        <f aca="false">IF(A52="","",IF(A52&lt;DATE(2025,4,6),"2024/25",IF(A52&lt;DATE(2026,4,6),"2025/26",IF(A52&lt;DATE(2027,4,6),"2026/27","2027/28"))))</f>
        <v/>
      </c>
      <c r="N52" s="13"/>
    </row>
    <row r="53" customFormat="false" ht="15" hidden="false" customHeight="false" outlineLevel="0" collapsed="false">
      <c r="A53" s="31"/>
      <c r="B53" s="13"/>
      <c r="C53" s="13"/>
      <c r="D53" s="32"/>
      <c r="E53" s="32"/>
      <c r="F53" s="14"/>
      <c r="G53" s="23"/>
      <c r="H53" s="16" t="str">
        <f aca="false">IF(F53="","",IF(G53&lt;&gt;"",G53,IF(E53="JPY",IF(ISNUMBER($L$1),ROUND(F53/$L$1,2),"レート未入力"),F53)))</f>
        <v/>
      </c>
      <c r="I53" s="33"/>
      <c r="J53" s="16" t="str">
        <f aca="false">IF(ISNUMBER(H53),ROUND(H53*IF(I53="",1,I53),2),"")</f>
        <v/>
      </c>
      <c r="K53" s="35"/>
      <c r="L53" s="22" t="str">
        <f aca="false">IF(A53="","",IF(A53&lt;DATE(2025,4,6),"2024/25",IF(A53&lt;DATE(2026,4,6),"2025/26",IF(A53&lt;DATE(2027,4,6),"2026/27","2027/28"))))</f>
        <v/>
      </c>
      <c r="N53" s="13"/>
    </row>
    <row r="54" customFormat="false" ht="15" hidden="false" customHeight="false" outlineLevel="0" collapsed="false">
      <c r="A54" s="31"/>
      <c r="B54" s="13"/>
      <c r="C54" s="13"/>
      <c r="D54" s="32"/>
      <c r="E54" s="32"/>
      <c r="F54" s="14"/>
      <c r="G54" s="23"/>
      <c r="H54" s="16" t="str">
        <f aca="false">IF(F54="","",IF(G54&lt;&gt;"",G54,IF(E54="JPY",IF(ISNUMBER($L$1),ROUND(F54/$L$1,2),"レート未入力"),F54)))</f>
        <v/>
      </c>
      <c r="I54" s="33"/>
      <c r="J54" s="16" t="str">
        <f aca="false">IF(ISNUMBER(H54),ROUND(H54*IF(I54="",1,I54),2),"")</f>
        <v/>
      </c>
      <c r="K54" s="35"/>
      <c r="L54" s="22" t="str">
        <f aca="false">IF(A54="","",IF(A54&lt;DATE(2025,4,6),"2024/25",IF(A54&lt;DATE(2026,4,6),"2025/26",IF(A54&lt;DATE(2027,4,6),"2026/27","2027/28"))))</f>
        <v/>
      </c>
      <c r="N54" s="13"/>
    </row>
    <row r="55" customFormat="false" ht="15" hidden="false" customHeight="false" outlineLevel="0" collapsed="false">
      <c r="A55" s="31"/>
      <c r="B55" s="13"/>
      <c r="C55" s="13"/>
      <c r="D55" s="32"/>
      <c r="E55" s="32"/>
      <c r="F55" s="14"/>
      <c r="G55" s="23"/>
      <c r="H55" s="16" t="str">
        <f aca="false">IF(F55="","",IF(G55&lt;&gt;"",G55,IF(E55="JPY",IF(ISNUMBER($L$1),ROUND(F55/$L$1,2),"レート未入力"),F55)))</f>
        <v/>
      </c>
      <c r="I55" s="33"/>
      <c r="J55" s="16" t="str">
        <f aca="false">IF(ISNUMBER(H55),ROUND(H55*IF(I55="",1,I55),2),"")</f>
        <v/>
      </c>
      <c r="K55" s="35"/>
      <c r="L55" s="22" t="str">
        <f aca="false">IF(A55="","",IF(A55&lt;DATE(2025,4,6),"2024/25",IF(A55&lt;DATE(2026,4,6),"2025/26",IF(A55&lt;DATE(2027,4,6),"2026/27","2027/28"))))</f>
        <v/>
      </c>
      <c r="N55" s="13"/>
    </row>
    <row r="56" customFormat="false" ht="15" hidden="false" customHeight="false" outlineLevel="0" collapsed="false">
      <c r="A56" s="31"/>
      <c r="B56" s="13"/>
      <c r="C56" s="13"/>
      <c r="D56" s="32"/>
      <c r="E56" s="32"/>
      <c r="F56" s="14"/>
      <c r="G56" s="23"/>
      <c r="H56" s="16" t="str">
        <f aca="false">IF(F56="","",IF(G56&lt;&gt;"",G56,IF(E56="JPY",IF(ISNUMBER($L$1),ROUND(F56/$L$1,2),"レート未入力"),F56)))</f>
        <v/>
      </c>
      <c r="I56" s="33"/>
      <c r="J56" s="16" t="str">
        <f aca="false">IF(ISNUMBER(H56),ROUND(H56*IF(I56="",1,I56),2),"")</f>
        <v/>
      </c>
      <c r="K56" s="35"/>
      <c r="L56" s="22" t="str">
        <f aca="false">IF(A56="","",IF(A56&lt;DATE(2025,4,6),"2024/25",IF(A56&lt;DATE(2026,4,6),"2025/26",IF(A56&lt;DATE(2027,4,6),"2026/27","2027/28"))))</f>
        <v/>
      </c>
      <c r="N56" s="13"/>
    </row>
    <row r="57" customFormat="false" ht="15" hidden="false" customHeight="false" outlineLevel="0" collapsed="false">
      <c r="A57" s="31"/>
      <c r="B57" s="13"/>
      <c r="C57" s="13"/>
      <c r="D57" s="32"/>
      <c r="E57" s="32"/>
      <c r="F57" s="14"/>
      <c r="G57" s="23"/>
      <c r="H57" s="16" t="str">
        <f aca="false">IF(F57="","",IF(G57&lt;&gt;"",G57,IF(E57="JPY",IF(ISNUMBER($L$1),ROUND(F57/$L$1,2),"レート未入力"),F57)))</f>
        <v/>
      </c>
      <c r="I57" s="33"/>
      <c r="J57" s="16" t="str">
        <f aca="false">IF(ISNUMBER(H57),ROUND(H57*IF(I57="",1,I57),2),"")</f>
        <v/>
      </c>
      <c r="K57" s="35"/>
      <c r="L57" s="22" t="str">
        <f aca="false">IF(A57="","",IF(A57&lt;DATE(2025,4,6),"2024/25",IF(A57&lt;DATE(2026,4,6),"2025/26",IF(A57&lt;DATE(2027,4,6),"2026/27","2027/28"))))</f>
        <v/>
      </c>
      <c r="N57" s="13"/>
    </row>
    <row r="58" customFormat="false" ht="15" hidden="false" customHeight="false" outlineLevel="0" collapsed="false">
      <c r="A58" s="31"/>
      <c r="B58" s="13"/>
      <c r="C58" s="13"/>
      <c r="D58" s="32"/>
      <c r="E58" s="32"/>
      <c r="F58" s="14"/>
      <c r="G58" s="23"/>
      <c r="H58" s="16" t="str">
        <f aca="false">IF(F58="","",IF(G58&lt;&gt;"",G58,IF(E58="JPY",IF(ISNUMBER($L$1),ROUND(F58/$L$1,2),"レート未入力"),F58)))</f>
        <v/>
      </c>
      <c r="I58" s="33"/>
      <c r="J58" s="16" t="str">
        <f aca="false">IF(ISNUMBER(H58),ROUND(H58*IF(I58="",1,I58),2),"")</f>
        <v/>
      </c>
      <c r="K58" s="35"/>
      <c r="L58" s="22" t="str">
        <f aca="false">IF(A58="","",IF(A58&lt;DATE(2025,4,6),"2024/25",IF(A58&lt;DATE(2026,4,6),"2025/26",IF(A58&lt;DATE(2027,4,6),"2026/27","2027/28"))))</f>
        <v/>
      </c>
      <c r="N58" s="13"/>
    </row>
    <row r="59" customFormat="false" ht="15" hidden="false" customHeight="false" outlineLevel="0" collapsed="false">
      <c r="A59" s="31"/>
      <c r="B59" s="13"/>
      <c r="C59" s="13"/>
      <c r="D59" s="32"/>
      <c r="E59" s="32"/>
      <c r="F59" s="14"/>
      <c r="G59" s="23"/>
      <c r="H59" s="16" t="str">
        <f aca="false">IF(F59="","",IF(G59&lt;&gt;"",G59,IF(E59="JPY",IF(ISNUMBER($L$1),ROUND(F59/$L$1,2),"レート未入力"),F59)))</f>
        <v/>
      </c>
      <c r="I59" s="33"/>
      <c r="J59" s="16" t="str">
        <f aca="false">IF(ISNUMBER(H59),ROUND(H59*IF(I59="",1,I59),2),"")</f>
        <v/>
      </c>
      <c r="K59" s="35"/>
      <c r="L59" s="22" t="str">
        <f aca="false">IF(A59="","",IF(A59&lt;DATE(2025,4,6),"2024/25",IF(A59&lt;DATE(2026,4,6),"2025/26",IF(A59&lt;DATE(2027,4,6),"2026/27","2027/28"))))</f>
        <v/>
      </c>
      <c r="N59" s="13"/>
    </row>
    <row r="60" customFormat="false" ht="15" hidden="false" customHeight="false" outlineLevel="0" collapsed="false">
      <c r="A60" s="31"/>
      <c r="B60" s="13"/>
      <c r="C60" s="13"/>
      <c r="D60" s="32"/>
      <c r="E60" s="32"/>
      <c r="F60" s="14"/>
      <c r="G60" s="23"/>
      <c r="H60" s="16" t="str">
        <f aca="false">IF(F60="","",IF(G60&lt;&gt;"",G60,IF(E60="JPY",IF(ISNUMBER($L$1),ROUND(F60/$L$1,2),"レート未入力"),F60)))</f>
        <v/>
      </c>
      <c r="I60" s="33"/>
      <c r="J60" s="16" t="str">
        <f aca="false">IF(ISNUMBER(H60),ROUND(H60*IF(I60="",1,I60),2),"")</f>
        <v/>
      </c>
      <c r="K60" s="35"/>
      <c r="L60" s="22" t="str">
        <f aca="false">IF(A60="","",IF(A60&lt;DATE(2025,4,6),"2024/25",IF(A60&lt;DATE(2026,4,6),"2025/26",IF(A60&lt;DATE(2027,4,6),"2026/27","2027/28"))))</f>
        <v/>
      </c>
      <c r="N60" s="13"/>
    </row>
    <row r="61" customFormat="false" ht="15" hidden="false" customHeight="false" outlineLevel="0" collapsed="false">
      <c r="A61" s="31"/>
      <c r="B61" s="13"/>
      <c r="C61" s="13"/>
      <c r="D61" s="32"/>
      <c r="E61" s="32"/>
      <c r="F61" s="14"/>
      <c r="G61" s="23"/>
      <c r="H61" s="16" t="str">
        <f aca="false">IF(F61="","",IF(G61&lt;&gt;"",G61,IF(E61="JPY",IF(ISNUMBER($L$1),ROUND(F61/$L$1,2),"レート未入力"),F61)))</f>
        <v/>
      </c>
      <c r="I61" s="33"/>
      <c r="J61" s="16" t="str">
        <f aca="false">IF(ISNUMBER(H61),ROUND(H61*IF(I61="",1,I61),2),"")</f>
        <v/>
      </c>
      <c r="K61" s="35"/>
      <c r="L61" s="22" t="str">
        <f aca="false">IF(A61="","",IF(A61&lt;DATE(2025,4,6),"2024/25",IF(A61&lt;DATE(2026,4,6),"2025/26",IF(A61&lt;DATE(2027,4,6),"2026/27","2027/28"))))</f>
        <v/>
      </c>
      <c r="N61" s="13"/>
    </row>
    <row r="62" customFormat="false" ht="15" hidden="false" customHeight="false" outlineLevel="0" collapsed="false">
      <c r="A62" s="31"/>
      <c r="B62" s="13"/>
      <c r="C62" s="13"/>
      <c r="D62" s="32"/>
      <c r="E62" s="32"/>
      <c r="F62" s="14"/>
      <c r="G62" s="23"/>
      <c r="H62" s="16" t="str">
        <f aca="false">IF(F62="","",IF(G62&lt;&gt;"",G62,IF(E62="JPY",IF(ISNUMBER($L$1),ROUND(F62/$L$1,2),"レート未入力"),F62)))</f>
        <v/>
      </c>
      <c r="I62" s="33"/>
      <c r="J62" s="16" t="str">
        <f aca="false">IF(ISNUMBER(H62),ROUND(H62*IF(I62="",1,I62),2),"")</f>
        <v/>
      </c>
      <c r="K62" s="35"/>
      <c r="L62" s="22" t="str">
        <f aca="false">IF(A62="","",IF(A62&lt;DATE(2025,4,6),"2024/25",IF(A62&lt;DATE(2026,4,6),"2025/26",IF(A62&lt;DATE(2027,4,6),"2026/27","2027/28"))))</f>
        <v/>
      </c>
      <c r="N62" s="13"/>
    </row>
    <row r="63" customFormat="false" ht="15" hidden="false" customHeight="false" outlineLevel="0" collapsed="false">
      <c r="A63" s="31"/>
      <c r="B63" s="13"/>
      <c r="C63" s="13"/>
      <c r="D63" s="32"/>
      <c r="E63" s="32"/>
      <c r="F63" s="14"/>
      <c r="G63" s="23"/>
      <c r="H63" s="16" t="str">
        <f aca="false">IF(F63="","",IF(G63&lt;&gt;"",G63,IF(E63="JPY",IF(ISNUMBER($L$1),ROUND(F63/$L$1,2),"レート未入力"),F63)))</f>
        <v/>
      </c>
      <c r="I63" s="33"/>
      <c r="J63" s="16" t="str">
        <f aca="false">IF(ISNUMBER(H63),ROUND(H63*IF(I63="",1,I63),2),"")</f>
        <v/>
      </c>
      <c r="K63" s="35"/>
      <c r="L63" s="22" t="str">
        <f aca="false">IF(A63="","",IF(A63&lt;DATE(2025,4,6),"2024/25",IF(A63&lt;DATE(2026,4,6),"2025/26",IF(A63&lt;DATE(2027,4,6),"2026/27","2027/28"))))</f>
        <v/>
      </c>
      <c r="N63" s="13"/>
    </row>
    <row r="64" customFormat="false" ht="15" hidden="false" customHeight="false" outlineLevel="0" collapsed="false">
      <c r="A64" s="31"/>
      <c r="B64" s="13"/>
      <c r="C64" s="13"/>
      <c r="D64" s="32"/>
      <c r="E64" s="32"/>
      <c r="F64" s="14"/>
      <c r="G64" s="23"/>
      <c r="H64" s="16" t="str">
        <f aca="false">IF(F64="","",IF(G64&lt;&gt;"",G64,IF(E64="JPY",IF(ISNUMBER($L$1),ROUND(F64/$L$1,2),"レート未入力"),F64)))</f>
        <v/>
      </c>
      <c r="I64" s="33"/>
      <c r="J64" s="16" t="str">
        <f aca="false">IF(ISNUMBER(H64),ROUND(H64*IF(I64="",1,I64),2),"")</f>
        <v/>
      </c>
      <c r="K64" s="35"/>
      <c r="L64" s="22" t="str">
        <f aca="false">IF(A64="","",IF(A64&lt;DATE(2025,4,6),"2024/25",IF(A64&lt;DATE(2026,4,6),"2025/26",IF(A64&lt;DATE(2027,4,6),"2026/27","2027/28"))))</f>
        <v/>
      </c>
      <c r="N64" s="13"/>
    </row>
    <row r="65" customFormat="false" ht="15" hidden="false" customHeight="false" outlineLevel="0" collapsed="false">
      <c r="A65" s="31"/>
      <c r="B65" s="13"/>
      <c r="C65" s="13"/>
      <c r="D65" s="32"/>
      <c r="E65" s="32"/>
      <c r="F65" s="14"/>
      <c r="G65" s="23"/>
      <c r="H65" s="16" t="str">
        <f aca="false">IF(F65="","",IF(G65&lt;&gt;"",G65,IF(E65="JPY",IF(ISNUMBER($L$1),ROUND(F65/$L$1,2),"レート未入力"),F65)))</f>
        <v/>
      </c>
      <c r="I65" s="33"/>
      <c r="J65" s="16" t="str">
        <f aca="false">IF(ISNUMBER(H65),ROUND(H65*IF(I65="",1,I65),2),"")</f>
        <v/>
      </c>
      <c r="K65" s="35"/>
      <c r="L65" s="22" t="str">
        <f aca="false">IF(A65="","",IF(A65&lt;DATE(2025,4,6),"2024/25",IF(A65&lt;DATE(2026,4,6),"2025/26",IF(A65&lt;DATE(2027,4,6),"2026/27","2027/28"))))</f>
        <v/>
      </c>
      <c r="N65" s="13"/>
    </row>
    <row r="66" customFormat="false" ht="15" hidden="false" customHeight="false" outlineLevel="0" collapsed="false">
      <c r="A66" s="31"/>
      <c r="B66" s="13"/>
      <c r="C66" s="13"/>
      <c r="D66" s="32"/>
      <c r="E66" s="32"/>
      <c r="F66" s="14"/>
      <c r="G66" s="23"/>
      <c r="H66" s="16" t="str">
        <f aca="false">IF(F66="","",IF(G66&lt;&gt;"",G66,IF(E66="JPY",IF(ISNUMBER($L$1),ROUND(F66/$L$1,2),"レート未入力"),F66)))</f>
        <v/>
      </c>
      <c r="I66" s="33"/>
      <c r="J66" s="16" t="str">
        <f aca="false">IF(ISNUMBER(H66),ROUND(H66*IF(I66="",1,I66),2),"")</f>
        <v/>
      </c>
      <c r="K66" s="35"/>
      <c r="L66" s="22" t="str">
        <f aca="false">IF(A66="","",IF(A66&lt;DATE(2025,4,6),"2024/25",IF(A66&lt;DATE(2026,4,6),"2025/26",IF(A66&lt;DATE(2027,4,6),"2026/27","2027/28"))))</f>
        <v/>
      </c>
      <c r="N66" s="13"/>
    </row>
    <row r="67" customFormat="false" ht="15" hidden="false" customHeight="false" outlineLevel="0" collapsed="false">
      <c r="A67" s="31"/>
      <c r="B67" s="13"/>
      <c r="C67" s="13"/>
      <c r="D67" s="32"/>
      <c r="E67" s="32"/>
      <c r="F67" s="14"/>
      <c r="G67" s="23"/>
      <c r="H67" s="16" t="str">
        <f aca="false">IF(F67="","",IF(G67&lt;&gt;"",G67,IF(E67="JPY",IF(ISNUMBER($L$1),ROUND(F67/$L$1,2),"レート未入力"),F67)))</f>
        <v/>
      </c>
      <c r="I67" s="33"/>
      <c r="J67" s="16" t="str">
        <f aca="false">IF(ISNUMBER(H67),ROUND(H67*IF(I67="",1,I67),2),"")</f>
        <v/>
      </c>
      <c r="K67" s="35"/>
      <c r="L67" s="22" t="str">
        <f aca="false">IF(A67="","",IF(A67&lt;DATE(2025,4,6),"2024/25",IF(A67&lt;DATE(2026,4,6),"2025/26",IF(A67&lt;DATE(2027,4,6),"2026/27","2027/28"))))</f>
        <v/>
      </c>
      <c r="N67" s="13"/>
    </row>
    <row r="68" customFormat="false" ht="15" hidden="false" customHeight="false" outlineLevel="0" collapsed="false">
      <c r="A68" s="31"/>
      <c r="B68" s="13"/>
      <c r="C68" s="13"/>
      <c r="D68" s="32"/>
      <c r="E68" s="32"/>
      <c r="F68" s="14"/>
      <c r="G68" s="23"/>
      <c r="H68" s="16" t="str">
        <f aca="false">IF(F68="","",IF(G68&lt;&gt;"",G68,IF(E68="JPY",IF(ISNUMBER($L$1),ROUND(F68/$L$1,2),"レート未入力"),F68)))</f>
        <v/>
      </c>
      <c r="I68" s="33"/>
      <c r="J68" s="16" t="str">
        <f aca="false">IF(ISNUMBER(H68),ROUND(H68*IF(I68="",1,I68),2),"")</f>
        <v/>
      </c>
      <c r="K68" s="35"/>
      <c r="L68" s="22" t="str">
        <f aca="false">IF(A68="","",IF(A68&lt;DATE(2025,4,6),"2024/25",IF(A68&lt;DATE(2026,4,6),"2025/26",IF(A68&lt;DATE(2027,4,6),"2026/27","2027/28"))))</f>
        <v/>
      </c>
      <c r="N68" s="13"/>
    </row>
    <row r="69" customFormat="false" ht="15" hidden="false" customHeight="false" outlineLevel="0" collapsed="false">
      <c r="A69" s="31"/>
      <c r="B69" s="13"/>
      <c r="C69" s="13"/>
      <c r="D69" s="32"/>
      <c r="E69" s="32"/>
      <c r="F69" s="14"/>
      <c r="G69" s="23"/>
      <c r="H69" s="16" t="str">
        <f aca="false">IF(F69="","",IF(G69&lt;&gt;"",G69,IF(E69="JPY",IF(ISNUMBER($L$1),ROUND(F69/$L$1,2),"レート未入力"),F69)))</f>
        <v/>
      </c>
      <c r="I69" s="33"/>
      <c r="J69" s="16" t="str">
        <f aca="false">IF(ISNUMBER(H69),ROUND(H69*IF(I69="",1,I69),2),"")</f>
        <v/>
      </c>
      <c r="K69" s="35"/>
      <c r="L69" s="22" t="str">
        <f aca="false">IF(A69="","",IF(A69&lt;DATE(2025,4,6),"2024/25",IF(A69&lt;DATE(2026,4,6),"2025/26",IF(A69&lt;DATE(2027,4,6),"2026/27","2027/28"))))</f>
        <v/>
      </c>
      <c r="N69" s="13"/>
    </row>
    <row r="70" customFormat="false" ht="15" hidden="false" customHeight="false" outlineLevel="0" collapsed="false">
      <c r="A70" s="3" t="s">
        <v>196</v>
      </c>
      <c r="J70" s="18" t="n">
        <f aca="false">SUM(J30:J69)</f>
        <v>0</v>
      </c>
    </row>
    <row r="72" customFormat="false" ht="15" hidden="false" customHeight="false" outlineLevel="0" collapsed="false">
      <c r="A72" s="26" t="s">
        <v>197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customFormat="false" ht="15" hidden="false" customHeight="false" outlineLevel="0" collapsed="false">
      <c r="A73" s="17" t="s">
        <v>137</v>
      </c>
      <c r="D73" s="36" t="s">
        <v>16</v>
      </c>
      <c r="E73" s="36" t="s">
        <v>18</v>
      </c>
      <c r="F73" s="36"/>
    </row>
    <row r="74" customFormat="false" ht="15" hidden="false" customHeight="false" outlineLevel="0" collapsed="false">
      <c r="A74" s="17" t="s">
        <v>183</v>
      </c>
      <c r="D74" s="18" t="n">
        <f aca="false">SUMIFS($H$6:$H$25,$J$6:$J$25,"2025/26")</f>
        <v>0</v>
      </c>
      <c r="E74" s="18" t="n">
        <f aca="false">SUMIFS($H$6:$H$25,$J$6:$J$25,"2026/27")</f>
        <v>0</v>
      </c>
      <c r="F74" s="18"/>
    </row>
    <row r="75" customFormat="false" ht="15" hidden="false" customHeight="false" outlineLevel="0" collapsed="false">
      <c r="A75" s="21" t="s">
        <v>41</v>
      </c>
      <c r="D75" s="16" t="n">
        <f aca="false">SUMIFS($J$30:$J$69,$D$30:$D$69,$A75,$L$30:$L$69,"2025/26")</f>
        <v>0</v>
      </c>
      <c r="E75" s="16" t="n">
        <f aca="false">SUMIFS($J$30:$J$69,$D$30:$D$69,$A75,$L$30:$L$69,"2026/27")</f>
        <v>0</v>
      </c>
      <c r="F75" s="16"/>
    </row>
    <row r="76" customFormat="false" ht="15" hidden="false" customHeight="false" outlineLevel="0" collapsed="false">
      <c r="A76" s="21" t="s">
        <v>43</v>
      </c>
      <c r="D76" s="16" t="n">
        <f aca="false">SUMIFS($J$30:$J$69,$D$30:$D$69,$A76,$L$30:$L$69,"2025/26")</f>
        <v>0</v>
      </c>
      <c r="E76" s="16" t="n">
        <f aca="false">SUMIFS($J$30:$J$69,$D$30:$D$69,$A76,$L$30:$L$69,"2026/27")</f>
        <v>0</v>
      </c>
      <c r="F76" s="16"/>
    </row>
    <row r="77" customFormat="false" ht="15" hidden="false" customHeight="false" outlineLevel="0" collapsed="false">
      <c r="A77" s="21" t="s">
        <v>45</v>
      </c>
      <c r="D77" s="16" t="n">
        <f aca="false">SUMIFS($J$30:$J$69,$D$30:$D$69,$A77,$L$30:$L$69,"2025/26")</f>
        <v>0</v>
      </c>
      <c r="E77" s="16" t="n">
        <f aca="false">SUMIFS($J$30:$J$69,$D$30:$D$69,$A77,$L$30:$L$69,"2026/27")</f>
        <v>0</v>
      </c>
      <c r="F77" s="16"/>
    </row>
    <row r="78" customFormat="false" ht="15" hidden="false" customHeight="false" outlineLevel="0" collapsed="false">
      <c r="A78" s="21" t="s">
        <v>47</v>
      </c>
      <c r="D78" s="16" t="n">
        <f aca="false">SUMIFS($J$30:$J$69,$D$30:$D$69,$A78,$L$30:$L$69,"2025/26")</f>
        <v>0</v>
      </c>
      <c r="E78" s="16" t="n">
        <f aca="false">SUMIFS($J$30:$J$69,$D$30:$D$69,$A78,$L$30:$L$69,"2026/27")</f>
        <v>0</v>
      </c>
      <c r="F78" s="16"/>
    </row>
    <row r="79" customFormat="false" ht="15" hidden="false" customHeight="false" outlineLevel="0" collapsed="false">
      <c r="A79" s="21" t="s">
        <v>49</v>
      </c>
      <c r="D79" s="16" t="n">
        <f aca="false">SUMIFS($J$30:$J$69,$D$30:$D$69,$A79,$L$30:$L$69,"2025/26")</f>
        <v>0</v>
      </c>
      <c r="E79" s="16" t="n">
        <f aca="false">SUMIFS($J$30:$J$69,$D$30:$D$69,$A79,$L$30:$L$69,"2026/27")</f>
        <v>0</v>
      </c>
      <c r="F79" s="16"/>
    </row>
    <row r="80" customFormat="false" ht="15" hidden="false" customHeight="false" outlineLevel="0" collapsed="false">
      <c r="A80" s="21" t="s">
        <v>51</v>
      </c>
      <c r="D80" s="16" t="n">
        <f aca="false">SUMIFS($J$30:$J$69,$D$30:$D$69,$A80,$L$30:$L$69,"2025/26")</f>
        <v>0</v>
      </c>
      <c r="E80" s="16" t="n">
        <f aca="false">SUMIFS($J$30:$J$69,$D$30:$D$69,$A80,$L$30:$L$69,"2026/27")</f>
        <v>0</v>
      </c>
      <c r="F80" s="16"/>
    </row>
    <row r="81" customFormat="false" ht="15" hidden="false" customHeight="false" outlineLevel="0" collapsed="false">
      <c r="A81" s="21" t="s">
        <v>53</v>
      </c>
      <c r="D81" s="16" t="n">
        <f aca="false">SUMIFS($J$30:$J$69,$D$30:$D$69,$A81,$L$30:$L$69,"2025/26")</f>
        <v>0</v>
      </c>
      <c r="E81" s="16" t="n">
        <f aca="false">SUMIFS($J$30:$J$69,$D$30:$D$69,$A81,$L$30:$L$69,"2026/27")</f>
        <v>0</v>
      </c>
      <c r="F81" s="16"/>
    </row>
    <row r="82" customFormat="false" ht="15" hidden="false" customHeight="false" outlineLevel="0" collapsed="false">
      <c r="A82" s="21" t="s">
        <v>55</v>
      </c>
      <c r="D82" s="16" t="n">
        <f aca="false">SUMIFS($J$30:$J$69,$D$30:$D$69,$A82,$L$30:$L$69,"2025/26")</f>
        <v>0</v>
      </c>
      <c r="E82" s="16" t="n">
        <f aca="false">SUMIFS($J$30:$J$69,$D$30:$D$69,$A82,$L$30:$L$69,"2026/27")</f>
        <v>0</v>
      </c>
      <c r="F82" s="16"/>
    </row>
    <row r="83" customFormat="false" ht="15" hidden="false" customHeight="false" outlineLevel="0" collapsed="false">
      <c r="A83" s="21" t="s">
        <v>57</v>
      </c>
      <c r="D83" s="16" t="n">
        <f aca="false">SUMIFS($J$30:$J$69,$D$30:$D$69,$A83,$L$30:$L$69,"2025/26")</f>
        <v>0</v>
      </c>
      <c r="E83" s="16" t="n">
        <f aca="false">SUMIFS($J$30:$J$69,$D$30:$D$69,$A83,$L$30:$L$69,"2026/27")</f>
        <v>0</v>
      </c>
      <c r="F83" s="16"/>
    </row>
    <row r="84" customFormat="false" ht="15" hidden="false" customHeight="false" outlineLevel="0" collapsed="false">
      <c r="A84" s="21" t="s">
        <v>59</v>
      </c>
      <c r="D84" s="16" t="n">
        <f aca="false">SUMIFS($J$30:$J$69,$D$30:$D$69,$A84,$L$30:$L$69,"2025/26")</f>
        <v>0</v>
      </c>
      <c r="E84" s="16" t="n">
        <f aca="false">SUMIFS($J$30:$J$69,$D$30:$D$69,$A84,$L$30:$L$69,"2026/27")</f>
        <v>0</v>
      </c>
      <c r="F84" s="16"/>
    </row>
    <row r="85" customFormat="false" ht="15" hidden="false" customHeight="false" outlineLevel="0" collapsed="false">
      <c r="A85" s="21" t="s">
        <v>61</v>
      </c>
      <c r="D85" s="16" t="n">
        <f aca="false">SUMIFS($J$30:$J$69,$D$30:$D$69,$A85,$L$30:$L$69,"2025/26")</f>
        <v>0</v>
      </c>
      <c r="E85" s="16" t="n">
        <f aca="false">SUMIFS($J$30:$J$69,$D$30:$D$69,$A85,$L$30:$L$69,"2026/27")</f>
        <v>0</v>
      </c>
      <c r="F85" s="16"/>
    </row>
    <row r="86" customFormat="false" ht="15" hidden="false" customHeight="false" outlineLevel="0" collapsed="false">
      <c r="A86" s="21" t="s">
        <v>63</v>
      </c>
      <c r="D86" s="16" t="n">
        <f aca="false">SUMIFS($J$30:$J$69,$D$30:$D$69,$A86,$L$30:$L$69,"2025/26")</f>
        <v>0</v>
      </c>
      <c r="E86" s="16" t="n">
        <f aca="false">SUMIFS($J$30:$J$69,$D$30:$D$69,$A86,$L$30:$L$69,"2026/27")</f>
        <v>0</v>
      </c>
      <c r="F86" s="16"/>
    </row>
    <row r="87" customFormat="false" ht="15" hidden="false" customHeight="false" outlineLevel="0" collapsed="false">
      <c r="A87" s="21" t="s">
        <v>64</v>
      </c>
      <c r="D87" s="16" t="n">
        <f aca="false">SUMIFS($J$30:$J$69,$D$30:$D$69,$A87,$L$30:$L$69,"2025/26")</f>
        <v>0</v>
      </c>
      <c r="E87" s="16" t="n">
        <f aca="false">SUMIFS($J$30:$J$69,$D$30:$D$69,$A87,$L$30:$L$69,"2026/27")</f>
        <v>0</v>
      </c>
      <c r="F87" s="16"/>
    </row>
    <row r="88" customFormat="false" ht="15" hidden="false" customHeight="false" outlineLevel="0" collapsed="false">
      <c r="A88" s="17" t="s">
        <v>198</v>
      </c>
      <c r="D88" s="18" t="n">
        <f aca="false">SUM(D75:D86)</f>
        <v>0</v>
      </c>
      <c r="E88" s="18" t="n">
        <f aca="false">SUM(E75:E86)</f>
        <v>0</v>
      </c>
      <c r="F88" s="18"/>
    </row>
    <row r="89" customFormat="false" ht="15" hidden="false" customHeight="false" outlineLevel="0" collapsed="false">
      <c r="A89" s="17" t="s">
        <v>199</v>
      </c>
      <c r="D89" s="18" t="n">
        <f aca="false">D74-D88-D87</f>
        <v>0</v>
      </c>
      <c r="E89" s="18" t="n">
        <f aca="false">E74-E88-E87</f>
        <v>0</v>
      </c>
      <c r="F89" s="18"/>
    </row>
    <row r="90" customFormat="false" ht="15" hidden="false" customHeight="false" outlineLevel="0" collapsed="false">
      <c r="A90" s="37" t="s">
        <v>200</v>
      </c>
    </row>
    <row r="91" customFormat="false" ht="15" hidden="false" customHeight="false" outlineLevel="0" collapsed="false">
      <c r="A91" s="21" t="s">
        <v>201</v>
      </c>
      <c r="D91" s="16" t="n">
        <f aca="false">SUMIFS($J$30:$J$69,$D$30:$D$69,"")</f>
        <v>0</v>
      </c>
    </row>
  </sheetData>
  <mergeCells count="17"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</mergeCells>
  <dataValidations count="5">
    <dataValidation allowBlank="true" error="0%〜100%で入力してください" errorStyle="stop" operator="between" showDropDown="false" showErrorMessage="true" showInputMessage="false" sqref="I30:I69" type="decimal">
      <formula1>0</formula1>
      <formula2>1</formula2>
    </dataValidation>
    <dataValidation allowBlank="true" errorStyle="stop" operator="between" showDropDown="false" showErrorMessage="false" showInputMessage="false" sqref="E6:E25 E30:E69" type="list">
      <formula1>_list!$B$1:$B$2</formula1>
      <formula2>0</formula2>
    </dataValidation>
    <dataValidation allowBlank="true" errorStyle="stop" operator="between" showDropDown="false" showErrorMessage="false" showInputMessage="false" sqref="D30:D69" type="list">
      <formula1>_list!$A$1:$A$13</formula1>
      <formula2>0</formula2>
    </dataValidation>
    <dataValidation allowBlank="true" errorStyle="stop" operator="between" showDropDown="false" showErrorMessage="false" showInputMessage="false" sqref="D6:D25" type="list">
      <formula1>_list!$C$1:$C$7</formula1>
      <formula2>0</formula2>
    </dataValidation>
    <dataValidation allowBlank="true" error="日付で入力してください（例：2025/5/2）" errorStyle="stop" operator="between" showDropDown="false" showErrorMessage="true" showInputMessage="false" sqref="A6:A25 A30:A69" type="date">
      <formula1>DATE(2025,4,1)</formula1>
      <formula2>DATE(2027,12,31)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24"/>
  </cols>
  <sheetData>
    <row r="1" customFormat="false" ht="19.4" hidden="false" customHeight="false" outlineLevel="0" collapsed="false">
      <c r="A1" s="1" t="s">
        <v>205</v>
      </c>
      <c r="J1" s="3" t="s">
        <v>164</v>
      </c>
      <c r="L1" s="25" t="str">
        <f aca="false">IF(為替レート!$B$9="","未入力",為替レート!$B$9)</f>
        <v>未入力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26" t="s">
        <v>166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customFormat="false" ht="30" hidden="false" customHeight="true" outlineLevel="0" collapsed="false">
      <c r="A5" s="9" t="s">
        <v>167</v>
      </c>
      <c r="B5" s="9" t="s">
        <v>168</v>
      </c>
      <c r="C5" s="9" t="s">
        <v>169</v>
      </c>
      <c r="D5" s="9" t="s">
        <v>170</v>
      </c>
      <c r="E5" s="9" t="s">
        <v>171</v>
      </c>
      <c r="F5" s="9" t="s">
        <v>172</v>
      </c>
      <c r="G5" s="9" t="s">
        <v>173</v>
      </c>
      <c r="H5" s="9" t="s">
        <v>174</v>
      </c>
      <c r="I5" s="9" t="s">
        <v>175</v>
      </c>
      <c r="J5" s="9" t="s">
        <v>176</v>
      </c>
      <c r="K5" s="9"/>
      <c r="L5" s="9"/>
      <c r="M5" s="9"/>
      <c r="N5" s="9" t="s">
        <v>177</v>
      </c>
    </row>
    <row r="6" customFormat="false" ht="15" hidden="false" customHeight="false" outlineLevel="0" collapsed="false">
      <c r="A6" s="31"/>
      <c r="B6" s="13"/>
      <c r="C6" s="13"/>
      <c r="D6" s="32"/>
      <c r="E6" s="32"/>
      <c r="F6" s="14"/>
      <c r="G6" s="23"/>
      <c r="H6" s="16" t="str">
        <f aca="false">IF(F6="","",IF(G6&lt;&gt;"",G6,IF(E6="JPY",IF(ISNUMBER($L$1),ROUND(F6/$L$1,2),"レート未入力"),F6)))</f>
        <v/>
      </c>
      <c r="I6" s="13"/>
      <c r="J6" s="22" t="str">
        <f aca="false">IF(A6="","",IF(A6&lt;DATE(2025,4,6),"2024/25",IF(A6&lt;DATE(2026,4,6),"2025/26",IF(A6&lt;DATE(2027,4,6),"2026/27","2027/28"))))</f>
        <v/>
      </c>
      <c r="N6" s="13"/>
    </row>
    <row r="7" customFormat="false" ht="15" hidden="false" customHeight="false" outlineLevel="0" collapsed="false">
      <c r="A7" s="31"/>
      <c r="B7" s="13"/>
      <c r="C7" s="13"/>
      <c r="D7" s="32"/>
      <c r="E7" s="32"/>
      <c r="F7" s="14"/>
      <c r="G7" s="23"/>
      <c r="H7" s="16" t="str">
        <f aca="false">IF(F7="","",IF(G7&lt;&gt;"",G7,IF(E7="JPY",IF(ISNUMBER($L$1),ROUND(F7/$L$1,2),"レート未入力"),F7)))</f>
        <v/>
      </c>
      <c r="I7" s="13"/>
      <c r="J7" s="22" t="str">
        <f aca="false">IF(A7="","",IF(A7&lt;DATE(2025,4,6),"2024/25",IF(A7&lt;DATE(2026,4,6),"2025/26",IF(A7&lt;DATE(2027,4,6),"2026/27","2027/28"))))</f>
        <v/>
      </c>
      <c r="N7" s="13"/>
    </row>
    <row r="8" customFormat="false" ht="15" hidden="false" customHeight="false" outlineLevel="0" collapsed="false">
      <c r="A8" s="31"/>
      <c r="B8" s="13"/>
      <c r="C8" s="13"/>
      <c r="D8" s="32"/>
      <c r="E8" s="32"/>
      <c r="F8" s="14"/>
      <c r="G8" s="23"/>
      <c r="H8" s="16" t="str">
        <f aca="false">IF(F8="","",IF(G8&lt;&gt;"",G8,IF(E8="JPY",IF(ISNUMBER($L$1),ROUND(F8/$L$1,2),"レート未入力"),F8)))</f>
        <v/>
      </c>
      <c r="I8" s="13"/>
      <c r="J8" s="22" t="str">
        <f aca="false">IF(A8="","",IF(A8&lt;DATE(2025,4,6),"2024/25",IF(A8&lt;DATE(2026,4,6),"2025/26",IF(A8&lt;DATE(2027,4,6),"2026/27","2027/28"))))</f>
        <v/>
      </c>
      <c r="N8" s="13"/>
    </row>
    <row r="9" customFormat="false" ht="15" hidden="false" customHeight="false" outlineLevel="0" collapsed="false">
      <c r="A9" s="31"/>
      <c r="B9" s="13"/>
      <c r="C9" s="13"/>
      <c r="D9" s="32"/>
      <c r="E9" s="32"/>
      <c r="F9" s="14"/>
      <c r="G9" s="23"/>
      <c r="H9" s="16" t="str">
        <f aca="false">IF(F9="","",IF(G9&lt;&gt;"",G9,IF(E9="JPY",IF(ISNUMBER($L$1),ROUND(F9/$L$1,2),"レート未入力"),F9)))</f>
        <v/>
      </c>
      <c r="I9" s="13"/>
      <c r="J9" s="22" t="str">
        <f aca="false">IF(A9="","",IF(A9&lt;DATE(2025,4,6),"2024/25",IF(A9&lt;DATE(2026,4,6),"2025/26",IF(A9&lt;DATE(2027,4,6),"2026/27","2027/28"))))</f>
        <v/>
      </c>
      <c r="N9" s="13"/>
    </row>
    <row r="10" customFormat="false" ht="15" hidden="false" customHeight="false" outlineLevel="0" collapsed="false">
      <c r="A10" s="31"/>
      <c r="B10" s="13"/>
      <c r="C10" s="13"/>
      <c r="D10" s="32"/>
      <c r="E10" s="32"/>
      <c r="F10" s="14"/>
      <c r="G10" s="23"/>
      <c r="H10" s="16" t="str">
        <f aca="false">IF(F10="","",IF(G10&lt;&gt;"",G10,IF(E10="JPY",IF(ISNUMBER($L$1),ROUND(F10/$L$1,2),"レート未入力"),F10)))</f>
        <v/>
      </c>
      <c r="I10" s="13"/>
      <c r="J10" s="22" t="str">
        <f aca="false">IF(A10="","",IF(A10&lt;DATE(2025,4,6),"2024/25",IF(A10&lt;DATE(2026,4,6),"2025/26",IF(A10&lt;DATE(2027,4,6),"2026/27","2027/28"))))</f>
        <v/>
      </c>
      <c r="N10" s="13"/>
    </row>
    <row r="11" customFormat="false" ht="15" hidden="false" customHeight="false" outlineLevel="0" collapsed="false">
      <c r="A11" s="31"/>
      <c r="B11" s="13"/>
      <c r="C11" s="13"/>
      <c r="D11" s="32"/>
      <c r="E11" s="32"/>
      <c r="F11" s="14"/>
      <c r="G11" s="23"/>
      <c r="H11" s="16" t="str">
        <f aca="false">IF(F11="","",IF(G11&lt;&gt;"",G11,IF(E11="JPY",IF(ISNUMBER($L$1),ROUND(F11/$L$1,2),"レート未入力"),F11)))</f>
        <v/>
      </c>
      <c r="I11" s="13"/>
      <c r="J11" s="22" t="str">
        <f aca="false">IF(A11="","",IF(A11&lt;DATE(2025,4,6),"2024/25",IF(A11&lt;DATE(2026,4,6),"2025/26",IF(A11&lt;DATE(2027,4,6),"2026/27","2027/28"))))</f>
        <v/>
      </c>
      <c r="N11" s="13"/>
    </row>
    <row r="12" customFormat="false" ht="15" hidden="false" customHeight="false" outlineLevel="0" collapsed="false">
      <c r="A12" s="31"/>
      <c r="B12" s="13"/>
      <c r="C12" s="13"/>
      <c r="D12" s="32"/>
      <c r="E12" s="32"/>
      <c r="F12" s="14"/>
      <c r="G12" s="23"/>
      <c r="H12" s="16" t="str">
        <f aca="false">IF(F12="","",IF(G12&lt;&gt;"",G12,IF(E12="JPY",IF(ISNUMBER($L$1),ROUND(F12/$L$1,2),"レート未入力"),F12)))</f>
        <v/>
      </c>
      <c r="I12" s="13"/>
      <c r="J12" s="22" t="str">
        <f aca="false">IF(A12="","",IF(A12&lt;DATE(2025,4,6),"2024/25",IF(A12&lt;DATE(2026,4,6),"2025/26",IF(A12&lt;DATE(2027,4,6),"2026/27","2027/28"))))</f>
        <v/>
      </c>
      <c r="N12" s="13"/>
    </row>
    <row r="13" customFormat="false" ht="15" hidden="false" customHeight="false" outlineLevel="0" collapsed="false">
      <c r="A13" s="31"/>
      <c r="B13" s="13"/>
      <c r="C13" s="13"/>
      <c r="D13" s="32"/>
      <c r="E13" s="32"/>
      <c r="F13" s="14"/>
      <c r="G13" s="23"/>
      <c r="H13" s="16" t="str">
        <f aca="false">IF(F13="","",IF(G13&lt;&gt;"",G13,IF(E13="JPY",IF(ISNUMBER($L$1),ROUND(F13/$L$1,2),"レート未入力"),F13)))</f>
        <v/>
      </c>
      <c r="I13" s="13"/>
      <c r="J13" s="22" t="str">
        <f aca="false">IF(A13="","",IF(A13&lt;DATE(2025,4,6),"2024/25",IF(A13&lt;DATE(2026,4,6),"2025/26",IF(A13&lt;DATE(2027,4,6),"2026/27","2027/28"))))</f>
        <v/>
      </c>
      <c r="N13" s="13"/>
    </row>
    <row r="14" customFormat="false" ht="15" hidden="false" customHeight="false" outlineLevel="0" collapsed="false">
      <c r="A14" s="31"/>
      <c r="B14" s="13"/>
      <c r="C14" s="13"/>
      <c r="D14" s="32"/>
      <c r="E14" s="32"/>
      <c r="F14" s="14"/>
      <c r="G14" s="23"/>
      <c r="H14" s="16" t="str">
        <f aca="false">IF(F14="","",IF(G14&lt;&gt;"",G14,IF(E14="JPY",IF(ISNUMBER($L$1),ROUND(F14/$L$1,2),"レート未入力"),F14)))</f>
        <v/>
      </c>
      <c r="I14" s="13"/>
      <c r="J14" s="22" t="str">
        <f aca="false">IF(A14="","",IF(A14&lt;DATE(2025,4,6),"2024/25",IF(A14&lt;DATE(2026,4,6),"2025/26",IF(A14&lt;DATE(2027,4,6),"2026/27","2027/28"))))</f>
        <v/>
      </c>
      <c r="N14" s="13"/>
    </row>
    <row r="15" customFormat="false" ht="15" hidden="false" customHeight="false" outlineLevel="0" collapsed="false">
      <c r="A15" s="31"/>
      <c r="B15" s="13"/>
      <c r="C15" s="13"/>
      <c r="D15" s="32"/>
      <c r="E15" s="32"/>
      <c r="F15" s="14"/>
      <c r="G15" s="23"/>
      <c r="H15" s="16" t="str">
        <f aca="false">IF(F15="","",IF(G15&lt;&gt;"",G15,IF(E15="JPY",IF(ISNUMBER($L$1),ROUND(F15/$L$1,2),"レート未入力"),F15)))</f>
        <v/>
      </c>
      <c r="I15" s="13"/>
      <c r="J15" s="22" t="str">
        <f aca="false">IF(A15="","",IF(A15&lt;DATE(2025,4,6),"2024/25",IF(A15&lt;DATE(2026,4,6),"2025/26",IF(A15&lt;DATE(2027,4,6),"2026/27","2027/28"))))</f>
        <v/>
      </c>
      <c r="N15" s="13"/>
    </row>
    <row r="16" customFormat="false" ht="15" hidden="false" customHeight="false" outlineLevel="0" collapsed="false">
      <c r="A16" s="31"/>
      <c r="B16" s="13"/>
      <c r="C16" s="13"/>
      <c r="D16" s="32"/>
      <c r="E16" s="32"/>
      <c r="F16" s="14"/>
      <c r="G16" s="23"/>
      <c r="H16" s="16" t="str">
        <f aca="false">IF(F16="","",IF(G16&lt;&gt;"",G16,IF(E16="JPY",IF(ISNUMBER($L$1),ROUND(F16/$L$1,2),"レート未入力"),F16)))</f>
        <v/>
      </c>
      <c r="I16" s="13"/>
      <c r="J16" s="22" t="str">
        <f aca="false">IF(A16="","",IF(A16&lt;DATE(2025,4,6),"2024/25",IF(A16&lt;DATE(2026,4,6),"2025/26",IF(A16&lt;DATE(2027,4,6),"2026/27","2027/28"))))</f>
        <v/>
      </c>
      <c r="N16" s="13"/>
    </row>
    <row r="17" customFormat="false" ht="15" hidden="false" customHeight="false" outlineLevel="0" collapsed="false">
      <c r="A17" s="31"/>
      <c r="B17" s="13"/>
      <c r="C17" s="13"/>
      <c r="D17" s="32"/>
      <c r="E17" s="32"/>
      <c r="F17" s="14"/>
      <c r="G17" s="23"/>
      <c r="H17" s="16" t="str">
        <f aca="false">IF(F17="","",IF(G17&lt;&gt;"",G17,IF(E17="JPY",IF(ISNUMBER($L$1),ROUND(F17/$L$1,2),"レート未入力"),F17)))</f>
        <v/>
      </c>
      <c r="I17" s="13"/>
      <c r="J17" s="22" t="str">
        <f aca="false">IF(A17="","",IF(A17&lt;DATE(2025,4,6),"2024/25",IF(A17&lt;DATE(2026,4,6),"2025/26",IF(A17&lt;DATE(2027,4,6),"2026/27","2027/28"))))</f>
        <v/>
      </c>
      <c r="N17" s="13"/>
    </row>
    <row r="18" customFormat="false" ht="15" hidden="false" customHeight="false" outlineLevel="0" collapsed="false">
      <c r="A18" s="31"/>
      <c r="B18" s="13"/>
      <c r="C18" s="13"/>
      <c r="D18" s="32"/>
      <c r="E18" s="32"/>
      <c r="F18" s="14"/>
      <c r="G18" s="23"/>
      <c r="H18" s="16" t="str">
        <f aca="false">IF(F18="","",IF(G18&lt;&gt;"",G18,IF(E18="JPY",IF(ISNUMBER($L$1),ROUND(F18/$L$1,2),"レート未入力"),F18)))</f>
        <v/>
      </c>
      <c r="I18" s="13"/>
      <c r="J18" s="22" t="str">
        <f aca="false">IF(A18="","",IF(A18&lt;DATE(2025,4,6),"2024/25",IF(A18&lt;DATE(2026,4,6),"2025/26",IF(A18&lt;DATE(2027,4,6),"2026/27","2027/28"))))</f>
        <v/>
      </c>
      <c r="N18" s="13"/>
    </row>
    <row r="19" customFormat="false" ht="15" hidden="false" customHeight="false" outlineLevel="0" collapsed="false">
      <c r="A19" s="31"/>
      <c r="B19" s="13"/>
      <c r="C19" s="13"/>
      <c r="D19" s="32"/>
      <c r="E19" s="32"/>
      <c r="F19" s="14"/>
      <c r="G19" s="23"/>
      <c r="H19" s="16" t="str">
        <f aca="false">IF(F19="","",IF(G19&lt;&gt;"",G19,IF(E19="JPY",IF(ISNUMBER($L$1),ROUND(F19/$L$1,2),"レート未入力"),F19)))</f>
        <v/>
      </c>
      <c r="I19" s="13"/>
      <c r="J19" s="22" t="str">
        <f aca="false">IF(A19="","",IF(A19&lt;DATE(2025,4,6),"2024/25",IF(A19&lt;DATE(2026,4,6),"2025/26",IF(A19&lt;DATE(2027,4,6),"2026/27","2027/28"))))</f>
        <v/>
      </c>
      <c r="N19" s="13"/>
    </row>
    <row r="20" customFormat="false" ht="15" hidden="false" customHeight="false" outlineLevel="0" collapsed="false">
      <c r="A20" s="31"/>
      <c r="B20" s="13"/>
      <c r="C20" s="13"/>
      <c r="D20" s="32"/>
      <c r="E20" s="32"/>
      <c r="F20" s="14"/>
      <c r="G20" s="23"/>
      <c r="H20" s="16" t="str">
        <f aca="false">IF(F20="","",IF(G20&lt;&gt;"",G20,IF(E20="JPY",IF(ISNUMBER($L$1),ROUND(F20/$L$1,2),"レート未入力"),F20)))</f>
        <v/>
      </c>
      <c r="I20" s="13"/>
      <c r="J20" s="22" t="str">
        <f aca="false">IF(A20="","",IF(A20&lt;DATE(2025,4,6),"2024/25",IF(A20&lt;DATE(2026,4,6),"2025/26",IF(A20&lt;DATE(2027,4,6),"2026/27","2027/28"))))</f>
        <v/>
      </c>
      <c r="N20" s="13"/>
    </row>
    <row r="21" customFormat="false" ht="15" hidden="false" customHeight="false" outlineLevel="0" collapsed="false">
      <c r="A21" s="31"/>
      <c r="B21" s="13"/>
      <c r="C21" s="13"/>
      <c r="D21" s="32"/>
      <c r="E21" s="32"/>
      <c r="F21" s="14"/>
      <c r="G21" s="23"/>
      <c r="H21" s="16" t="str">
        <f aca="false">IF(F21="","",IF(G21&lt;&gt;"",G21,IF(E21="JPY",IF(ISNUMBER($L$1),ROUND(F21/$L$1,2),"レート未入力"),F21)))</f>
        <v/>
      </c>
      <c r="I21" s="13"/>
      <c r="J21" s="22" t="str">
        <f aca="false">IF(A21="","",IF(A21&lt;DATE(2025,4,6),"2024/25",IF(A21&lt;DATE(2026,4,6),"2025/26",IF(A21&lt;DATE(2027,4,6),"2026/27","2027/28"))))</f>
        <v/>
      </c>
      <c r="N21" s="13"/>
    </row>
    <row r="22" customFormat="false" ht="15" hidden="false" customHeight="false" outlineLevel="0" collapsed="false">
      <c r="A22" s="31"/>
      <c r="B22" s="13"/>
      <c r="C22" s="13"/>
      <c r="D22" s="32"/>
      <c r="E22" s="32"/>
      <c r="F22" s="14"/>
      <c r="G22" s="23"/>
      <c r="H22" s="16" t="str">
        <f aca="false">IF(F22="","",IF(G22&lt;&gt;"",G22,IF(E22="JPY",IF(ISNUMBER($L$1),ROUND(F22/$L$1,2),"レート未入力"),F22)))</f>
        <v/>
      </c>
      <c r="I22" s="13"/>
      <c r="J22" s="22" t="str">
        <f aca="false">IF(A22="","",IF(A22&lt;DATE(2025,4,6),"2024/25",IF(A22&lt;DATE(2026,4,6),"2025/26",IF(A22&lt;DATE(2027,4,6),"2026/27","2027/28"))))</f>
        <v/>
      </c>
      <c r="N22" s="13"/>
    </row>
    <row r="23" customFormat="false" ht="15" hidden="false" customHeight="false" outlineLevel="0" collapsed="false">
      <c r="A23" s="31"/>
      <c r="B23" s="13"/>
      <c r="C23" s="13"/>
      <c r="D23" s="32"/>
      <c r="E23" s="32"/>
      <c r="F23" s="14"/>
      <c r="G23" s="23"/>
      <c r="H23" s="16" t="str">
        <f aca="false">IF(F23="","",IF(G23&lt;&gt;"",G23,IF(E23="JPY",IF(ISNUMBER($L$1),ROUND(F23/$L$1,2),"レート未入力"),F23)))</f>
        <v/>
      </c>
      <c r="I23" s="13"/>
      <c r="J23" s="22" t="str">
        <f aca="false">IF(A23="","",IF(A23&lt;DATE(2025,4,6),"2024/25",IF(A23&lt;DATE(2026,4,6),"2025/26",IF(A23&lt;DATE(2027,4,6),"2026/27","2027/28"))))</f>
        <v/>
      </c>
      <c r="N23" s="13"/>
    </row>
    <row r="24" customFormat="false" ht="15" hidden="false" customHeight="false" outlineLevel="0" collapsed="false">
      <c r="A24" s="31"/>
      <c r="B24" s="13"/>
      <c r="C24" s="13"/>
      <c r="D24" s="32"/>
      <c r="E24" s="32"/>
      <c r="F24" s="14"/>
      <c r="G24" s="23"/>
      <c r="H24" s="16" t="str">
        <f aca="false">IF(F24="","",IF(G24&lt;&gt;"",G24,IF(E24="JPY",IF(ISNUMBER($L$1),ROUND(F24/$L$1,2),"レート未入力"),F24)))</f>
        <v/>
      </c>
      <c r="I24" s="13"/>
      <c r="J24" s="22" t="str">
        <f aca="false">IF(A24="","",IF(A24&lt;DATE(2025,4,6),"2024/25",IF(A24&lt;DATE(2026,4,6),"2025/26",IF(A24&lt;DATE(2027,4,6),"2026/27","2027/28"))))</f>
        <v/>
      </c>
      <c r="N24" s="13"/>
    </row>
    <row r="25" customFormat="false" ht="15" hidden="false" customHeight="false" outlineLevel="0" collapsed="false">
      <c r="A25" s="31"/>
      <c r="B25" s="13"/>
      <c r="C25" s="13"/>
      <c r="D25" s="32"/>
      <c r="E25" s="32"/>
      <c r="F25" s="14"/>
      <c r="G25" s="23"/>
      <c r="H25" s="16" t="str">
        <f aca="false">IF(F25="","",IF(G25&lt;&gt;"",G25,IF(E25="JPY",IF(ISNUMBER($L$1),ROUND(F25/$L$1,2),"レート未入力"),F25)))</f>
        <v/>
      </c>
      <c r="I25" s="13"/>
      <c r="J25" s="22" t="str">
        <f aca="false">IF(A25="","",IF(A25&lt;DATE(2025,4,6),"2024/25",IF(A25&lt;DATE(2026,4,6),"2025/26",IF(A25&lt;DATE(2027,4,6),"2026/27","2027/28"))))</f>
        <v/>
      </c>
      <c r="N25" s="13"/>
    </row>
    <row r="26" customFormat="false" ht="15" hidden="false" customHeight="false" outlineLevel="0" collapsed="false">
      <c r="A26" s="3" t="s">
        <v>183</v>
      </c>
      <c r="H26" s="18" t="n">
        <f aca="false">SUM(H6:H25)</f>
        <v>0</v>
      </c>
    </row>
    <row r="28" customFormat="false" ht="15" hidden="false" customHeight="false" outlineLevel="0" collapsed="false">
      <c r="A28" s="26" t="s">
        <v>184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</row>
    <row r="29" customFormat="false" ht="30" hidden="false" customHeight="true" outlineLevel="0" collapsed="false">
      <c r="A29" s="9" t="s">
        <v>167</v>
      </c>
      <c r="B29" s="9" t="s">
        <v>185</v>
      </c>
      <c r="C29" s="9" t="s">
        <v>169</v>
      </c>
      <c r="D29" s="9" t="s">
        <v>38</v>
      </c>
      <c r="E29" s="9" t="s">
        <v>171</v>
      </c>
      <c r="F29" s="9" t="s">
        <v>172</v>
      </c>
      <c r="G29" s="9" t="s">
        <v>173</v>
      </c>
      <c r="H29" s="10" t="s">
        <v>186</v>
      </c>
      <c r="I29" s="9" t="s">
        <v>187</v>
      </c>
      <c r="J29" s="9" t="s">
        <v>188</v>
      </c>
      <c r="K29" s="9" t="s">
        <v>189</v>
      </c>
      <c r="L29" s="9" t="s">
        <v>176</v>
      </c>
      <c r="M29" s="9"/>
      <c r="N29" s="9" t="s">
        <v>177</v>
      </c>
    </row>
    <row r="30" customFormat="false" ht="15" hidden="false" customHeight="false" outlineLevel="0" collapsed="false">
      <c r="A30" s="31"/>
      <c r="B30" s="13"/>
      <c r="C30" s="13"/>
      <c r="D30" s="32"/>
      <c r="E30" s="32"/>
      <c r="F30" s="14"/>
      <c r="G30" s="23"/>
      <c r="H30" s="16" t="str">
        <f aca="false">IF(F30="","",IF(G30&lt;&gt;"",G30,IF(E30="JPY",IF(ISNUMBER($L$1),ROUND(F30/$L$1,2),"レート未入力"),F30)))</f>
        <v/>
      </c>
      <c r="I30" s="33"/>
      <c r="J30" s="16" t="str">
        <f aca="false">IF(ISNUMBER(H30),ROUND(H30*IF(I30="",1,I30),2),"")</f>
        <v/>
      </c>
      <c r="K30" s="35"/>
      <c r="L30" s="22" t="str">
        <f aca="false">IF(A30="","",IF(A30&lt;DATE(2025,4,6),"2024/25",IF(A30&lt;DATE(2026,4,6),"2025/26",IF(A30&lt;DATE(2027,4,6),"2026/27","2027/28"))))</f>
        <v/>
      </c>
      <c r="N30" s="13"/>
    </row>
    <row r="31" customFormat="false" ht="15" hidden="false" customHeight="false" outlineLevel="0" collapsed="false">
      <c r="A31" s="31"/>
      <c r="B31" s="13"/>
      <c r="C31" s="13"/>
      <c r="D31" s="32"/>
      <c r="E31" s="32"/>
      <c r="F31" s="14"/>
      <c r="G31" s="23"/>
      <c r="H31" s="16" t="str">
        <f aca="false">IF(F31="","",IF(G31&lt;&gt;"",G31,IF(E31="JPY",IF(ISNUMBER($L$1),ROUND(F31/$L$1,2),"レート未入力"),F31)))</f>
        <v/>
      </c>
      <c r="I31" s="33"/>
      <c r="J31" s="16" t="str">
        <f aca="false">IF(ISNUMBER(H31),ROUND(H31*IF(I31="",1,I31),2),"")</f>
        <v/>
      </c>
      <c r="K31" s="35"/>
      <c r="L31" s="22" t="str">
        <f aca="false">IF(A31="","",IF(A31&lt;DATE(2025,4,6),"2024/25",IF(A31&lt;DATE(2026,4,6),"2025/26",IF(A31&lt;DATE(2027,4,6),"2026/27","2027/28"))))</f>
        <v/>
      </c>
      <c r="N31" s="13"/>
    </row>
    <row r="32" customFormat="false" ht="15" hidden="false" customHeight="false" outlineLevel="0" collapsed="false">
      <c r="A32" s="31"/>
      <c r="B32" s="13"/>
      <c r="C32" s="13"/>
      <c r="D32" s="32"/>
      <c r="E32" s="32"/>
      <c r="F32" s="14"/>
      <c r="G32" s="23"/>
      <c r="H32" s="16" t="str">
        <f aca="false">IF(F32="","",IF(G32&lt;&gt;"",G32,IF(E32="JPY",IF(ISNUMBER($L$1),ROUND(F32/$L$1,2),"レート未入力"),F32)))</f>
        <v/>
      </c>
      <c r="I32" s="33"/>
      <c r="J32" s="16" t="str">
        <f aca="false">IF(ISNUMBER(H32),ROUND(H32*IF(I32="",1,I32),2),"")</f>
        <v/>
      </c>
      <c r="K32" s="35"/>
      <c r="L32" s="22" t="str">
        <f aca="false">IF(A32="","",IF(A32&lt;DATE(2025,4,6),"2024/25",IF(A32&lt;DATE(2026,4,6),"2025/26",IF(A32&lt;DATE(2027,4,6),"2026/27","2027/28"))))</f>
        <v/>
      </c>
      <c r="N32" s="13"/>
    </row>
    <row r="33" customFormat="false" ht="15" hidden="false" customHeight="false" outlineLevel="0" collapsed="false">
      <c r="A33" s="31"/>
      <c r="B33" s="13"/>
      <c r="C33" s="13"/>
      <c r="D33" s="32"/>
      <c r="E33" s="32"/>
      <c r="F33" s="14"/>
      <c r="G33" s="23"/>
      <c r="H33" s="16" t="str">
        <f aca="false">IF(F33="","",IF(G33&lt;&gt;"",G33,IF(E33="JPY",IF(ISNUMBER($L$1),ROUND(F33/$L$1,2),"レート未入力"),F33)))</f>
        <v/>
      </c>
      <c r="I33" s="33"/>
      <c r="J33" s="16" t="str">
        <f aca="false">IF(ISNUMBER(H33),ROUND(H33*IF(I33="",1,I33),2),"")</f>
        <v/>
      </c>
      <c r="K33" s="35"/>
      <c r="L33" s="22" t="str">
        <f aca="false">IF(A33="","",IF(A33&lt;DATE(2025,4,6),"2024/25",IF(A33&lt;DATE(2026,4,6),"2025/26",IF(A33&lt;DATE(2027,4,6),"2026/27","2027/28"))))</f>
        <v/>
      </c>
      <c r="N33" s="13"/>
    </row>
    <row r="34" customFormat="false" ht="15" hidden="false" customHeight="false" outlineLevel="0" collapsed="false">
      <c r="A34" s="31"/>
      <c r="B34" s="13"/>
      <c r="C34" s="13"/>
      <c r="D34" s="32"/>
      <c r="E34" s="32"/>
      <c r="F34" s="14"/>
      <c r="G34" s="23"/>
      <c r="H34" s="16" t="str">
        <f aca="false">IF(F34="","",IF(G34&lt;&gt;"",G34,IF(E34="JPY",IF(ISNUMBER($L$1),ROUND(F34/$L$1,2),"レート未入力"),F34)))</f>
        <v/>
      </c>
      <c r="I34" s="33"/>
      <c r="J34" s="16" t="str">
        <f aca="false">IF(ISNUMBER(H34),ROUND(H34*IF(I34="",1,I34),2),"")</f>
        <v/>
      </c>
      <c r="K34" s="35"/>
      <c r="L34" s="22" t="str">
        <f aca="false">IF(A34="","",IF(A34&lt;DATE(2025,4,6),"2024/25",IF(A34&lt;DATE(2026,4,6),"2025/26",IF(A34&lt;DATE(2027,4,6),"2026/27","2027/28"))))</f>
        <v/>
      </c>
      <c r="N34" s="13"/>
    </row>
    <row r="35" customFormat="false" ht="15" hidden="false" customHeight="false" outlineLevel="0" collapsed="false">
      <c r="A35" s="31"/>
      <c r="B35" s="13"/>
      <c r="C35" s="13"/>
      <c r="D35" s="32"/>
      <c r="E35" s="32"/>
      <c r="F35" s="14"/>
      <c r="G35" s="23"/>
      <c r="H35" s="16" t="str">
        <f aca="false">IF(F35="","",IF(G35&lt;&gt;"",G35,IF(E35="JPY",IF(ISNUMBER($L$1),ROUND(F35/$L$1,2),"レート未入力"),F35)))</f>
        <v/>
      </c>
      <c r="I35" s="33"/>
      <c r="J35" s="16" t="str">
        <f aca="false">IF(ISNUMBER(H35),ROUND(H35*IF(I35="",1,I35),2),"")</f>
        <v/>
      </c>
      <c r="K35" s="35"/>
      <c r="L35" s="22" t="str">
        <f aca="false">IF(A35="","",IF(A35&lt;DATE(2025,4,6),"2024/25",IF(A35&lt;DATE(2026,4,6),"2025/26",IF(A35&lt;DATE(2027,4,6),"2026/27","2027/28"))))</f>
        <v/>
      </c>
      <c r="N35" s="13"/>
    </row>
    <row r="36" customFormat="false" ht="15" hidden="false" customHeight="false" outlineLevel="0" collapsed="false">
      <c r="A36" s="31"/>
      <c r="B36" s="13"/>
      <c r="C36" s="13"/>
      <c r="D36" s="32"/>
      <c r="E36" s="32"/>
      <c r="F36" s="14"/>
      <c r="G36" s="23"/>
      <c r="H36" s="16" t="str">
        <f aca="false">IF(F36="","",IF(G36&lt;&gt;"",G36,IF(E36="JPY",IF(ISNUMBER($L$1),ROUND(F36/$L$1,2),"レート未入力"),F36)))</f>
        <v/>
      </c>
      <c r="I36" s="33"/>
      <c r="J36" s="16" t="str">
        <f aca="false">IF(ISNUMBER(H36),ROUND(H36*IF(I36="",1,I36),2),"")</f>
        <v/>
      </c>
      <c r="K36" s="35"/>
      <c r="L36" s="22" t="str">
        <f aca="false">IF(A36="","",IF(A36&lt;DATE(2025,4,6),"2024/25",IF(A36&lt;DATE(2026,4,6),"2025/26",IF(A36&lt;DATE(2027,4,6),"2026/27","2027/28"))))</f>
        <v/>
      </c>
      <c r="N36" s="13"/>
    </row>
    <row r="37" customFormat="false" ht="15" hidden="false" customHeight="false" outlineLevel="0" collapsed="false">
      <c r="A37" s="31"/>
      <c r="B37" s="13"/>
      <c r="C37" s="13"/>
      <c r="D37" s="32"/>
      <c r="E37" s="32"/>
      <c r="F37" s="14"/>
      <c r="G37" s="23"/>
      <c r="H37" s="16" t="str">
        <f aca="false">IF(F37="","",IF(G37&lt;&gt;"",G37,IF(E37="JPY",IF(ISNUMBER($L$1),ROUND(F37/$L$1,2),"レート未入力"),F37)))</f>
        <v/>
      </c>
      <c r="I37" s="33"/>
      <c r="J37" s="16" t="str">
        <f aca="false">IF(ISNUMBER(H37),ROUND(H37*IF(I37="",1,I37),2),"")</f>
        <v/>
      </c>
      <c r="K37" s="35"/>
      <c r="L37" s="22" t="str">
        <f aca="false">IF(A37="","",IF(A37&lt;DATE(2025,4,6),"2024/25",IF(A37&lt;DATE(2026,4,6),"2025/26",IF(A37&lt;DATE(2027,4,6),"2026/27","2027/28"))))</f>
        <v/>
      </c>
      <c r="N37" s="13"/>
    </row>
    <row r="38" customFormat="false" ht="15" hidden="false" customHeight="false" outlineLevel="0" collapsed="false">
      <c r="A38" s="31"/>
      <c r="B38" s="13"/>
      <c r="C38" s="13"/>
      <c r="D38" s="32"/>
      <c r="E38" s="32"/>
      <c r="F38" s="14"/>
      <c r="G38" s="23"/>
      <c r="H38" s="16" t="str">
        <f aca="false">IF(F38="","",IF(G38&lt;&gt;"",G38,IF(E38="JPY",IF(ISNUMBER($L$1),ROUND(F38/$L$1,2),"レート未入力"),F38)))</f>
        <v/>
      </c>
      <c r="I38" s="33"/>
      <c r="J38" s="16" t="str">
        <f aca="false">IF(ISNUMBER(H38),ROUND(H38*IF(I38="",1,I38),2),"")</f>
        <v/>
      </c>
      <c r="K38" s="35"/>
      <c r="L38" s="22" t="str">
        <f aca="false">IF(A38="","",IF(A38&lt;DATE(2025,4,6),"2024/25",IF(A38&lt;DATE(2026,4,6),"2025/26",IF(A38&lt;DATE(2027,4,6),"2026/27","2027/28"))))</f>
        <v/>
      </c>
      <c r="N38" s="13"/>
    </row>
    <row r="39" customFormat="false" ht="15" hidden="false" customHeight="false" outlineLevel="0" collapsed="false">
      <c r="A39" s="31"/>
      <c r="B39" s="13"/>
      <c r="C39" s="13"/>
      <c r="D39" s="32"/>
      <c r="E39" s="32"/>
      <c r="F39" s="14"/>
      <c r="G39" s="23"/>
      <c r="H39" s="16" t="str">
        <f aca="false">IF(F39="","",IF(G39&lt;&gt;"",G39,IF(E39="JPY",IF(ISNUMBER($L$1),ROUND(F39/$L$1,2),"レート未入力"),F39)))</f>
        <v/>
      </c>
      <c r="I39" s="33"/>
      <c r="J39" s="16" t="str">
        <f aca="false">IF(ISNUMBER(H39),ROUND(H39*IF(I39="",1,I39),2),"")</f>
        <v/>
      </c>
      <c r="K39" s="35"/>
      <c r="L39" s="22" t="str">
        <f aca="false">IF(A39="","",IF(A39&lt;DATE(2025,4,6),"2024/25",IF(A39&lt;DATE(2026,4,6),"2025/26",IF(A39&lt;DATE(2027,4,6),"2026/27","2027/28"))))</f>
        <v/>
      </c>
      <c r="N39" s="13"/>
    </row>
    <row r="40" customFormat="false" ht="15" hidden="false" customHeight="false" outlineLevel="0" collapsed="false">
      <c r="A40" s="31"/>
      <c r="B40" s="13"/>
      <c r="C40" s="13"/>
      <c r="D40" s="32"/>
      <c r="E40" s="32"/>
      <c r="F40" s="14"/>
      <c r="G40" s="23"/>
      <c r="H40" s="16" t="str">
        <f aca="false">IF(F40="","",IF(G40&lt;&gt;"",G40,IF(E40="JPY",IF(ISNUMBER($L$1),ROUND(F40/$L$1,2),"レート未入力"),F40)))</f>
        <v/>
      </c>
      <c r="I40" s="33"/>
      <c r="J40" s="16" t="str">
        <f aca="false">IF(ISNUMBER(H40),ROUND(H40*IF(I40="",1,I40),2),"")</f>
        <v/>
      </c>
      <c r="K40" s="35"/>
      <c r="L40" s="22" t="str">
        <f aca="false">IF(A40="","",IF(A40&lt;DATE(2025,4,6),"2024/25",IF(A40&lt;DATE(2026,4,6),"2025/26",IF(A40&lt;DATE(2027,4,6),"2026/27","2027/28"))))</f>
        <v/>
      </c>
      <c r="N40" s="13"/>
    </row>
    <row r="41" customFormat="false" ht="15" hidden="false" customHeight="false" outlineLevel="0" collapsed="false">
      <c r="A41" s="31"/>
      <c r="B41" s="13"/>
      <c r="C41" s="13"/>
      <c r="D41" s="32"/>
      <c r="E41" s="32"/>
      <c r="F41" s="14"/>
      <c r="G41" s="23"/>
      <c r="H41" s="16" t="str">
        <f aca="false">IF(F41="","",IF(G41&lt;&gt;"",G41,IF(E41="JPY",IF(ISNUMBER($L$1),ROUND(F41/$L$1,2),"レート未入力"),F41)))</f>
        <v/>
      </c>
      <c r="I41" s="33"/>
      <c r="J41" s="16" t="str">
        <f aca="false">IF(ISNUMBER(H41),ROUND(H41*IF(I41="",1,I41),2),"")</f>
        <v/>
      </c>
      <c r="K41" s="35"/>
      <c r="L41" s="22" t="str">
        <f aca="false">IF(A41="","",IF(A41&lt;DATE(2025,4,6),"2024/25",IF(A41&lt;DATE(2026,4,6),"2025/26",IF(A41&lt;DATE(2027,4,6),"2026/27","2027/28"))))</f>
        <v/>
      </c>
      <c r="N41" s="13"/>
    </row>
    <row r="42" customFormat="false" ht="15" hidden="false" customHeight="false" outlineLevel="0" collapsed="false">
      <c r="A42" s="31"/>
      <c r="B42" s="13"/>
      <c r="C42" s="13"/>
      <c r="D42" s="32"/>
      <c r="E42" s="32"/>
      <c r="F42" s="14"/>
      <c r="G42" s="23"/>
      <c r="H42" s="16" t="str">
        <f aca="false">IF(F42="","",IF(G42&lt;&gt;"",G42,IF(E42="JPY",IF(ISNUMBER($L$1),ROUND(F42/$L$1,2),"レート未入力"),F42)))</f>
        <v/>
      </c>
      <c r="I42" s="33"/>
      <c r="J42" s="16" t="str">
        <f aca="false">IF(ISNUMBER(H42),ROUND(H42*IF(I42="",1,I42),2),"")</f>
        <v/>
      </c>
      <c r="K42" s="35"/>
      <c r="L42" s="22" t="str">
        <f aca="false">IF(A42="","",IF(A42&lt;DATE(2025,4,6),"2024/25",IF(A42&lt;DATE(2026,4,6),"2025/26",IF(A42&lt;DATE(2027,4,6),"2026/27","2027/28"))))</f>
        <v/>
      </c>
      <c r="N42" s="13"/>
    </row>
    <row r="43" customFormat="false" ht="15" hidden="false" customHeight="false" outlineLevel="0" collapsed="false">
      <c r="A43" s="31"/>
      <c r="B43" s="13"/>
      <c r="C43" s="13"/>
      <c r="D43" s="32"/>
      <c r="E43" s="32"/>
      <c r="F43" s="14"/>
      <c r="G43" s="23"/>
      <c r="H43" s="16" t="str">
        <f aca="false">IF(F43="","",IF(G43&lt;&gt;"",G43,IF(E43="JPY",IF(ISNUMBER($L$1),ROUND(F43/$L$1,2),"レート未入力"),F43)))</f>
        <v/>
      </c>
      <c r="I43" s="33"/>
      <c r="J43" s="16" t="str">
        <f aca="false">IF(ISNUMBER(H43),ROUND(H43*IF(I43="",1,I43),2),"")</f>
        <v/>
      </c>
      <c r="K43" s="35"/>
      <c r="L43" s="22" t="str">
        <f aca="false">IF(A43="","",IF(A43&lt;DATE(2025,4,6),"2024/25",IF(A43&lt;DATE(2026,4,6),"2025/26",IF(A43&lt;DATE(2027,4,6),"2026/27","2027/28"))))</f>
        <v/>
      </c>
      <c r="N43" s="13"/>
    </row>
    <row r="44" customFormat="false" ht="15" hidden="false" customHeight="false" outlineLevel="0" collapsed="false">
      <c r="A44" s="31"/>
      <c r="B44" s="13"/>
      <c r="C44" s="13"/>
      <c r="D44" s="32"/>
      <c r="E44" s="32"/>
      <c r="F44" s="14"/>
      <c r="G44" s="23"/>
      <c r="H44" s="16" t="str">
        <f aca="false">IF(F44="","",IF(G44&lt;&gt;"",G44,IF(E44="JPY",IF(ISNUMBER($L$1),ROUND(F44/$L$1,2),"レート未入力"),F44)))</f>
        <v/>
      </c>
      <c r="I44" s="33"/>
      <c r="J44" s="16" t="str">
        <f aca="false">IF(ISNUMBER(H44),ROUND(H44*IF(I44="",1,I44),2),"")</f>
        <v/>
      </c>
      <c r="K44" s="35"/>
      <c r="L44" s="22" t="str">
        <f aca="false">IF(A44="","",IF(A44&lt;DATE(2025,4,6),"2024/25",IF(A44&lt;DATE(2026,4,6),"2025/26",IF(A44&lt;DATE(2027,4,6),"2026/27","2027/28"))))</f>
        <v/>
      </c>
      <c r="N44" s="13"/>
    </row>
    <row r="45" customFormat="false" ht="15" hidden="false" customHeight="false" outlineLevel="0" collapsed="false">
      <c r="A45" s="31"/>
      <c r="B45" s="13"/>
      <c r="C45" s="13"/>
      <c r="D45" s="32"/>
      <c r="E45" s="32"/>
      <c r="F45" s="14"/>
      <c r="G45" s="23"/>
      <c r="H45" s="16" t="str">
        <f aca="false">IF(F45="","",IF(G45&lt;&gt;"",G45,IF(E45="JPY",IF(ISNUMBER($L$1),ROUND(F45/$L$1,2),"レート未入力"),F45)))</f>
        <v/>
      </c>
      <c r="I45" s="33"/>
      <c r="J45" s="16" t="str">
        <f aca="false">IF(ISNUMBER(H45),ROUND(H45*IF(I45="",1,I45),2),"")</f>
        <v/>
      </c>
      <c r="K45" s="35"/>
      <c r="L45" s="22" t="str">
        <f aca="false">IF(A45="","",IF(A45&lt;DATE(2025,4,6),"2024/25",IF(A45&lt;DATE(2026,4,6),"2025/26",IF(A45&lt;DATE(2027,4,6),"2026/27","2027/28"))))</f>
        <v/>
      </c>
      <c r="N45" s="13"/>
    </row>
    <row r="46" customFormat="false" ht="15" hidden="false" customHeight="false" outlineLevel="0" collapsed="false">
      <c r="A46" s="31"/>
      <c r="B46" s="13"/>
      <c r="C46" s="13"/>
      <c r="D46" s="32"/>
      <c r="E46" s="32"/>
      <c r="F46" s="14"/>
      <c r="G46" s="23"/>
      <c r="H46" s="16" t="str">
        <f aca="false">IF(F46="","",IF(G46&lt;&gt;"",G46,IF(E46="JPY",IF(ISNUMBER($L$1),ROUND(F46/$L$1,2),"レート未入力"),F46)))</f>
        <v/>
      </c>
      <c r="I46" s="33"/>
      <c r="J46" s="16" t="str">
        <f aca="false">IF(ISNUMBER(H46),ROUND(H46*IF(I46="",1,I46),2),"")</f>
        <v/>
      </c>
      <c r="K46" s="35"/>
      <c r="L46" s="22" t="str">
        <f aca="false">IF(A46="","",IF(A46&lt;DATE(2025,4,6),"2024/25",IF(A46&lt;DATE(2026,4,6),"2025/26",IF(A46&lt;DATE(2027,4,6),"2026/27","2027/28"))))</f>
        <v/>
      </c>
      <c r="N46" s="13"/>
    </row>
    <row r="47" customFormat="false" ht="15" hidden="false" customHeight="false" outlineLevel="0" collapsed="false">
      <c r="A47" s="31"/>
      <c r="B47" s="13"/>
      <c r="C47" s="13"/>
      <c r="D47" s="32"/>
      <c r="E47" s="32"/>
      <c r="F47" s="14"/>
      <c r="G47" s="23"/>
      <c r="H47" s="16" t="str">
        <f aca="false">IF(F47="","",IF(G47&lt;&gt;"",G47,IF(E47="JPY",IF(ISNUMBER($L$1),ROUND(F47/$L$1,2),"レート未入力"),F47)))</f>
        <v/>
      </c>
      <c r="I47" s="33"/>
      <c r="J47" s="16" t="str">
        <f aca="false">IF(ISNUMBER(H47),ROUND(H47*IF(I47="",1,I47),2),"")</f>
        <v/>
      </c>
      <c r="K47" s="35"/>
      <c r="L47" s="22" t="str">
        <f aca="false">IF(A47="","",IF(A47&lt;DATE(2025,4,6),"2024/25",IF(A47&lt;DATE(2026,4,6),"2025/26",IF(A47&lt;DATE(2027,4,6),"2026/27","2027/28"))))</f>
        <v/>
      </c>
      <c r="N47" s="13"/>
    </row>
    <row r="48" customFormat="false" ht="15" hidden="false" customHeight="false" outlineLevel="0" collapsed="false">
      <c r="A48" s="31"/>
      <c r="B48" s="13"/>
      <c r="C48" s="13"/>
      <c r="D48" s="32"/>
      <c r="E48" s="32"/>
      <c r="F48" s="14"/>
      <c r="G48" s="23"/>
      <c r="H48" s="16" t="str">
        <f aca="false">IF(F48="","",IF(G48&lt;&gt;"",G48,IF(E48="JPY",IF(ISNUMBER($L$1),ROUND(F48/$L$1,2),"レート未入力"),F48)))</f>
        <v/>
      </c>
      <c r="I48" s="33"/>
      <c r="J48" s="16" t="str">
        <f aca="false">IF(ISNUMBER(H48),ROUND(H48*IF(I48="",1,I48),2),"")</f>
        <v/>
      </c>
      <c r="K48" s="35"/>
      <c r="L48" s="22" t="str">
        <f aca="false">IF(A48="","",IF(A48&lt;DATE(2025,4,6),"2024/25",IF(A48&lt;DATE(2026,4,6),"2025/26",IF(A48&lt;DATE(2027,4,6),"2026/27","2027/28"))))</f>
        <v/>
      </c>
      <c r="N48" s="13"/>
    </row>
    <row r="49" customFormat="false" ht="15" hidden="false" customHeight="false" outlineLevel="0" collapsed="false">
      <c r="A49" s="31"/>
      <c r="B49" s="13"/>
      <c r="C49" s="13"/>
      <c r="D49" s="32"/>
      <c r="E49" s="32"/>
      <c r="F49" s="14"/>
      <c r="G49" s="23"/>
      <c r="H49" s="16" t="str">
        <f aca="false">IF(F49="","",IF(G49&lt;&gt;"",G49,IF(E49="JPY",IF(ISNUMBER($L$1),ROUND(F49/$L$1,2),"レート未入力"),F49)))</f>
        <v/>
      </c>
      <c r="I49" s="33"/>
      <c r="J49" s="16" t="str">
        <f aca="false">IF(ISNUMBER(H49),ROUND(H49*IF(I49="",1,I49),2),"")</f>
        <v/>
      </c>
      <c r="K49" s="35"/>
      <c r="L49" s="22" t="str">
        <f aca="false">IF(A49="","",IF(A49&lt;DATE(2025,4,6),"2024/25",IF(A49&lt;DATE(2026,4,6),"2025/26",IF(A49&lt;DATE(2027,4,6),"2026/27","2027/28"))))</f>
        <v/>
      </c>
      <c r="N49" s="13"/>
    </row>
    <row r="50" customFormat="false" ht="15" hidden="false" customHeight="false" outlineLevel="0" collapsed="false">
      <c r="A50" s="31"/>
      <c r="B50" s="13"/>
      <c r="C50" s="13"/>
      <c r="D50" s="32"/>
      <c r="E50" s="32"/>
      <c r="F50" s="14"/>
      <c r="G50" s="23"/>
      <c r="H50" s="16" t="str">
        <f aca="false">IF(F50="","",IF(G50&lt;&gt;"",G50,IF(E50="JPY",IF(ISNUMBER($L$1),ROUND(F50/$L$1,2),"レート未入力"),F50)))</f>
        <v/>
      </c>
      <c r="I50" s="33"/>
      <c r="J50" s="16" t="str">
        <f aca="false">IF(ISNUMBER(H50),ROUND(H50*IF(I50="",1,I50),2),"")</f>
        <v/>
      </c>
      <c r="K50" s="35"/>
      <c r="L50" s="22" t="str">
        <f aca="false">IF(A50="","",IF(A50&lt;DATE(2025,4,6),"2024/25",IF(A50&lt;DATE(2026,4,6),"2025/26",IF(A50&lt;DATE(2027,4,6),"2026/27","2027/28"))))</f>
        <v/>
      </c>
      <c r="N50" s="13"/>
    </row>
    <row r="51" customFormat="false" ht="15" hidden="false" customHeight="false" outlineLevel="0" collapsed="false">
      <c r="A51" s="31"/>
      <c r="B51" s="13"/>
      <c r="C51" s="13"/>
      <c r="D51" s="32"/>
      <c r="E51" s="32"/>
      <c r="F51" s="14"/>
      <c r="G51" s="23"/>
      <c r="H51" s="16" t="str">
        <f aca="false">IF(F51="","",IF(G51&lt;&gt;"",G51,IF(E51="JPY",IF(ISNUMBER($L$1),ROUND(F51/$L$1,2),"レート未入力"),F51)))</f>
        <v/>
      </c>
      <c r="I51" s="33"/>
      <c r="J51" s="16" t="str">
        <f aca="false">IF(ISNUMBER(H51),ROUND(H51*IF(I51="",1,I51),2),"")</f>
        <v/>
      </c>
      <c r="K51" s="35"/>
      <c r="L51" s="22" t="str">
        <f aca="false">IF(A51="","",IF(A51&lt;DATE(2025,4,6),"2024/25",IF(A51&lt;DATE(2026,4,6),"2025/26",IF(A51&lt;DATE(2027,4,6),"2026/27","2027/28"))))</f>
        <v/>
      </c>
      <c r="N51" s="13"/>
    </row>
    <row r="52" customFormat="false" ht="15" hidden="false" customHeight="false" outlineLevel="0" collapsed="false">
      <c r="A52" s="31"/>
      <c r="B52" s="13"/>
      <c r="C52" s="13"/>
      <c r="D52" s="32"/>
      <c r="E52" s="32"/>
      <c r="F52" s="14"/>
      <c r="G52" s="23"/>
      <c r="H52" s="16" t="str">
        <f aca="false">IF(F52="","",IF(G52&lt;&gt;"",G52,IF(E52="JPY",IF(ISNUMBER($L$1),ROUND(F52/$L$1,2),"レート未入力"),F52)))</f>
        <v/>
      </c>
      <c r="I52" s="33"/>
      <c r="J52" s="16" t="str">
        <f aca="false">IF(ISNUMBER(H52),ROUND(H52*IF(I52="",1,I52),2),"")</f>
        <v/>
      </c>
      <c r="K52" s="35"/>
      <c r="L52" s="22" t="str">
        <f aca="false">IF(A52="","",IF(A52&lt;DATE(2025,4,6),"2024/25",IF(A52&lt;DATE(2026,4,6),"2025/26",IF(A52&lt;DATE(2027,4,6),"2026/27","2027/28"))))</f>
        <v/>
      </c>
      <c r="N52" s="13"/>
    </row>
    <row r="53" customFormat="false" ht="15" hidden="false" customHeight="false" outlineLevel="0" collapsed="false">
      <c r="A53" s="31"/>
      <c r="B53" s="13"/>
      <c r="C53" s="13"/>
      <c r="D53" s="32"/>
      <c r="E53" s="32"/>
      <c r="F53" s="14"/>
      <c r="G53" s="23"/>
      <c r="H53" s="16" t="str">
        <f aca="false">IF(F53="","",IF(G53&lt;&gt;"",G53,IF(E53="JPY",IF(ISNUMBER($L$1),ROUND(F53/$L$1,2),"レート未入力"),F53)))</f>
        <v/>
      </c>
      <c r="I53" s="33"/>
      <c r="J53" s="16" t="str">
        <f aca="false">IF(ISNUMBER(H53),ROUND(H53*IF(I53="",1,I53),2),"")</f>
        <v/>
      </c>
      <c r="K53" s="35"/>
      <c r="L53" s="22" t="str">
        <f aca="false">IF(A53="","",IF(A53&lt;DATE(2025,4,6),"2024/25",IF(A53&lt;DATE(2026,4,6),"2025/26",IF(A53&lt;DATE(2027,4,6),"2026/27","2027/28"))))</f>
        <v/>
      </c>
      <c r="N53" s="13"/>
    </row>
    <row r="54" customFormat="false" ht="15" hidden="false" customHeight="false" outlineLevel="0" collapsed="false">
      <c r="A54" s="31"/>
      <c r="B54" s="13"/>
      <c r="C54" s="13"/>
      <c r="D54" s="32"/>
      <c r="E54" s="32"/>
      <c r="F54" s="14"/>
      <c r="G54" s="23"/>
      <c r="H54" s="16" t="str">
        <f aca="false">IF(F54="","",IF(G54&lt;&gt;"",G54,IF(E54="JPY",IF(ISNUMBER($L$1),ROUND(F54/$L$1,2),"レート未入力"),F54)))</f>
        <v/>
      </c>
      <c r="I54" s="33"/>
      <c r="J54" s="16" t="str">
        <f aca="false">IF(ISNUMBER(H54),ROUND(H54*IF(I54="",1,I54),2),"")</f>
        <v/>
      </c>
      <c r="K54" s="35"/>
      <c r="L54" s="22" t="str">
        <f aca="false">IF(A54="","",IF(A54&lt;DATE(2025,4,6),"2024/25",IF(A54&lt;DATE(2026,4,6),"2025/26",IF(A54&lt;DATE(2027,4,6),"2026/27","2027/28"))))</f>
        <v/>
      </c>
      <c r="N54" s="13"/>
    </row>
    <row r="55" customFormat="false" ht="15" hidden="false" customHeight="false" outlineLevel="0" collapsed="false">
      <c r="A55" s="31"/>
      <c r="B55" s="13"/>
      <c r="C55" s="13"/>
      <c r="D55" s="32"/>
      <c r="E55" s="32"/>
      <c r="F55" s="14"/>
      <c r="G55" s="23"/>
      <c r="H55" s="16" t="str">
        <f aca="false">IF(F55="","",IF(G55&lt;&gt;"",G55,IF(E55="JPY",IF(ISNUMBER($L$1),ROUND(F55/$L$1,2),"レート未入力"),F55)))</f>
        <v/>
      </c>
      <c r="I55" s="33"/>
      <c r="J55" s="16" t="str">
        <f aca="false">IF(ISNUMBER(H55),ROUND(H55*IF(I55="",1,I55),2),"")</f>
        <v/>
      </c>
      <c r="K55" s="35"/>
      <c r="L55" s="22" t="str">
        <f aca="false">IF(A55="","",IF(A55&lt;DATE(2025,4,6),"2024/25",IF(A55&lt;DATE(2026,4,6),"2025/26",IF(A55&lt;DATE(2027,4,6),"2026/27","2027/28"))))</f>
        <v/>
      </c>
      <c r="N55" s="13"/>
    </row>
    <row r="56" customFormat="false" ht="15" hidden="false" customHeight="false" outlineLevel="0" collapsed="false">
      <c r="A56" s="31"/>
      <c r="B56" s="13"/>
      <c r="C56" s="13"/>
      <c r="D56" s="32"/>
      <c r="E56" s="32"/>
      <c r="F56" s="14"/>
      <c r="G56" s="23"/>
      <c r="H56" s="16" t="str">
        <f aca="false">IF(F56="","",IF(G56&lt;&gt;"",G56,IF(E56="JPY",IF(ISNUMBER($L$1),ROUND(F56/$L$1,2),"レート未入力"),F56)))</f>
        <v/>
      </c>
      <c r="I56" s="33"/>
      <c r="J56" s="16" t="str">
        <f aca="false">IF(ISNUMBER(H56),ROUND(H56*IF(I56="",1,I56),2),"")</f>
        <v/>
      </c>
      <c r="K56" s="35"/>
      <c r="L56" s="22" t="str">
        <f aca="false">IF(A56="","",IF(A56&lt;DATE(2025,4,6),"2024/25",IF(A56&lt;DATE(2026,4,6),"2025/26",IF(A56&lt;DATE(2027,4,6),"2026/27","2027/28"))))</f>
        <v/>
      </c>
      <c r="N56" s="13"/>
    </row>
    <row r="57" customFormat="false" ht="15" hidden="false" customHeight="false" outlineLevel="0" collapsed="false">
      <c r="A57" s="31"/>
      <c r="B57" s="13"/>
      <c r="C57" s="13"/>
      <c r="D57" s="32"/>
      <c r="E57" s="32"/>
      <c r="F57" s="14"/>
      <c r="G57" s="23"/>
      <c r="H57" s="16" t="str">
        <f aca="false">IF(F57="","",IF(G57&lt;&gt;"",G57,IF(E57="JPY",IF(ISNUMBER($L$1),ROUND(F57/$L$1,2),"レート未入力"),F57)))</f>
        <v/>
      </c>
      <c r="I57" s="33"/>
      <c r="J57" s="16" t="str">
        <f aca="false">IF(ISNUMBER(H57),ROUND(H57*IF(I57="",1,I57),2),"")</f>
        <v/>
      </c>
      <c r="K57" s="35"/>
      <c r="L57" s="22" t="str">
        <f aca="false">IF(A57="","",IF(A57&lt;DATE(2025,4,6),"2024/25",IF(A57&lt;DATE(2026,4,6),"2025/26",IF(A57&lt;DATE(2027,4,6),"2026/27","2027/28"))))</f>
        <v/>
      </c>
      <c r="N57" s="13"/>
    </row>
    <row r="58" customFormat="false" ht="15" hidden="false" customHeight="false" outlineLevel="0" collapsed="false">
      <c r="A58" s="31"/>
      <c r="B58" s="13"/>
      <c r="C58" s="13"/>
      <c r="D58" s="32"/>
      <c r="E58" s="32"/>
      <c r="F58" s="14"/>
      <c r="G58" s="23"/>
      <c r="H58" s="16" t="str">
        <f aca="false">IF(F58="","",IF(G58&lt;&gt;"",G58,IF(E58="JPY",IF(ISNUMBER($L$1),ROUND(F58/$L$1,2),"レート未入力"),F58)))</f>
        <v/>
      </c>
      <c r="I58" s="33"/>
      <c r="J58" s="16" t="str">
        <f aca="false">IF(ISNUMBER(H58),ROUND(H58*IF(I58="",1,I58),2),"")</f>
        <v/>
      </c>
      <c r="K58" s="35"/>
      <c r="L58" s="22" t="str">
        <f aca="false">IF(A58="","",IF(A58&lt;DATE(2025,4,6),"2024/25",IF(A58&lt;DATE(2026,4,6),"2025/26",IF(A58&lt;DATE(2027,4,6),"2026/27","2027/28"))))</f>
        <v/>
      </c>
      <c r="N58" s="13"/>
    </row>
    <row r="59" customFormat="false" ht="15" hidden="false" customHeight="false" outlineLevel="0" collapsed="false">
      <c r="A59" s="31"/>
      <c r="B59" s="13"/>
      <c r="C59" s="13"/>
      <c r="D59" s="32"/>
      <c r="E59" s="32"/>
      <c r="F59" s="14"/>
      <c r="G59" s="23"/>
      <c r="H59" s="16" t="str">
        <f aca="false">IF(F59="","",IF(G59&lt;&gt;"",G59,IF(E59="JPY",IF(ISNUMBER($L$1),ROUND(F59/$L$1,2),"レート未入力"),F59)))</f>
        <v/>
      </c>
      <c r="I59" s="33"/>
      <c r="J59" s="16" t="str">
        <f aca="false">IF(ISNUMBER(H59),ROUND(H59*IF(I59="",1,I59),2),"")</f>
        <v/>
      </c>
      <c r="K59" s="35"/>
      <c r="L59" s="22" t="str">
        <f aca="false">IF(A59="","",IF(A59&lt;DATE(2025,4,6),"2024/25",IF(A59&lt;DATE(2026,4,6),"2025/26",IF(A59&lt;DATE(2027,4,6),"2026/27","2027/28"))))</f>
        <v/>
      </c>
      <c r="N59" s="13"/>
    </row>
    <row r="60" customFormat="false" ht="15" hidden="false" customHeight="false" outlineLevel="0" collapsed="false">
      <c r="A60" s="31"/>
      <c r="B60" s="13"/>
      <c r="C60" s="13"/>
      <c r="D60" s="32"/>
      <c r="E60" s="32"/>
      <c r="F60" s="14"/>
      <c r="G60" s="23"/>
      <c r="H60" s="16" t="str">
        <f aca="false">IF(F60="","",IF(G60&lt;&gt;"",G60,IF(E60="JPY",IF(ISNUMBER($L$1),ROUND(F60/$L$1,2),"レート未入力"),F60)))</f>
        <v/>
      </c>
      <c r="I60" s="33"/>
      <c r="J60" s="16" t="str">
        <f aca="false">IF(ISNUMBER(H60),ROUND(H60*IF(I60="",1,I60),2),"")</f>
        <v/>
      </c>
      <c r="K60" s="35"/>
      <c r="L60" s="22" t="str">
        <f aca="false">IF(A60="","",IF(A60&lt;DATE(2025,4,6),"2024/25",IF(A60&lt;DATE(2026,4,6),"2025/26",IF(A60&lt;DATE(2027,4,6),"2026/27","2027/28"))))</f>
        <v/>
      </c>
      <c r="N60" s="13"/>
    </row>
    <row r="61" customFormat="false" ht="15" hidden="false" customHeight="false" outlineLevel="0" collapsed="false">
      <c r="A61" s="31"/>
      <c r="B61" s="13"/>
      <c r="C61" s="13"/>
      <c r="D61" s="32"/>
      <c r="E61" s="32"/>
      <c r="F61" s="14"/>
      <c r="G61" s="23"/>
      <c r="H61" s="16" t="str">
        <f aca="false">IF(F61="","",IF(G61&lt;&gt;"",G61,IF(E61="JPY",IF(ISNUMBER($L$1),ROUND(F61/$L$1,2),"レート未入力"),F61)))</f>
        <v/>
      </c>
      <c r="I61" s="33"/>
      <c r="J61" s="16" t="str">
        <f aca="false">IF(ISNUMBER(H61),ROUND(H61*IF(I61="",1,I61),2),"")</f>
        <v/>
      </c>
      <c r="K61" s="35"/>
      <c r="L61" s="22" t="str">
        <f aca="false">IF(A61="","",IF(A61&lt;DATE(2025,4,6),"2024/25",IF(A61&lt;DATE(2026,4,6),"2025/26",IF(A61&lt;DATE(2027,4,6),"2026/27","2027/28"))))</f>
        <v/>
      </c>
      <c r="N61" s="13"/>
    </row>
    <row r="62" customFormat="false" ht="15" hidden="false" customHeight="false" outlineLevel="0" collapsed="false">
      <c r="A62" s="31"/>
      <c r="B62" s="13"/>
      <c r="C62" s="13"/>
      <c r="D62" s="32"/>
      <c r="E62" s="32"/>
      <c r="F62" s="14"/>
      <c r="G62" s="23"/>
      <c r="H62" s="16" t="str">
        <f aca="false">IF(F62="","",IF(G62&lt;&gt;"",G62,IF(E62="JPY",IF(ISNUMBER($L$1),ROUND(F62/$L$1,2),"レート未入力"),F62)))</f>
        <v/>
      </c>
      <c r="I62" s="33"/>
      <c r="J62" s="16" t="str">
        <f aca="false">IF(ISNUMBER(H62),ROUND(H62*IF(I62="",1,I62),2),"")</f>
        <v/>
      </c>
      <c r="K62" s="35"/>
      <c r="L62" s="22" t="str">
        <f aca="false">IF(A62="","",IF(A62&lt;DATE(2025,4,6),"2024/25",IF(A62&lt;DATE(2026,4,6),"2025/26",IF(A62&lt;DATE(2027,4,6),"2026/27","2027/28"))))</f>
        <v/>
      </c>
      <c r="N62" s="13"/>
    </row>
    <row r="63" customFormat="false" ht="15" hidden="false" customHeight="false" outlineLevel="0" collapsed="false">
      <c r="A63" s="31"/>
      <c r="B63" s="13"/>
      <c r="C63" s="13"/>
      <c r="D63" s="32"/>
      <c r="E63" s="32"/>
      <c r="F63" s="14"/>
      <c r="G63" s="23"/>
      <c r="H63" s="16" t="str">
        <f aca="false">IF(F63="","",IF(G63&lt;&gt;"",G63,IF(E63="JPY",IF(ISNUMBER($L$1),ROUND(F63/$L$1,2),"レート未入力"),F63)))</f>
        <v/>
      </c>
      <c r="I63" s="33"/>
      <c r="J63" s="16" t="str">
        <f aca="false">IF(ISNUMBER(H63),ROUND(H63*IF(I63="",1,I63),2),"")</f>
        <v/>
      </c>
      <c r="K63" s="35"/>
      <c r="L63" s="22" t="str">
        <f aca="false">IF(A63="","",IF(A63&lt;DATE(2025,4,6),"2024/25",IF(A63&lt;DATE(2026,4,6),"2025/26",IF(A63&lt;DATE(2027,4,6),"2026/27","2027/28"))))</f>
        <v/>
      </c>
      <c r="N63" s="13"/>
    </row>
    <row r="64" customFormat="false" ht="15" hidden="false" customHeight="false" outlineLevel="0" collapsed="false">
      <c r="A64" s="31"/>
      <c r="B64" s="13"/>
      <c r="C64" s="13"/>
      <c r="D64" s="32"/>
      <c r="E64" s="32"/>
      <c r="F64" s="14"/>
      <c r="G64" s="23"/>
      <c r="H64" s="16" t="str">
        <f aca="false">IF(F64="","",IF(G64&lt;&gt;"",G64,IF(E64="JPY",IF(ISNUMBER($L$1),ROUND(F64/$L$1,2),"レート未入力"),F64)))</f>
        <v/>
      </c>
      <c r="I64" s="33"/>
      <c r="J64" s="16" t="str">
        <f aca="false">IF(ISNUMBER(H64),ROUND(H64*IF(I64="",1,I64),2),"")</f>
        <v/>
      </c>
      <c r="K64" s="35"/>
      <c r="L64" s="22" t="str">
        <f aca="false">IF(A64="","",IF(A64&lt;DATE(2025,4,6),"2024/25",IF(A64&lt;DATE(2026,4,6),"2025/26",IF(A64&lt;DATE(2027,4,6),"2026/27","2027/28"))))</f>
        <v/>
      </c>
      <c r="N64" s="13"/>
    </row>
    <row r="65" customFormat="false" ht="15" hidden="false" customHeight="false" outlineLevel="0" collapsed="false">
      <c r="A65" s="31"/>
      <c r="B65" s="13"/>
      <c r="C65" s="13"/>
      <c r="D65" s="32"/>
      <c r="E65" s="32"/>
      <c r="F65" s="14"/>
      <c r="G65" s="23"/>
      <c r="H65" s="16" t="str">
        <f aca="false">IF(F65="","",IF(G65&lt;&gt;"",G65,IF(E65="JPY",IF(ISNUMBER($L$1),ROUND(F65/$L$1,2),"レート未入力"),F65)))</f>
        <v/>
      </c>
      <c r="I65" s="33"/>
      <c r="J65" s="16" t="str">
        <f aca="false">IF(ISNUMBER(H65),ROUND(H65*IF(I65="",1,I65),2),"")</f>
        <v/>
      </c>
      <c r="K65" s="35"/>
      <c r="L65" s="22" t="str">
        <f aca="false">IF(A65="","",IF(A65&lt;DATE(2025,4,6),"2024/25",IF(A65&lt;DATE(2026,4,6),"2025/26",IF(A65&lt;DATE(2027,4,6),"2026/27","2027/28"))))</f>
        <v/>
      </c>
      <c r="N65" s="13"/>
    </row>
    <row r="66" customFormat="false" ht="15" hidden="false" customHeight="false" outlineLevel="0" collapsed="false">
      <c r="A66" s="31"/>
      <c r="B66" s="13"/>
      <c r="C66" s="13"/>
      <c r="D66" s="32"/>
      <c r="E66" s="32"/>
      <c r="F66" s="14"/>
      <c r="G66" s="23"/>
      <c r="H66" s="16" t="str">
        <f aca="false">IF(F66="","",IF(G66&lt;&gt;"",G66,IF(E66="JPY",IF(ISNUMBER($L$1),ROUND(F66/$L$1,2),"レート未入力"),F66)))</f>
        <v/>
      </c>
      <c r="I66" s="33"/>
      <c r="J66" s="16" t="str">
        <f aca="false">IF(ISNUMBER(H66),ROUND(H66*IF(I66="",1,I66),2),"")</f>
        <v/>
      </c>
      <c r="K66" s="35"/>
      <c r="L66" s="22" t="str">
        <f aca="false">IF(A66="","",IF(A66&lt;DATE(2025,4,6),"2024/25",IF(A66&lt;DATE(2026,4,6),"2025/26",IF(A66&lt;DATE(2027,4,6),"2026/27","2027/28"))))</f>
        <v/>
      </c>
      <c r="N66" s="13"/>
    </row>
    <row r="67" customFormat="false" ht="15" hidden="false" customHeight="false" outlineLevel="0" collapsed="false">
      <c r="A67" s="31"/>
      <c r="B67" s="13"/>
      <c r="C67" s="13"/>
      <c r="D67" s="32"/>
      <c r="E67" s="32"/>
      <c r="F67" s="14"/>
      <c r="G67" s="23"/>
      <c r="H67" s="16" t="str">
        <f aca="false">IF(F67="","",IF(G67&lt;&gt;"",G67,IF(E67="JPY",IF(ISNUMBER($L$1),ROUND(F67/$L$1,2),"レート未入力"),F67)))</f>
        <v/>
      </c>
      <c r="I67" s="33"/>
      <c r="J67" s="16" t="str">
        <f aca="false">IF(ISNUMBER(H67),ROUND(H67*IF(I67="",1,I67),2),"")</f>
        <v/>
      </c>
      <c r="K67" s="35"/>
      <c r="L67" s="22" t="str">
        <f aca="false">IF(A67="","",IF(A67&lt;DATE(2025,4,6),"2024/25",IF(A67&lt;DATE(2026,4,6),"2025/26",IF(A67&lt;DATE(2027,4,6),"2026/27","2027/28"))))</f>
        <v/>
      </c>
      <c r="N67" s="13"/>
    </row>
    <row r="68" customFormat="false" ht="15" hidden="false" customHeight="false" outlineLevel="0" collapsed="false">
      <c r="A68" s="31"/>
      <c r="B68" s="13"/>
      <c r="C68" s="13"/>
      <c r="D68" s="32"/>
      <c r="E68" s="32"/>
      <c r="F68" s="14"/>
      <c r="G68" s="23"/>
      <c r="H68" s="16" t="str">
        <f aca="false">IF(F68="","",IF(G68&lt;&gt;"",G68,IF(E68="JPY",IF(ISNUMBER($L$1),ROUND(F68/$L$1,2),"レート未入力"),F68)))</f>
        <v/>
      </c>
      <c r="I68" s="33"/>
      <c r="J68" s="16" t="str">
        <f aca="false">IF(ISNUMBER(H68),ROUND(H68*IF(I68="",1,I68),2),"")</f>
        <v/>
      </c>
      <c r="K68" s="35"/>
      <c r="L68" s="22" t="str">
        <f aca="false">IF(A68="","",IF(A68&lt;DATE(2025,4,6),"2024/25",IF(A68&lt;DATE(2026,4,6),"2025/26",IF(A68&lt;DATE(2027,4,6),"2026/27","2027/28"))))</f>
        <v/>
      </c>
      <c r="N68" s="13"/>
    </row>
    <row r="69" customFormat="false" ht="15" hidden="false" customHeight="false" outlineLevel="0" collapsed="false">
      <c r="A69" s="31"/>
      <c r="B69" s="13"/>
      <c r="C69" s="13"/>
      <c r="D69" s="32"/>
      <c r="E69" s="32"/>
      <c r="F69" s="14"/>
      <c r="G69" s="23"/>
      <c r="H69" s="16" t="str">
        <f aca="false">IF(F69="","",IF(G69&lt;&gt;"",G69,IF(E69="JPY",IF(ISNUMBER($L$1),ROUND(F69/$L$1,2),"レート未入力"),F69)))</f>
        <v/>
      </c>
      <c r="I69" s="33"/>
      <c r="J69" s="16" t="str">
        <f aca="false">IF(ISNUMBER(H69),ROUND(H69*IF(I69="",1,I69),2),"")</f>
        <v/>
      </c>
      <c r="K69" s="35"/>
      <c r="L69" s="22" t="str">
        <f aca="false">IF(A69="","",IF(A69&lt;DATE(2025,4,6),"2024/25",IF(A69&lt;DATE(2026,4,6),"2025/26",IF(A69&lt;DATE(2027,4,6),"2026/27","2027/28"))))</f>
        <v/>
      </c>
      <c r="N69" s="13"/>
    </row>
    <row r="70" customFormat="false" ht="15" hidden="false" customHeight="false" outlineLevel="0" collapsed="false">
      <c r="A70" s="3" t="s">
        <v>196</v>
      </c>
      <c r="J70" s="18" t="n">
        <f aca="false">SUM(J30:J69)</f>
        <v>0</v>
      </c>
    </row>
    <row r="72" customFormat="false" ht="15" hidden="false" customHeight="false" outlineLevel="0" collapsed="false">
      <c r="A72" s="26" t="s">
        <v>197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customFormat="false" ht="15" hidden="false" customHeight="false" outlineLevel="0" collapsed="false">
      <c r="A73" s="17" t="s">
        <v>137</v>
      </c>
      <c r="D73" s="36" t="s">
        <v>16</v>
      </c>
      <c r="E73" s="36" t="s">
        <v>18</v>
      </c>
      <c r="F73" s="36"/>
    </row>
    <row r="74" customFormat="false" ht="15" hidden="false" customHeight="false" outlineLevel="0" collapsed="false">
      <c r="A74" s="17" t="s">
        <v>183</v>
      </c>
      <c r="D74" s="18" t="n">
        <f aca="false">SUMIFS($H$6:$H$25,$J$6:$J$25,"2025/26")</f>
        <v>0</v>
      </c>
      <c r="E74" s="18" t="n">
        <f aca="false">SUMIFS($H$6:$H$25,$J$6:$J$25,"2026/27")</f>
        <v>0</v>
      </c>
      <c r="F74" s="18"/>
    </row>
    <row r="75" customFormat="false" ht="15" hidden="false" customHeight="false" outlineLevel="0" collapsed="false">
      <c r="A75" s="21" t="s">
        <v>41</v>
      </c>
      <c r="D75" s="16" t="n">
        <f aca="false">SUMIFS($J$30:$J$69,$D$30:$D$69,$A75,$L$30:$L$69,"2025/26")</f>
        <v>0</v>
      </c>
      <c r="E75" s="16" t="n">
        <f aca="false">SUMIFS($J$30:$J$69,$D$30:$D$69,$A75,$L$30:$L$69,"2026/27")</f>
        <v>0</v>
      </c>
      <c r="F75" s="16"/>
    </row>
    <row r="76" customFormat="false" ht="15" hidden="false" customHeight="false" outlineLevel="0" collapsed="false">
      <c r="A76" s="21" t="s">
        <v>43</v>
      </c>
      <c r="D76" s="16" t="n">
        <f aca="false">SUMIFS($J$30:$J$69,$D$30:$D$69,$A76,$L$30:$L$69,"2025/26")</f>
        <v>0</v>
      </c>
      <c r="E76" s="16" t="n">
        <f aca="false">SUMIFS($J$30:$J$69,$D$30:$D$69,$A76,$L$30:$L$69,"2026/27")</f>
        <v>0</v>
      </c>
      <c r="F76" s="16"/>
    </row>
    <row r="77" customFormat="false" ht="15" hidden="false" customHeight="false" outlineLevel="0" collapsed="false">
      <c r="A77" s="21" t="s">
        <v>45</v>
      </c>
      <c r="D77" s="16" t="n">
        <f aca="false">SUMIFS($J$30:$J$69,$D$30:$D$69,$A77,$L$30:$L$69,"2025/26")</f>
        <v>0</v>
      </c>
      <c r="E77" s="16" t="n">
        <f aca="false">SUMIFS($J$30:$J$69,$D$30:$D$69,$A77,$L$30:$L$69,"2026/27")</f>
        <v>0</v>
      </c>
      <c r="F77" s="16"/>
    </row>
    <row r="78" customFormat="false" ht="15" hidden="false" customHeight="false" outlineLevel="0" collapsed="false">
      <c r="A78" s="21" t="s">
        <v>47</v>
      </c>
      <c r="D78" s="16" t="n">
        <f aca="false">SUMIFS($J$30:$J$69,$D$30:$D$69,$A78,$L$30:$L$69,"2025/26")</f>
        <v>0</v>
      </c>
      <c r="E78" s="16" t="n">
        <f aca="false">SUMIFS($J$30:$J$69,$D$30:$D$69,$A78,$L$30:$L$69,"2026/27")</f>
        <v>0</v>
      </c>
      <c r="F78" s="16"/>
    </row>
    <row r="79" customFormat="false" ht="15" hidden="false" customHeight="false" outlineLevel="0" collapsed="false">
      <c r="A79" s="21" t="s">
        <v>49</v>
      </c>
      <c r="D79" s="16" t="n">
        <f aca="false">SUMIFS($J$30:$J$69,$D$30:$D$69,$A79,$L$30:$L$69,"2025/26")</f>
        <v>0</v>
      </c>
      <c r="E79" s="16" t="n">
        <f aca="false">SUMIFS($J$30:$J$69,$D$30:$D$69,$A79,$L$30:$L$69,"2026/27")</f>
        <v>0</v>
      </c>
      <c r="F79" s="16"/>
    </row>
    <row r="80" customFormat="false" ht="15" hidden="false" customHeight="false" outlineLevel="0" collapsed="false">
      <c r="A80" s="21" t="s">
        <v>51</v>
      </c>
      <c r="D80" s="16" t="n">
        <f aca="false">SUMIFS($J$30:$J$69,$D$30:$D$69,$A80,$L$30:$L$69,"2025/26")</f>
        <v>0</v>
      </c>
      <c r="E80" s="16" t="n">
        <f aca="false">SUMIFS($J$30:$J$69,$D$30:$D$69,$A80,$L$30:$L$69,"2026/27")</f>
        <v>0</v>
      </c>
      <c r="F80" s="16"/>
    </row>
    <row r="81" customFormat="false" ht="15" hidden="false" customHeight="false" outlineLevel="0" collapsed="false">
      <c r="A81" s="21" t="s">
        <v>53</v>
      </c>
      <c r="D81" s="16" t="n">
        <f aca="false">SUMIFS($J$30:$J$69,$D$30:$D$69,$A81,$L$30:$L$69,"2025/26")</f>
        <v>0</v>
      </c>
      <c r="E81" s="16" t="n">
        <f aca="false">SUMIFS($J$30:$J$69,$D$30:$D$69,$A81,$L$30:$L$69,"2026/27")</f>
        <v>0</v>
      </c>
      <c r="F81" s="16"/>
    </row>
    <row r="82" customFormat="false" ht="15" hidden="false" customHeight="false" outlineLevel="0" collapsed="false">
      <c r="A82" s="21" t="s">
        <v>55</v>
      </c>
      <c r="D82" s="16" t="n">
        <f aca="false">SUMIFS($J$30:$J$69,$D$30:$D$69,$A82,$L$30:$L$69,"2025/26")</f>
        <v>0</v>
      </c>
      <c r="E82" s="16" t="n">
        <f aca="false">SUMIFS($J$30:$J$69,$D$30:$D$69,$A82,$L$30:$L$69,"2026/27")</f>
        <v>0</v>
      </c>
      <c r="F82" s="16"/>
    </row>
    <row r="83" customFormat="false" ht="15" hidden="false" customHeight="false" outlineLevel="0" collapsed="false">
      <c r="A83" s="21" t="s">
        <v>57</v>
      </c>
      <c r="D83" s="16" t="n">
        <f aca="false">SUMIFS($J$30:$J$69,$D$30:$D$69,$A83,$L$30:$L$69,"2025/26")</f>
        <v>0</v>
      </c>
      <c r="E83" s="16" t="n">
        <f aca="false">SUMIFS($J$30:$J$69,$D$30:$D$69,$A83,$L$30:$L$69,"2026/27")</f>
        <v>0</v>
      </c>
      <c r="F83" s="16"/>
    </row>
    <row r="84" customFormat="false" ht="15" hidden="false" customHeight="false" outlineLevel="0" collapsed="false">
      <c r="A84" s="21" t="s">
        <v>59</v>
      </c>
      <c r="D84" s="16" t="n">
        <f aca="false">SUMIFS($J$30:$J$69,$D$30:$D$69,$A84,$L$30:$L$69,"2025/26")</f>
        <v>0</v>
      </c>
      <c r="E84" s="16" t="n">
        <f aca="false">SUMIFS($J$30:$J$69,$D$30:$D$69,$A84,$L$30:$L$69,"2026/27")</f>
        <v>0</v>
      </c>
      <c r="F84" s="16"/>
    </row>
    <row r="85" customFormat="false" ht="15" hidden="false" customHeight="false" outlineLevel="0" collapsed="false">
      <c r="A85" s="21" t="s">
        <v>61</v>
      </c>
      <c r="D85" s="16" t="n">
        <f aca="false">SUMIFS($J$30:$J$69,$D$30:$D$69,$A85,$L$30:$L$69,"2025/26")</f>
        <v>0</v>
      </c>
      <c r="E85" s="16" t="n">
        <f aca="false">SUMIFS($J$30:$J$69,$D$30:$D$69,$A85,$L$30:$L$69,"2026/27")</f>
        <v>0</v>
      </c>
      <c r="F85" s="16"/>
    </row>
    <row r="86" customFormat="false" ht="15" hidden="false" customHeight="false" outlineLevel="0" collapsed="false">
      <c r="A86" s="21" t="s">
        <v>63</v>
      </c>
      <c r="D86" s="16" t="n">
        <f aca="false">SUMIFS($J$30:$J$69,$D$30:$D$69,$A86,$L$30:$L$69,"2025/26")</f>
        <v>0</v>
      </c>
      <c r="E86" s="16" t="n">
        <f aca="false">SUMIFS($J$30:$J$69,$D$30:$D$69,$A86,$L$30:$L$69,"2026/27")</f>
        <v>0</v>
      </c>
      <c r="F86" s="16"/>
    </row>
    <row r="87" customFormat="false" ht="15" hidden="false" customHeight="false" outlineLevel="0" collapsed="false">
      <c r="A87" s="21" t="s">
        <v>64</v>
      </c>
      <c r="D87" s="16" t="n">
        <f aca="false">SUMIFS($J$30:$J$69,$D$30:$D$69,$A87,$L$30:$L$69,"2025/26")</f>
        <v>0</v>
      </c>
      <c r="E87" s="16" t="n">
        <f aca="false">SUMIFS($J$30:$J$69,$D$30:$D$69,$A87,$L$30:$L$69,"2026/27")</f>
        <v>0</v>
      </c>
      <c r="F87" s="16"/>
    </row>
    <row r="88" customFormat="false" ht="15" hidden="false" customHeight="false" outlineLevel="0" collapsed="false">
      <c r="A88" s="17" t="s">
        <v>198</v>
      </c>
      <c r="D88" s="18" t="n">
        <f aca="false">SUM(D75:D86)</f>
        <v>0</v>
      </c>
      <c r="E88" s="18" t="n">
        <f aca="false">SUM(E75:E86)</f>
        <v>0</v>
      </c>
      <c r="F88" s="18"/>
    </row>
    <row r="89" customFormat="false" ht="15" hidden="false" customHeight="false" outlineLevel="0" collapsed="false">
      <c r="A89" s="17" t="s">
        <v>199</v>
      </c>
      <c r="D89" s="18" t="n">
        <f aca="false">D74-D88-D87</f>
        <v>0</v>
      </c>
      <c r="E89" s="18" t="n">
        <f aca="false">E74-E88-E87</f>
        <v>0</v>
      </c>
      <c r="F89" s="18"/>
    </row>
    <row r="90" customFormat="false" ht="15" hidden="false" customHeight="false" outlineLevel="0" collapsed="false">
      <c r="A90" s="37" t="s">
        <v>200</v>
      </c>
    </row>
    <row r="91" customFormat="false" ht="15" hidden="false" customHeight="false" outlineLevel="0" collapsed="false">
      <c r="A91" s="21" t="s">
        <v>201</v>
      </c>
      <c r="D91" s="16" t="n">
        <f aca="false">SUMIFS($J$30:$J$69,$D$30:$D$69,"")</f>
        <v>0</v>
      </c>
    </row>
  </sheetData>
  <mergeCells count="17"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</mergeCells>
  <dataValidations count="5">
    <dataValidation allowBlank="true" error="0%〜100%で入力してください" errorStyle="stop" operator="between" showDropDown="false" showErrorMessage="true" showInputMessage="false" sqref="I30:I69" type="decimal">
      <formula1>0</formula1>
      <formula2>1</formula2>
    </dataValidation>
    <dataValidation allowBlank="true" errorStyle="stop" operator="between" showDropDown="false" showErrorMessage="false" showInputMessage="false" sqref="E6:E25 E30:E69" type="list">
      <formula1>_list!$B$1:$B$2</formula1>
      <formula2>0</formula2>
    </dataValidation>
    <dataValidation allowBlank="true" errorStyle="stop" operator="between" showDropDown="false" showErrorMessage="false" showInputMessage="false" sqref="D30:D69" type="list">
      <formula1>_list!$A$1:$A$13</formula1>
      <formula2>0</formula2>
    </dataValidation>
    <dataValidation allowBlank="true" errorStyle="stop" operator="between" showDropDown="false" showErrorMessage="false" showInputMessage="false" sqref="D6:D25" type="list">
      <formula1>_list!$C$1:$C$7</formula1>
      <formula2>0</formula2>
    </dataValidation>
    <dataValidation allowBlank="true" error="日付で入力してください（例：2025/5/2）" errorStyle="stop" operator="between" showDropDown="false" showErrorMessage="true" showInputMessage="false" sqref="A6:A25 A30:A69" type="date">
      <formula1>DATE(2025,4,1)</formula1>
      <formula2>DATE(2027,12,31)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24"/>
  </cols>
  <sheetData>
    <row r="1" customFormat="false" ht="19.4" hidden="false" customHeight="false" outlineLevel="0" collapsed="false">
      <c r="A1" s="1" t="s">
        <v>206</v>
      </c>
      <c r="J1" s="3" t="s">
        <v>164</v>
      </c>
      <c r="L1" s="25" t="str">
        <f aca="false">IF(為替レート!$B$10="","未入力",為替レート!$B$10)</f>
        <v>未入力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26" t="s">
        <v>166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customFormat="false" ht="30" hidden="false" customHeight="true" outlineLevel="0" collapsed="false">
      <c r="A5" s="9" t="s">
        <v>167</v>
      </c>
      <c r="B5" s="9" t="s">
        <v>168</v>
      </c>
      <c r="C5" s="9" t="s">
        <v>169</v>
      </c>
      <c r="D5" s="9" t="s">
        <v>170</v>
      </c>
      <c r="E5" s="9" t="s">
        <v>171</v>
      </c>
      <c r="F5" s="9" t="s">
        <v>172</v>
      </c>
      <c r="G5" s="9" t="s">
        <v>173</v>
      </c>
      <c r="H5" s="9" t="s">
        <v>174</v>
      </c>
      <c r="I5" s="9" t="s">
        <v>175</v>
      </c>
      <c r="J5" s="9" t="s">
        <v>176</v>
      </c>
      <c r="K5" s="9"/>
      <c r="L5" s="9"/>
      <c r="M5" s="9"/>
      <c r="N5" s="9" t="s">
        <v>177</v>
      </c>
    </row>
    <row r="6" customFormat="false" ht="15" hidden="false" customHeight="false" outlineLevel="0" collapsed="false">
      <c r="A6" s="31"/>
      <c r="B6" s="13"/>
      <c r="C6" s="13"/>
      <c r="D6" s="32"/>
      <c r="E6" s="32"/>
      <c r="F6" s="14"/>
      <c r="G6" s="23"/>
      <c r="H6" s="16" t="str">
        <f aca="false">IF(F6="","",IF(G6&lt;&gt;"",G6,IF(E6="JPY",IF(ISNUMBER($L$1),ROUND(F6/$L$1,2),"レート未入力"),F6)))</f>
        <v/>
      </c>
      <c r="I6" s="13"/>
      <c r="J6" s="22" t="str">
        <f aca="false">IF(A6="","",IF(A6&lt;DATE(2025,4,6),"2024/25",IF(A6&lt;DATE(2026,4,6),"2025/26",IF(A6&lt;DATE(2027,4,6),"2026/27","2027/28"))))</f>
        <v/>
      </c>
      <c r="N6" s="13"/>
    </row>
    <row r="7" customFormat="false" ht="15" hidden="false" customHeight="false" outlineLevel="0" collapsed="false">
      <c r="A7" s="31"/>
      <c r="B7" s="13"/>
      <c r="C7" s="13"/>
      <c r="D7" s="32"/>
      <c r="E7" s="32"/>
      <c r="F7" s="14"/>
      <c r="G7" s="23"/>
      <c r="H7" s="16" t="str">
        <f aca="false">IF(F7="","",IF(G7&lt;&gt;"",G7,IF(E7="JPY",IF(ISNUMBER($L$1),ROUND(F7/$L$1,2),"レート未入力"),F7)))</f>
        <v/>
      </c>
      <c r="I7" s="13"/>
      <c r="J7" s="22" t="str">
        <f aca="false">IF(A7="","",IF(A7&lt;DATE(2025,4,6),"2024/25",IF(A7&lt;DATE(2026,4,6),"2025/26",IF(A7&lt;DATE(2027,4,6),"2026/27","2027/28"))))</f>
        <v/>
      </c>
      <c r="N7" s="13"/>
    </row>
    <row r="8" customFormat="false" ht="15" hidden="false" customHeight="false" outlineLevel="0" collapsed="false">
      <c r="A8" s="31"/>
      <c r="B8" s="13"/>
      <c r="C8" s="13"/>
      <c r="D8" s="32"/>
      <c r="E8" s="32"/>
      <c r="F8" s="14"/>
      <c r="G8" s="23"/>
      <c r="H8" s="16" t="str">
        <f aca="false">IF(F8="","",IF(G8&lt;&gt;"",G8,IF(E8="JPY",IF(ISNUMBER($L$1),ROUND(F8/$L$1,2),"レート未入力"),F8)))</f>
        <v/>
      </c>
      <c r="I8" s="13"/>
      <c r="J8" s="22" t="str">
        <f aca="false">IF(A8="","",IF(A8&lt;DATE(2025,4,6),"2024/25",IF(A8&lt;DATE(2026,4,6),"2025/26",IF(A8&lt;DATE(2027,4,6),"2026/27","2027/28"))))</f>
        <v/>
      </c>
      <c r="N8" s="13"/>
    </row>
    <row r="9" customFormat="false" ht="15" hidden="false" customHeight="false" outlineLevel="0" collapsed="false">
      <c r="A9" s="31"/>
      <c r="B9" s="13"/>
      <c r="C9" s="13"/>
      <c r="D9" s="32"/>
      <c r="E9" s="32"/>
      <c r="F9" s="14"/>
      <c r="G9" s="23"/>
      <c r="H9" s="16" t="str">
        <f aca="false">IF(F9="","",IF(G9&lt;&gt;"",G9,IF(E9="JPY",IF(ISNUMBER($L$1),ROUND(F9/$L$1,2),"レート未入力"),F9)))</f>
        <v/>
      </c>
      <c r="I9" s="13"/>
      <c r="J9" s="22" t="str">
        <f aca="false">IF(A9="","",IF(A9&lt;DATE(2025,4,6),"2024/25",IF(A9&lt;DATE(2026,4,6),"2025/26",IF(A9&lt;DATE(2027,4,6),"2026/27","2027/28"))))</f>
        <v/>
      </c>
      <c r="N9" s="13"/>
    </row>
    <row r="10" customFormat="false" ht="15" hidden="false" customHeight="false" outlineLevel="0" collapsed="false">
      <c r="A10" s="31"/>
      <c r="B10" s="13"/>
      <c r="C10" s="13"/>
      <c r="D10" s="32"/>
      <c r="E10" s="32"/>
      <c r="F10" s="14"/>
      <c r="G10" s="23"/>
      <c r="H10" s="16" t="str">
        <f aca="false">IF(F10="","",IF(G10&lt;&gt;"",G10,IF(E10="JPY",IF(ISNUMBER($L$1),ROUND(F10/$L$1,2),"レート未入力"),F10)))</f>
        <v/>
      </c>
      <c r="I10" s="13"/>
      <c r="J10" s="22" t="str">
        <f aca="false">IF(A10="","",IF(A10&lt;DATE(2025,4,6),"2024/25",IF(A10&lt;DATE(2026,4,6),"2025/26",IF(A10&lt;DATE(2027,4,6),"2026/27","2027/28"))))</f>
        <v/>
      </c>
      <c r="N10" s="13"/>
    </row>
    <row r="11" customFormat="false" ht="15" hidden="false" customHeight="false" outlineLevel="0" collapsed="false">
      <c r="A11" s="31"/>
      <c r="B11" s="13"/>
      <c r="C11" s="13"/>
      <c r="D11" s="32"/>
      <c r="E11" s="32"/>
      <c r="F11" s="14"/>
      <c r="G11" s="23"/>
      <c r="H11" s="16" t="str">
        <f aca="false">IF(F11="","",IF(G11&lt;&gt;"",G11,IF(E11="JPY",IF(ISNUMBER($L$1),ROUND(F11/$L$1,2),"レート未入力"),F11)))</f>
        <v/>
      </c>
      <c r="I11" s="13"/>
      <c r="J11" s="22" t="str">
        <f aca="false">IF(A11="","",IF(A11&lt;DATE(2025,4,6),"2024/25",IF(A11&lt;DATE(2026,4,6),"2025/26",IF(A11&lt;DATE(2027,4,6),"2026/27","2027/28"))))</f>
        <v/>
      </c>
      <c r="N11" s="13"/>
    </row>
    <row r="12" customFormat="false" ht="15" hidden="false" customHeight="false" outlineLevel="0" collapsed="false">
      <c r="A12" s="31"/>
      <c r="B12" s="13"/>
      <c r="C12" s="13"/>
      <c r="D12" s="32"/>
      <c r="E12" s="32"/>
      <c r="F12" s="14"/>
      <c r="G12" s="23"/>
      <c r="H12" s="16" t="str">
        <f aca="false">IF(F12="","",IF(G12&lt;&gt;"",G12,IF(E12="JPY",IF(ISNUMBER($L$1),ROUND(F12/$L$1,2),"レート未入力"),F12)))</f>
        <v/>
      </c>
      <c r="I12" s="13"/>
      <c r="J12" s="22" t="str">
        <f aca="false">IF(A12="","",IF(A12&lt;DATE(2025,4,6),"2024/25",IF(A12&lt;DATE(2026,4,6),"2025/26",IF(A12&lt;DATE(2027,4,6),"2026/27","2027/28"))))</f>
        <v/>
      </c>
      <c r="N12" s="13"/>
    </row>
    <row r="13" customFormat="false" ht="15" hidden="false" customHeight="false" outlineLevel="0" collapsed="false">
      <c r="A13" s="31"/>
      <c r="B13" s="13"/>
      <c r="C13" s="13"/>
      <c r="D13" s="32"/>
      <c r="E13" s="32"/>
      <c r="F13" s="14"/>
      <c r="G13" s="23"/>
      <c r="H13" s="16" t="str">
        <f aca="false">IF(F13="","",IF(G13&lt;&gt;"",G13,IF(E13="JPY",IF(ISNUMBER($L$1),ROUND(F13/$L$1,2),"レート未入力"),F13)))</f>
        <v/>
      </c>
      <c r="I13" s="13"/>
      <c r="J13" s="22" t="str">
        <f aca="false">IF(A13="","",IF(A13&lt;DATE(2025,4,6),"2024/25",IF(A13&lt;DATE(2026,4,6),"2025/26",IF(A13&lt;DATE(2027,4,6),"2026/27","2027/28"))))</f>
        <v/>
      </c>
      <c r="N13" s="13"/>
    </row>
    <row r="14" customFormat="false" ht="15" hidden="false" customHeight="false" outlineLevel="0" collapsed="false">
      <c r="A14" s="31"/>
      <c r="B14" s="13"/>
      <c r="C14" s="13"/>
      <c r="D14" s="32"/>
      <c r="E14" s="32"/>
      <c r="F14" s="14"/>
      <c r="G14" s="23"/>
      <c r="H14" s="16" t="str">
        <f aca="false">IF(F14="","",IF(G14&lt;&gt;"",G14,IF(E14="JPY",IF(ISNUMBER($L$1),ROUND(F14/$L$1,2),"レート未入力"),F14)))</f>
        <v/>
      </c>
      <c r="I14" s="13"/>
      <c r="J14" s="22" t="str">
        <f aca="false">IF(A14="","",IF(A14&lt;DATE(2025,4,6),"2024/25",IF(A14&lt;DATE(2026,4,6),"2025/26",IF(A14&lt;DATE(2027,4,6),"2026/27","2027/28"))))</f>
        <v/>
      </c>
      <c r="N14" s="13"/>
    </row>
    <row r="15" customFormat="false" ht="15" hidden="false" customHeight="false" outlineLevel="0" collapsed="false">
      <c r="A15" s="31"/>
      <c r="B15" s="13"/>
      <c r="C15" s="13"/>
      <c r="D15" s="32"/>
      <c r="E15" s="32"/>
      <c r="F15" s="14"/>
      <c r="G15" s="23"/>
      <c r="H15" s="16" t="str">
        <f aca="false">IF(F15="","",IF(G15&lt;&gt;"",G15,IF(E15="JPY",IF(ISNUMBER($L$1),ROUND(F15/$L$1,2),"レート未入力"),F15)))</f>
        <v/>
      </c>
      <c r="I15" s="13"/>
      <c r="J15" s="22" t="str">
        <f aca="false">IF(A15="","",IF(A15&lt;DATE(2025,4,6),"2024/25",IF(A15&lt;DATE(2026,4,6),"2025/26",IF(A15&lt;DATE(2027,4,6),"2026/27","2027/28"))))</f>
        <v/>
      </c>
      <c r="N15" s="13"/>
    </row>
    <row r="16" customFormat="false" ht="15" hidden="false" customHeight="false" outlineLevel="0" collapsed="false">
      <c r="A16" s="31"/>
      <c r="B16" s="13"/>
      <c r="C16" s="13"/>
      <c r="D16" s="32"/>
      <c r="E16" s="32"/>
      <c r="F16" s="14"/>
      <c r="G16" s="23"/>
      <c r="H16" s="16" t="str">
        <f aca="false">IF(F16="","",IF(G16&lt;&gt;"",G16,IF(E16="JPY",IF(ISNUMBER($L$1),ROUND(F16/$L$1,2),"レート未入力"),F16)))</f>
        <v/>
      </c>
      <c r="I16" s="13"/>
      <c r="J16" s="22" t="str">
        <f aca="false">IF(A16="","",IF(A16&lt;DATE(2025,4,6),"2024/25",IF(A16&lt;DATE(2026,4,6),"2025/26",IF(A16&lt;DATE(2027,4,6),"2026/27","2027/28"))))</f>
        <v/>
      </c>
      <c r="N16" s="13"/>
    </row>
    <row r="17" customFormat="false" ht="15" hidden="false" customHeight="false" outlineLevel="0" collapsed="false">
      <c r="A17" s="31"/>
      <c r="B17" s="13"/>
      <c r="C17" s="13"/>
      <c r="D17" s="32"/>
      <c r="E17" s="32"/>
      <c r="F17" s="14"/>
      <c r="G17" s="23"/>
      <c r="H17" s="16" t="str">
        <f aca="false">IF(F17="","",IF(G17&lt;&gt;"",G17,IF(E17="JPY",IF(ISNUMBER($L$1),ROUND(F17/$L$1,2),"レート未入力"),F17)))</f>
        <v/>
      </c>
      <c r="I17" s="13"/>
      <c r="J17" s="22" t="str">
        <f aca="false">IF(A17="","",IF(A17&lt;DATE(2025,4,6),"2024/25",IF(A17&lt;DATE(2026,4,6),"2025/26",IF(A17&lt;DATE(2027,4,6),"2026/27","2027/28"))))</f>
        <v/>
      </c>
      <c r="N17" s="13"/>
    </row>
    <row r="18" customFormat="false" ht="15" hidden="false" customHeight="false" outlineLevel="0" collapsed="false">
      <c r="A18" s="31"/>
      <c r="B18" s="13"/>
      <c r="C18" s="13"/>
      <c r="D18" s="32"/>
      <c r="E18" s="32"/>
      <c r="F18" s="14"/>
      <c r="G18" s="23"/>
      <c r="H18" s="16" t="str">
        <f aca="false">IF(F18="","",IF(G18&lt;&gt;"",G18,IF(E18="JPY",IF(ISNUMBER($L$1),ROUND(F18/$L$1,2),"レート未入力"),F18)))</f>
        <v/>
      </c>
      <c r="I18" s="13"/>
      <c r="J18" s="22" t="str">
        <f aca="false">IF(A18="","",IF(A18&lt;DATE(2025,4,6),"2024/25",IF(A18&lt;DATE(2026,4,6),"2025/26",IF(A18&lt;DATE(2027,4,6),"2026/27","2027/28"))))</f>
        <v/>
      </c>
      <c r="N18" s="13"/>
    </row>
    <row r="19" customFormat="false" ht="15" hidden="false" customHeight="false" outlineLevel="0" collapsed="false">
      <c r="A19" s="31"/>
      <c r="B19" s="13"/>
      <c r="C19" s="13"/>
      <c r="D19" s="32"/>
      <c r="E19" s="32"/>
      <c r="F19" s="14"/>
      <c r="G19" s="23"/>
      <c r="H19" s="16" t="str">
        <f aca="false">IF(F19="","",IF(G19&lt;&gt;"",G19,IF(E19="JPY",IF(ISNUMBER($L$1),ROUND(F19/$L$1,2),"レート未入力"),F19)))</f>
        <v/>
      </c>
      <c r="I19" s="13"/>
      <c r="J19" s="22" t="str">
        <f aca="false">IF(A19="","",IF(A19&lt;DATE(2025,4,6),"2024/25",IF(A19&lt;DATE(2026,4,6),"2025/26",IF(A19&lt;DATE(2027,4,6),"2026/27","2027/28"))))</f>
        <v/>
      </c>
      <c r="N19" s="13"/>
    </row>
    <row r="20" customFormat="false" ht="15" hidden="false" customHeight="false" outlineLevel="0" collapsed="false">
      <c r="A20" s="31"/>
      <c r="B20" s="13"/>
      <c r="C20" s="13"/>
      <c r="D20" s="32"/>
      <c r="E20" s="32"/>
      <c r="F20" s="14"/>
      <c r="G20" s="23"/>
      <c r="H20" s="16" t="str">
        <f aca="false">IF(F20="","",IF(G20&lt;&gt;"",G20,IF(E20="JPY",IF(ISNUMBER($L$1),ROUND(F20/$L$1,2),"レート未入力"),F20)))</f>
        <v/>
      </c>
      <c r="I20" s="13"/>
      <c r="J20" s="22" t="str">
        <f aca="false">IF(A20="","",IF(A20&lt;DATE(2025,4,6),"2024/25",IF(A20&lt;DATE(2026,4,6),"2025/26",IF(A20&lt;DATE(2027,4,6),"2026/27","2027/28"))))</f>
        <v/>
      </c>
      <c r="N20" s="13"/>
    </row>
    <row r="21" customFormat="false" ht="15" hidden="false" customHeight="false" outlineLevel="0" collapsed="false">
      <c r="A21" s="31"/>
      <c r="B21" s="13"/>
      <c r="C21" s="13"/>
      <c r="D21" s="32"/>
      <c r="E21" s="32"/>
      <c r="F21" s="14"/>
      <c r="G21" s="23"/>
      <c r="H21" s="16" t="str">
        <f aca="false">IF(F21="","",IF(G21&lt;&gt;"",G21,IF(E21="JPY",IF(ISNUMBER($L$1),ROUND(F21/$L$1,2),"レート未入力"),F21)))</f>
        <v/>
      </c>
      <c r="I21" s="13"/>
      <c r="J21" s="22" t="str">
        <f aca="false">IF(A21="","",IF(A21&lt;DATE(2025,4,6),"2024/25",IF(A21&lt;DATE(2026,4,6),"2025/26",IF(A21&lt;DATE(2027,4,6),"2026/27","2027/28"))))</f>
        <v/>
      </c>
      <c r="N21" s="13"/>
    </row>
    <row r="22" customFormat="false" ht="15" hidden="false" customHeight="false" outlineLevel="0" collapsed="false">
      <c r="A22" s="31"/>
      <c r="B22" s="13"/>
      <c r="C22" s="13"/>
      <c r="D22" s="32"/>
      <c r="E22" s="32"/>
      <c r="F22" s="14"/>
      <c r="G22" s="23"/>
      <c r="H22" s="16" t="str">
        <f aca="false">IF(F22="","",IF(G22&lt;&gt;"",G22,IF(E22="JPY",IF(ISNUMBER($L$1),ROUND(F22/$L$1,2),"レート未入力"),F22)))</f>
        <v/>
      </c>
      <c r="I22" s="13"/>
      <c r="J22" s="22" t="str">
        <f aca="false">IF(A22="","",IF(A22&lt;DATE(2025,4,6),"2024/25",IF(A22&lt;DATE(2026,4,6),"2025/26",IF(A22&lt;DATE(2027,4,6),"2026/27","2027/28"))))</f>
        <v/>
      </c>
      <c r="N22" s="13"/>
    </row>
    <row r="23" customFormat="false" ht="15" hidden="false" customHeight="false" outlineLevel="0" collapsed="false">
      <c r="A23" s="31"/>
      <c r="B23" s="13"/>
      <c r="C23" s="13"/>
      <c r="D23" s="32"/>
      <c r="E23" s="32"/>
      <c r="F23" s="14"/>
      <c r="G23" s="23"/>
      <c r="H23" s="16" t="str">
        <f aca="false">IF(F23="","",IF(G23&lt;&gt;"",G23,IF(E23="JPY",IF(ISNUMBER($L$1),ROUND(F23/$L$1,2),"レート未入力"),F23)))</f>
        <v/>
      </c>
      <c r="I23" s="13"/>
      <c r="J23" s="22" t="str">
        <f aca="false">IF(A23="","",IF(A23&lt;DATE(2025,4,6),"2024/25",IF(A23&lt;DATE(2026,4,6),"2025/26",IF(A23&lt;DATE(2027,4,6),"2026/27","2027/28"))))</f>
        <v/>
      </c>
      <c r="N23" s="13"/>
    </row>
    <row r="24" customFormat="false" ht="15" hidden="false" customHeight="false" outlineLevel="0" collapsed="false">
      <c r="A24" s="31"/>
      <c r="B24" s="13"/>
      <c r="C24" s="13"/>
      <c r="D24" s="32"/>
      <c r="E24" s="32"/>
      <c r="F24" s="14"/>
      <c r="G24" s="23"/>
      <c r="H24" s="16" t="str">
        <f aca="false">IF(F24="","",IF(G24&lt;&gt;"",G24,IF(E24="JPY",IF(ISNUMBER($L$1),ROUND(F24/$L$1,2),"レート未入力"),F24)))</f>
        <v/>
      </c>
      <c r="I24" s="13"/>
      <c r="J24" s="22" t="str">
        <f aca="false">IF(A24="","",IF(A24&lt;DATE(2025,4,6),"2024/25",IF(A24&lt;DATE(2026,4,6),"2025/26",IF(A24&lt;DATE(2027,4,6),"2026/27","2027/28"))))</f>
        <v/>
      </c>
      <c r="N24" s="13"/>
    </row>
    <row r="25" customFormat="false" ht="15" hidden="false" customHeight="false" outlineLevel="0" collapsed="false">
      <c r="A25" s="31"/>
      <c r="B25" s="13"/>
      <c r="C25" s="13"/>
      <c r="D25" s="32"/>
      <c r="E25" s="32"/>
      <c r="F25" s="14"/>
      <c r="G25" s="23"/>
      <c r="H25" s="16" t="str">
        <f aca="false">IF(F25="","",IF(G25&lt;&gt;"",G25,IF(E25="JPY",IF(ISNUMBER($L$1),ROUND(F25/$L$1,2),"レート未入力"),F25)))</f>
        <v/>
      </c>
      <c r="I25" s="13"/>
      <c r="J25" s="22" t="str">
        <f aca="false">IF(A25="","",IF(A25&lt;DATE(2025,4,6),"2024/25",IF(A25&lt;DATE(2026,4,6),"2025/26",IF(A25&lt;DATE(2027,4,6),"2026/27","2027/28"))))</f>
        <v/>
      </c>
      <c r="N25" s="13"/>
    </row>
    <row r="26" customFormat="false" ht="15" hidden="false" customHeight="false" outlineLevel="0" collapsed="false">
      <c r="A26" s="3" t="s">
        <v>183</v>
      </c>
      <c r="H26" s="18" t="n">
        <f aca="false">SUM(H6:H25)</f>
        <v>0</v>
      </c>
    </row>
    <row r="28" customFormat="false" ht="15" hidden="false" customHeight="false" outlineLevel="0" collapsed="false">
      <c r="A28" s="26" t="s">
        <v>184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</row>
    <row r="29" customFormat="false" ht="30" hidden="false" customHeight="true" outlineLevel="0" collapsed="false">
      <c r="A29" s="9" t="s">
        <v>167</v>
      </c>
      <c r="B29" s="9" t="s">
        <v>185</v>
      </c>
      <c r="C29" s="9" t="s">
        <v>169</v>
      </c>
      <c r="D29" s="9" t="s">
        <v>38</v>
      </c>
      <c r="E29" s="9" t="s">
        <v>171</v>
      </c>
      <c r="F29" s="9" t="s">
        <v>172</v>
      </c>
      <c r="G29" s="9" t="s">
        <v>173</v>
      </c>
      <c r="H29" s="10" t="s">
        <v>186</v>
      </c>
      <c r="I29" s="9" t="s">
        <v>187</v>
      </c>
      <c r="J29" s="9" t="s">
        <v>188</v>
      </c>
      <c r="K29" s="9" t="s">
        <v>189</v>
      </c>
      <c r="L29" s="9" t="s">
        <v>176</v>
      </c>
      <c r="M29" s="9"/>
      <c r="N29" s="9" t="s">
        <v>177</v>
      </c>
    </row>
    <row r="30" customFormat="false" ht="15" hidden="false" customHeight="false" outlineLevel="0" collapsed="false">
      <c r="A30" s="31"/>
      <c r="B30" s="13"/>
      <c r="C30" s="13"/>
      <c r="D30" s="32"/>
      <c r="E30" s="32"/>
      <c r="F30" s="14"/>
      <c r="G30" s="23"/>
      <c r="H30" s="16" t="str">
        <f aca="false">IF(F30="","",IF(G30&lt;&gt;"",G30,IF(E30="JPY",IF(ISNUMBER($L$1),ROUND(F30/$L$1,2),"レート未入力"),F30)))</f>
        <v/>
      </c>
      <c r="I30" s="33"/>
      <c r="J30" s="16" t="str">
        <f aca="false">IF(ISNUMBER(H30),ROUND(H30*IF(I30="",1,I30),2),"")</f>
        <v/>
      </c>
      <c r="K30" s="35"/>
      <c r="L30" s="22" t="str">
        <f aca="false">IF(A30="","",IF(A30&lt;DATE(2025,4,6),"2024/25",IF(A30&lt;DATE(2026,4,6),"2025/26",IF(A30&lt;DATE(2027,4,6),"2026/27","2027/28"))))</f>
        <v/>
      </c>
      <c r="N30" s="13"/>
    </row>
    <row r="31" customFormat="false" ht="15" hidden="false" customHeight="false" outlineLevel="0" collapsed="false">
      <c r="A31" s="31"/>
      <c r="B31" s="13"/>
      <c r="C31" s="13"/>
      <c r="D31" s="32"/>
      <c r="E31" s="32"/>
      <c r="F31" s="14"/>
      <c r="G31" s="23"/>
      <c r="H31" s="16" t="str">
        <f aca="false">IF(F31="","",IF(G31&lt;&gt;"",G31,IF(E31="JPY",IF(ISNUMBER($L$1),ROUND(F31/$L$1,2),"レート未入力"),F31)))</f>
        <v/>
      </c>
      <c r="I31" s="33"/>
      <c r="J31" s="16" t="str">
        <f aca="false">IF(ISNUMBER(H31),ROUND(H31*IF(I31="",1,I31),2),"")</f>
        <v/>
      </c>
      <c r="K31" s="35"/>
      <c r="L31" s="22" t="str">
        <f aca="false">IF(A31="","",IF(A31&lt;DATE(2025,4,6),"2024/25",IF(A31&lt;DATE(2026,4,6),"2025/26",IF(A31&lt;DATE(2027,4,6),"2026/27","2027/28"))))</f>
        <v/>
      </c>
      <c r="N31" s="13"/>
    </row>
    <row r="32" customFormat="false" ht="15" hidden="false" customHeight="false" outlineLevel="0" collapsed="false">
      <c r="A32" s="31"/>
      <c r="B32" s="13"/>
      <c r="C32" s="13"/>
      <c r="D32" s="32"/>
      <c r="E32" s="32"/>
      <c r="F32" s="14"/>
      <c r="G32" s="23"/>
      <c r="H32" s="16" t="str">
        <f aca="false">IF(F32="","",IF(G32&lt;&gt;"",G32,IF(E32="JPY",IF(ISNUMBER($L$1),ROUND(F32/$L$1,2),"レート未入力"),F32)))</f>
        <v/>
      </c>
      <c r="I32" s="33"/>
      <c r="J32" s="16" t="str">
        <f aca="false">IF(ISNUMBER(H32),ROUND(H32*IF(I32="",1,I32),2),"")</f>
        <v/>
      </c>
      <c r="K32" s="35"/>
      <c r="L32" s="22" t="str">
        <f aca="false">IF(A32="","",IF(A32&lt;DATE(2025,4,6),"2024/25",IF(A32&lt;DATE(2026,4,6),"2025/26",IF(A32&lt;DATE(2027,4,6),"2026/27","2027/28"))))</f>
        <v/>
      </c>
      <c r="N32" s="13"/>
    </row>
    <row r="33" customFormat="false" ht="15" hidden="false" customHeight="false" outlineLevel="0" collapsed="false">
      <c r="A33" s="31"/>
      <c r="B33" s="13"/>
      <c r="C33" s="13"/>
      <c r="D33" s="32"/>
      <c r="E33" s="32"/>
      <c r="F33" s="14"/>
      <c r="G33" s="23"/>
      <c r="H33" s="16" t="str">
        <f aca="false">IF(F33="","",IF(G33&lt;&gt;"",G33,IF(E33="JPY",IF(ISNUMBER($L$1),ROUND(F33/$L$1,2),"レート未入力"),F33)))</f>
        <v/>
      </c>
      <c r="I33" s="33"/>
      <c r="J33" s="16" t="str">
        <f aca="false">IF(ISNUMBER(H33),ROUND(H33*IF(I33="",1,I33),2),"")</f>
        <v/>
      </c>
      <c r="K33" s="35"/>
      <c r="L33" s="22" t="str">
        <f aca="false">IF(A33="","",IF(A33&lt;DATE(2025,4,6),"2024/25",IF(A33&lt;DATE(2026,4,6),"2025/26",IF(A33&lt;DATE(2027,4,6),"2026/27","2027/28"))))</f>
        <v/>
      </c>
      <c r="N33" s="13"/>
    </row>
    <row r="34" customFormat="false" ht="15" hidden="false" customHeight="false" outlineLevel="0" collapsed="false">
      <c r="A34" s="31"/>
      <c r="B34" s="13"/>
      <c r="C34" s="13"/>
      <c r="D34" s="32"/>
      <c r="E34" s="32"/>
      <c r="F34" s="14"/>
      <c r="G34" s="23"/>
      <c r="H34" s="16" t="str">
        <f aca="false">IF(F34="","",IF(G34&lt;&gt;"",G34,IF(E34="JPY",IF(ISNUMBER($L$1),ROUND(F34/$L$1,2),"レート未入力"),F34)))</f>
        <v/>
      </c>
      <c r="I34" s="33"/>
      <c r="J34" s="16" t="str">
        <f aca="false">IF(ISNUMBER(H34),ROUND(H34*IF(I34="",1,I34),2),"")</f>
        <v/>
      </c>
      <c r="K34" s="35"/>
      <c r="L34" s="22" t="str">
        <f aca="false">IF(A34="","",IF(A34&lt;DATE(2025,4,6),"2024/25",IF(A34&lt;DATE(2026,4,6),"2025/26",IF(A34&lt;DATE(2027,4,6),"2026/27","2027/28"))))</f>
        <v/>
      </c>
      <c r="N34" s="13"/>
    </row>
    <row r="35" customFormat="false" ht="15" hidden="false" customHeight="false" outlineLevel="0" collapsed="false">
      <c r="A35" s="31"/>
      <c r="B35" s="13"/>
      <c r="C35" s="13"/>
      <c r="D35" s="32"/>
      <c r="E35" s="32"/>
      <c r="F35" s="14"/>
      <c r="G35" s="23"/>
      <c r="H35" s="16" t="str">
        <f aca="false">IF(F35="","",IF(G35&lt;&gt;"",G35,IF(E35="JPY",IF(ISNUMBER($L$1),ROUND(F35/$L$1,2),"レート未入力"),F35)))</f>
        <v/>
      </c>
      <c r="I35" s="33"/>
      <c r="J35" s="16" t="str">
        <f aca="false">IF(ISNUMBER(H35),ROUND(H35*IF(I35="",1,I35),2),"")</f>
        <v/>
      </c>
      <c r="K35" s="35"/>
      <c r="L35" s="22" t="str">
        <f aca="false">IF(A35="","",IF(A35&lt;DATE(2025,4,6),"2024/25",IF(A35&lt;DATE(2026,4,6),"2025/26",IF(A35&lt;DATE(2027,4,6),"2026/27","2027/28"))))</f>
        <v/>
      </c>
      <c r="N35" s="13"/>
    </row>
    <row r="36" customFormat="false" ht="15" hidden="false" customHeight="false" outlineLevel="0" collapsed="false">
      <c r="A36" s="31"/>
      <c r="B36" s="13"/>
      <c r="C36" s="13"/>
      <c r="D36" s="32"/>
      <c r="E36" s="32"/>
      <c r="F36" s="14"/>
      <c r="G36" s="23"/>
      <c r="H36" s="16" t="str">
        <f aca="false">IF(F36="","",IF(G36&lt;&gt;"",G36,IF(E36="JPY",IF(ISNUMBER($L$1),ROUND(F36/$L$1,2),"レート未入力"),F36)))</f>
        <v/>
      </c>
      <c r="I36" s="33"/>
      <c r="J36" s="16" t="str">
        <f aca="false">IF(ISNUMBER(H36),ROUND(H36*IF(I36="",1,I36),2),"")</f>
        <v/>
      </c>
      <c r="K36" s="35"/>
      <c r="L36" s="22" t="str">
        <f aca="false">IF(A36="","",IF(A36&lt;DATE(2025,4,6),"2024/25",IF(A36&lt;DATE(2026,4,6),"2025/26",IF(A36&lt;DATE(2027,4,6),"2026/27","2027/28"))))</f>
        <v/>
      </c>
      <c r="N36" s="13"/>
    </row>
    <row r="37" customFormat="false" ht="15" hidden="false" customHeight="false" outlineLevel="0" collapsed="false">
      <c r="A37" s="31"/>
      <c r="B37" s="13"/>
      <c r="C37" s="13"/>
      <c r="D37" s="32"/>
      <c r="E37" s="32"/>
      <c r="F37" s="14"/>
      <c r="G37" s="23"/>
      <c r="H37" s="16" t="str">
        <f aca="false">IF(F37="","",IF(G37&lt;&gt;"",G37,IF(E37="JPY",IF(ISNUMBER($L$1),ROUND(F37/$L$1,2),"レート未入力"),F37)))</f>
        <v/>
      </c>
      <c r="I37" s="33"/>
      <c r="J37" s="16" t="str">
        <f aca="false">IF(ISNUMBER(H37),ROUND(H37*IF(I37="",1,I37),2),"")</f>
        <v/>
      </c>
      <c r="K37" s="35"/>
      <c r="L37" s="22" t="str">
        <f aca="false">IF(A37="","",IF(A37&lt;DATE(2025,4,6),"2024/25",IF(A37&lt;DATE(2026,4,6),"2025/26",IF(A37&lt;DATE(2027,4,6),"2026/27","2027/28"))))</f>
        <v/>
      </c>
      <c r="N37" s="13"/>
    </row>
    <row r="38" customFormat="false" ht="15" hidden="false" customHeight="false" outlineLevel="0" collapsed="false">
      <c r="A38" s="31"/>
      <c r="B38" s="13"/>
      <c r="C38" s="13"/>
      <c r="D38" s="32"/>
      <c r="E38" s="32"/>
      <c r="F38" s="14"/>
      <c r="G38" s="23"/>
      <c r="H38" s="16" t="str">
        <f aca="false">IF(F38="","",IF(G38&lt;&gt;"",G38,IF(E38="JPY",IF(ISNUMBER($L$1),ROUND(F38/$L$1,2),"レート未入力"),F38)))</f>
        <v/>
      </c>
      <c r="I38" s="33"/>
      <c r="J38" s="16" t="str">
        <f aca="false">IF(ISNUMBER(H38),ROUND(H38*IF(I38="",1,I38),2),"")</f>
        <v/>
      </c>
      <c r="K38" s="35"/>
      <c r="L38" s="22" t="str">
        <f aca="false">IF(A38="","",IF(A38&lt;DATE(2025,4,6),"2024/25",IF(A38&lt;DATE(2026,4,6),"2025/26",IF(A38&lt;DATE(2027,4,6),"2026/27","2027/28"))))</f>
        <v/>
      </c>
      <c r="N38" s="13"/>
    </row>
    <row r="39" customFormat="false" ht="15" hidden="false" customHeight="false" outlineLevel="0" collapsed="false">
      <c r="A39" s="31"/>
      <c r="B39" s="13"/>
      <c r="C39" s="13"/>
      <c r="D39" s="32"/>
      <c r="E39" s="32"/>
      <c r="F39" s="14"/>
      <c r="G39" s="23"/>
      <c r="H39" s="16" t="str">
        <f aca="false">IF(F39="","",IF(G39&lt;&gt;"",G39,IF(E39="JPY",IF(ISNUMBER($L$1),ROUND(F39/$L$1,2),"レート未入力"),F39)))</f>
        <v/>
      </c>
      <c r="I39" s="33"/>
      <c r="J39" s="16" t="str">
        <f aca="false">IF(ISNUMBER(H39),ROUND(H39*IF(I39="",1,I39),2),"")</f>
        <v/>
      </c>
      <c r="K39" s="35"/>
      <c r="L39" s="22" t="str">
        <f aca="false">IF(A39="","",IF(A39&lt;DATE(2025,4,6),"2024/25",IF(A39&lt;DATE(2026,4,6),"2025/26",IF(A39&lt;DATE(2027,4,6),"2026/27","2027/28"))))</f>
        <v/>
      </c>
      <c r="N39" s="13"/>
    </row>
    <row r="40" customFormat="false" ht="15" hidden="false" customHeight="false" outlineLevel="0" collapsed="false">
      <c r="A40" s="31"/>
      <c r="B40" s="13"/>
      <c r="C40" s="13"/>
      <c r="D40" s="32"/>
      <c r="E40" s="32"/>
      <c r="F40" s="14"/>
      <c r="G40" s="23"/>
      <c r="H40" s="16" t="str">
        <f aca="false">IF(F40="","",IF(G40&lt;&gt;"",G40,IF(E40="JPY",IF(ISNUMBER($L$1),ROUND(F40/$L$1,2),"レート未入力"),F40)))</f>
        <v/>
      </c>
      <c r="I40" s="33"/>
      <c r="J40" s="16" t="str">
        <f aca="false">IF(ISNUMBER(H40),ROUND(H40*IF(I40="",1,I40),2),"")</f>
        <v/>
      </c>
      <c r="K40" s="35"/>
      <c r="L40" s="22" t="str">
        <f aca="false">IF(A40="","",IF(A40&lt;DATE(2025,4,6),"2024/25",IF(A40&lt;DATE(2026,4,6),"2025/26",IF(A40&lt;DATE(2027,4,6),"2026/27","2027/28"))))</f>
        <v/>
      </c>
      <c r="N40" s="13"/>
    </row>
    <row r="41" customFormat="false" ht="15" hidden="false" customHeight="false" outlineLevel="0" collapsed="false">
      <c r="A41" s="31"/>
      <c r="B41" s="13"/>
      <c r="C41" s="13"/>
      <c r="D41" s="32"/>
      <c r="E41" s="32"/>
      <c r="F41" s="14"/>
      <c r="G41" s="23"/>
      <c r="H41" s="16" t="str">
        <f aca="false">IF(F41="","",IF(G41&lt;&gt;"",G41,IF(E41="JPY",IF(ISNUMBER($L$1),ROUND(F41/$L$1,2),"レート未入力"),F41)))</f>
        <v/>
      </c>
      <c r="I41" s="33"/>
      <c r="J41" s="16" t="str">
        <f aca="false">IF(ISNUMBER(H41),ROUND(H41*IF(I41="",1,I41),2),"")</f>
        <v/>
      </c>
      <c r="K41" s="35"/>
      <c r="L41" s="22" t="str">
        <f aca="false">IF(A41="","",IF(A41&lt;DATE(2025,4,6),"2024/25",IF(A41&lt;DATE(2026,4,6),"2025/26",IF(A41&lt;DATE(2027,4,6),"2026/27","2027/28"))))</f>
        <v/>
      </c>
      <c r="N41" s="13"/>
    </row>
    <row r="42" customFormat="false" ht="15" hidden="false" customHeight="false" outlineLevel="0" collapsed="false">
      <c r="A42" s="31"/>
      <c r="B42" s="13"/>
      <c r="C42" s="13"/>
      <c r="D42" s="32"/>
      <c r="E42" s="32"/>
      <c r="F42" s="14"/>
      <c r="G42" s="23"/>
      <c r="H42" s="16" t="str">
        <f aca="false">IF(F42="","",IF(G42&lt;&gt;"",G42,IF(E42="JPY",IF(ISNUMBER($L$1),ROUND(F42/$L$1,2),"レート未入力"),F42)))</f>
        <v/>
      </c>
      <c r="I42" s="33"/>
      <c r="J42" s="16" t="str">
        <f aca="false">IF(ISNUMBER(H42),ROUND(H42*IF(I42="",1,I42),2),"")</f>
        <v/>
      </c>
      <c r="K42" s="35"/>
      <c r="L42" s="22" t="str">
        <f aca="false">IF(A42="","",IF(A42&lt;DATE(2025,4,6),"2024/25",IF(A42&lt;DATE(2026,4,6),"2025/26",IF(A42&lt;DATE(2027,4,6),"2026/27","2027/28"))))</f>
        <v/>
      </c>
      <c r="N42" s="13"/>
    </row>
    <row r="43" customFormat="false" ht="15" hidden="false" customHeight="false" outlineLevel="0" collapsed="false">
      <c r="A43" s="31"/>
      <c r="B43" s="13"/>
      <c r="C43" s="13"/>
      <c r="D43" s="32"/>
      <c r="E43" s="32"/>
      <c r="F43" s="14"/>
      <c r="G43" s="23"/>
      <c r="H43" s="16" t="str">
        <f aca="false">IF(F43="","",IF(G43&lt;&gt;"",G43,IF(E43="JPY",IF(ISNUMBER($L$1),ROUND(F43/$L$1,2),"レート未入力"),F43)))</f>
        <v/>
      </c>
      <c r="I43" s="33"/>
      <c r="J43" s="16" t="str">
        <f aca="false">IF(ISNUMBER(H43),ROUND(H43*IF(I43="",1,I43),2),"")</f>
        <v/>
      </c>
      <c r="K43" s="35"/>
      <c r="L43" s="22" t="str">
        <f aca="false">IF(A43="","",IF(A43&lt;DATE(2025,4,6),"2024/25",IF(A43&lt;DATE(2026,4,6),"2025/26",IF(A43&lt;DATE(2027,4,6),"2026/27","2027/28"))))</f>
        <v/>
      </c>
      <c r="N43" s="13"/>
    </row>
    <row r="44" customFormat="false" ht="15" hidden="false" customHeight="false" outlineLevel="0" collapsed="false">
      <c r="A44" s="31"/>
      <c r="B44" s="13"/>
      <c r="C44" s="13"/>
      <c r="D44" s="32"/>
      <c r="E44" s="32"/>
      <c r="F44" s="14"/>
      <c r="G44" s="23"/>
      <c r="H44" s="16" t="str">
        <f aca="false">IF(F44="","",IF(G44&lt;&gt;"",G44,IF(E44="JPY",IF(ISNUMBER($L$1),ROUND(F44/$L$1,2),"レート未入力"),F44)))</f>
        <v/>
      </c>
      <c r="I44" s="33"/>
      <c r="J44" s="16" t="str">
        <f aca="false">IF(ISNUMBER(H44),ROUND(H44*IF(I44="",1,I44),2),"")</f>
        <v/>
      </c>
      <c r="K44" s="35"/>
      <c r="L44" s="22" t="str">
        <f aca="false">IF(A44="","",IF(A44&lt;DATE(2025,4,6),"2024/25",IF(A44&lt;DATE(2026,4,6),"2025/26",IF(A44&lt;DATE(2027,4,6),"2026/27","2027/28"))))</f>
        <v/>
      </c>
      <c r="N44" s="13"/>
    </row>
    <row r="45" customFormat="false" ht="15" hidden="false" customHeight="false" outlineLevel="0" collapsed="false">
      <c r="A45" s="31"/>
      <c r="B45" s="13"/>
      <c r="C45" s="13"/>
      <c r="D45" s="32"/>
      <c r="E45" s="32"/>
      <c r="F45" s="14"/>
      <c r="G45" s="23"/>
      <c r="H45" s="16" t="str">
        <f aca="false">IF(F45="","",IF(G45&lt;&gt;"",G45,IF(E45="JPY",IF(ISNUMBER($L$1),ROUND(F45/$L$1,2),"レート未入力"),F45)))</f>
        <v/>
      </c>
      <c r="I45" s="33"/>
      <c r="J45" s="16" t="str">
        <f aca="false">IF(ISNUMBER(H45),ROUND(H45*IF(I45="",1,I45),2),"")</f>
        <v/>
      </c>
      <c r="K45" s="35"/>
      <c r="L45" s="22" t="str">
        <f aca="false">IF(A45="","",IF(A45&lt;DATE(2025,4,6),"2024/25",IF(A45&lt;DATE(2026,4,6),"2025/26",IF(A45&lt;DATE(2027,4,6),"2026/27","2027/28"))))</f>
        <v/>
      </c>
      <c r="N45" s="13"/>
    </row>
    <row r="46" customFormat="false" ht="15" hidden="false" customHeight="false" outlineLevel="0" collapsed="false">
      <c r="A46" s="31"/>
      <c r="B46" s="13"/>
      <c r="C46" s="13"/>
      <c r="D46" s="32"/>
      <c r="E46" s="32"/>
      <c r="F46" s="14"/>
      <c r="G46" s="23"/>
      <c r="H46" s="16" t="str">
        <f aca="false">IF(F46="","",IF(G46&lt;&gt;"",G46,IF(E46="JPY",IF(ISNUMBER($L$1),ROUND(F46/$L$1,2),"レート未入力"),F46)))</f>
        <v/>
      </c>
      <c r="I46" s="33"/>
      <c r="J46" s="16" t="str">
        <f aca="false">IF(ISNUMBER(H46),ROUND(H46*IF(I46="",1,I46),2),"")</f>
        <v/>
      </c>
      <c r="K46" s="35"/>
      <c r="L46" s="22" t="str">
        <f aca="false">IF(A46="","",IF(A46&lt;DATE(2025,4,6),"2024/25",IF(A46&lt;DATE(2026,4,6),"2025/26",IF(A46&lt;DATE(2027,4,6),"2026/27","2027/28"))))</f>
        <v/>
      </c>
      <c r="N46" s="13"/>
    </row>
    <row r="47" customFormat="false" ht="15" hidden="false" customHeight="false" outlineLevel="0" collapsed="false">
      <c r="A47" s="31"/>
      <c r="B47" s="13"/>
      <c r="C47" s="13"/>
      <c r="D47" s="32"/>
      <c r="E47" s="32"/>
      <c r="F47" s="14"/>
      <c r="G47" s="23"/>
      <c r="H47" s="16" t="str">
        <f aca="false">IF(F47="","",IF(G47&lt;&gt;"",G47,IF(E47="JPY",IF(ISNUMBER($L$1),ROUND(F47/$L$1,2),"レート未入力"),F47)))</f>
        <v/>
      </c>
      <c r="I47" s="33"/>
      <c r="J47" s="16" t="str">
        <f aca="false">IF(ISNUMBER(H47),ROUND(H47*IF(I47="",1,I47),2),"")</f>
        <v/>
      </c>
      <c r="K47" s="35"/>
      <c r="L47" s="22" t="str">
        <f aca="false">IF(A47="","",IF(A47&lt;DATE(2025,4,6),"2024/25",IF(A47&lt;DATE(2026,4,6),"2025/26",IF(A47&lt;DATE(2027,4,6),"2026/27","2027/28"))))</f>
        <v/>
      </c>
      <c r="N47" s="13"/>
    </row>
    <row r="48" customFormat="false" ht="15" hidden="false" customHeight="false" outlineLevel="0" collapsed="false">
      <c r="A48" s="31"/>
      <c r="B48" s="13"/>
      <c r="C48" s="13"/>
      <c r="D48" s="32"/>
      <c r="E48" s="32"/>
      <c r="F48" s="14"/>
      <c r="G48" s="23"/>
      <c r="H48" s="16" t="str">
        <f aca="false">IF(F48="","",IF(G48&lt;&gt;"",G48,IF(E48="JPY",IF(ISNUMBER($L$1),ROUND(F48/$L$1,2),"レート未入力"),F48)))</f>
        <v/>
      </c>
      <c r="I48" s="33"/>
      <c r="J48" s="16" t="str">
        <f aca="false">IF(ISNUMBER(H48),ROUND(H48*IF(I48="",1,I48),2),"")</f>
        <v/>
      </c>
      <c r="K48" s="35"/>
      <c r="L48" s="22" t="str">
        <f aca="false">IF(A48="","",IF(A48&lt;DATE(2025,4,6),"2024/25",IF(A48&lt;DATE(2026,4,6),"2025/26",IF(A48&lt;DATE(2027,4,6),"2026/27","2027/28"))))</f>
        <v/>
      </c>
      <c r="N48" s="13"/>
    </row>
    <row r="49" customFormat="false" ht="15" hidden="false" customHeight="false" outlineLevel="0" collapsed="false">
      <c r="A49" s="31"/>
      <c r="B49" s="13"/>
      <c r="C49" s="13"/>
      <c r="D49" s="32"/>
      <c r="E49" s="32"/>
      <c r="F49" s="14"/>
      <c r="G49" s="23"/>
      <c r="H49" s="16" t="str">
        <f aca="false">IF(F49="","",IF(G49&lt;&gt;"",G49,IF(E49="JPY",IF(ISNUMBER($L$1),ROUND(F49/$L$1,2),"レート未入力"),F49)))</f>
        <v/>
      </c>
      <c r="I49" s="33"/>
      <c r="J49" s="16" t="str">
        <f aca="false">IF(ISNUMBER(H49),ROUND(H49*IF(I49="",1,I49),2),"")</f>
        <v/>
      </c>
      <c r="K49" s="35"/>
      <c r="L49" s="22" t="str">
        <f aca="false">IF(A49="","",IF(A49&lt;DATE(2025,4,6),"2024/25",IF(A49&lt;DATE(2026,4,6),"2025/26",IF(A49&lt;DATE(2027,4,6),"2026/27","2027/28"))))</f>
        <v/>
      </c>
      <c r="N49" s="13"/>
    </row>
    <row r="50" customFormat="false" ht="15" hidden="false" customHeight="false" outlineLevel="0" collapsed="false">
      <c r="A50" s="31"/>
      <c r="B50" s="13"/>
      <c r="C50" s="13"/>
      <c r="D50" s="32"/>
      <c r="E50" s="32"/>
      <c r="F50" s="14"/>
      <c r="G50" s="23"/>
      <c r="H50" s="16" t="str">
        <f aca="false">IF(F50="","",IF(G50&lt;&gt;"",G50,IF(E50="JPY",IF(ISNUMBER($L$1),ROUND(F50/$L$1,2),"レート未入力"),F50)))</f>
        <v/>
      </c>
      <c r="I50" s="33"/>
      <c r="J50" s="16" t="str">
        <f aca="false">IF(ISNUMBER(H50),ROUND(H50*IF(I50="",1,I50),2),"")</f>
        <v/>
      </c>
      <c r="K50" s="35"/>
      <c r="L50" s="22" t="str">
        <f aca="false">IF(A50="","",IF(A50&lt;DATE(2025,4,6),"2024/25",IF(A50&lt;DATE(2026,4,6),"2025/26",IF(A50&lt;DATE(2027,4,6),"2026/27","2027/28"))))</f>
        <v/>
      </c>
      <c r="N50" s="13"/>
    </row>
    <row r="51" customFormat="false" ht="15" hidden="false" customHeight="false" outlineLevel="0" collapsed="false">
      <c r="A51" s="31"/>
      <c r="B51" s="13"/>
      <c r="C51" s="13"/>
      <c r="D51" s="32"/>
      <c r="E51" s="32"/>
      <c r="F51" s="14"/>
      <c r="G51" s="23"/>
      <c r="H51" s="16" t="str">
        <f aca="false">IF(F51="","",IF(G51&lt;&gt;"",G51,IF(E51="JPY",IF(ISNUMBER($L$1),ROUND(F51/$L$1,2),"レート未入力"),F51)))</f>
        <v/>
      </c>
      <c r="I51" s="33"/>
      <c r="J51" s="16" t="str">
        <f aca="false">IF(ISNUMBER(H51),ROUND(H51*IF(I51="",1,I51),2),"")</f>
        <v/>
      </c>
      <c r="K51" s="35"/>
      <c r="L51" s="22" t="str">
        <f aca="false">IF(A51="","",IF(A51&lt;DATE(2025,4,6),"2024/25",IF(A51&lt;DATE(2026,4,6),"2025/26",IF(A51&lt;DATE(2027,4,6),"2026/27","2027/28"))))</f>
        <v/>
      </c>
      <c r="N51" s="13"/>
    </row>
    <row r="52" customFormat="false" ht="15" hidden="false" customHeight="false" outlineLevel="0" collapsed="false">
      <c r="A52" s="31"/>
      <c r="B52" s="13"/>
      <c r="C52" s="13"/>
      <c r="D52" s="32"/>
      <c r="E52" s="32"/>
      <c r="F52" s="14"/>
      <c r="G52" s="23"/>
      <c r="H52" s="16" t="str">
        <f aca="false">IF(F52="","",IF(G52&lt;&gt;"",G52,IF(E52="JPY",IF(ISNUMBER($L$1),ROUND(F52/$L$1,2),"レート未入力"),F52)))</f>
        <v/>
      </c>
      <c r="I52" s="33"/>
      <c r="J52" s="16" t="str">
        <f aca="false">IF(ISNUMBER(H52),ROUND(H52*IF(I52="",1,I52),2),"")</f>
        <v/>
      </c>
      <c r="K52" s="35"/>
      <c r="L52" s="22" t="str">
        <f aca="false">IF(A52="","",IF(A52&lt;DATE(2025,4,6),"2024/25",IF(A52&lt;DATE(2026,4,6),"2025/26",IF(A52&lt;DATE(2027,4,6),"2026/27","2027/28"))))</f>
        <v/>
      </c>
      <c r="N52" s="13"/>
    </row>
    <row r="53" customFormat="false" ht="15" hidden="false" customHeight="false" outlineLevel="0" collapsed="false">
      <c r="A53" s="31"/>
      <c r="B53" s="13"/>
      <c r="C53" s="13"/>
      <c r="D53" s="32"/>
      <c r="E53" s="32"/>
      <c r="F53" s="14"/>
      <c r="G53" s="23"/>
      <c r="H53" s="16" t="str">
        <f aca="false">IF(F53="","",IF(G53&lt;&gt;"",G53,IF(E53="JPY",IF(ISNUMBER($L$1),ROUND(F53/$L$1,2),"レート未入力"),F53)))</f>
        <v/>
      </c>
      <c r="I53" s="33"/>
      <c r="J53" s="16" t="str">
        <f aca="false">IF(ISNUMBER(H53),ROUND(H53*IF(I53="",1,I53),2),"")</f>
        <v/>
      </c>
      <c r="K53" s="35"/>
      <c r="L53" s="22" t="str">
        <f aca="false">IF(A53="","",IF(A53&lt;DATE(2025,4,6),"2024/25",IF(A53&lt;DATE(2026,4,6),"2025/26",IF(A53&lt;DATE(2027,4,6),"2026/27","2027/28"))))</f>
        <v/>
      </c>
      <c r="N53" s="13"/>
    </row>
    <row r="54" customFormat="false" ht="15" hidden="false" customHeight="false" outlineLevel="0" collapsed="false">
      <c r="A54" s="31"/>
      <c r="B54" s="13"/>
      <c r="C54" s="13"/>
      <c r="D54" s="32"/>
      <c r="E54" s="32"/>
      <c r="F54" s="14"/>
      <c r="G54" s="23"/>
      <c r="H54" s="16" t="str">
        <f aca="false">IF(F54="","",IF(G54&lt;&gt;"",G54,IF(E54="JPY",IF(ISNUMBER($L$1),ROUND(F54/$L$1,2),"レート未入力"),F54)))</f>
        <v/>
      </c>
      <c r="I54" s="33"/>
      <c r="J54" s="16" t="str">
        <f aca="false">IF(ISNUMBER(H54),ROUND(H54*IF(I54="",1,I54),2),"")</f>
        <v/>
      </c>
      <c r="K54" s="35"/>
      <c r="L54" s="22" t="str">
        <f aca="false">IF(A54="","",IF(A54&lt;DATE(2025,4,6),"2024/25",IF(A54&lt;DATE(2026,4,6),"2025/26",IF(A54&lt;DATE(2027,4,6),"2026/27","2027/28"))))</f>
        <v/>
      </c>
      <c r="N54" s="13"/>
    </row>
    <row r="55" customFormat="false" ht="15" hidden="false" customHeight="false" outlineLevel="0" collapsed="false">
      <c r="A55" s="31"/>
      <c r="B55" s="13"/>
      <c r="C55" s="13"/>
      <c r="D55" s="32"/>
      <c r="E55" s="32"/>
      <c r="F55" s="14"/>
      <c r="G55" s="23"/>
      <c r="H55" s="16" t="str">
        <f aca="false">IF(F55="","",IF(G55&lt;&gt;"",G55,IF(E55="JPY",IF(ISNUMBER($L$1),ROUND(F55/$L$1,2),"レート未入力"),F55)))</f>
        <v/>
      </c>
      <c r="I55" s="33"/>
      <c r="J55" s="16" t="str">
        <f aca="false">IF(ISNUMBER(H55),ROUND(H55*IF(I55="",1,I55),2),"")</f>
        <v/>
      </c>
      <c r="K55" s="35"/>
      <c r="L55" s="22" t="str">
        <f aca="false">IF(A55="","",IF(A55&lt;DATE(2025,4,6),"2024/25",IF(A55&lt;DATE(2026,4,6),"2025/26",IF(A55&lt;DATE(2027,4,6),"2026/27","2027/28"))))</f>
        <v/>
      </c>
      <c r="N55" s="13"/>
    </row>
    <row r="56" customFormat="false" ht="15" hidden="false" customHeight="false" outlineLevel="0" collapsed="false">
      <c r="A56" s="31"/>
      <c r="B56" s="13"/>
      <c r="C56" s="13"/>
      <c r="D56" s="32"/>
      <c r="E56" s="32"/>
      <c r="F56" s="14"/>
      <c r="G56" s="23"/>
      <c r="H56" s="16" t="str">
        <f aca="false">IF(F56="","",IF(G56&lt;&gt;"",G56,IF(E56="JPY",IF(ISNUMBER($L$1),ROUND(F56/$L$1,2),"レート未入力"),F56)))</f>
        <v/>
      </c>
      <c r="I56" s="33"/>
      <c r="J56" s="16" t="str">
        <f aca="false">IF(ISNUMBER(H56),ROUND(H56*IF(I56="",1,I56),2),"")</f>
        <v/>
      </c>
      <c r="K56" s="35"/>
      <c r="L56" s="22" t="str">
        <f aca="false">IF(A56="","",IF(A56&lt;DATE(2025,4,6),"2024/25",IF(A56&lt;DATE(2026,4,6),"2025/26",IF(A56&lt;DATE(2027,4,6),"2026/27","2027/28"))))</f>
        <v/>
      </c>
      <c r="N56" s="13"/>
    </row>
    <row r="57" customFormat="false" ht="15" hidden="false" customHeight="false" outlineLevel="0" collapsed="false">
      <c r="A57" s="31"/>
      <c r="B57" s="13"/>
      <c r="C57" s="13"/>
      <c r="D57" s="32"/>
      <c r="E57" s="32"/>
      <c r="F57" s="14"/>
      <c r="G57" s="23"/>
      <c r="H57" s="16" t="str">
        <f aca="false">IF(F57="","",IF(G57&lt;&gt;"",G57,IF(E57="JPY",IF(ISNUMBER($L$1),ROUND(F57/$L$1,2),"レート未入力"),F57)))</f>
        <v/>
      </c>
      <c r="I57" s="33"/>
      <c r="J57" s="16" t="str">
        <f aca="false">IF(ISNUMBER(H57),ROUND(H57*IF(I57="",1,I57),2),"")</f>
        <v/>
      </c>
      <c r="K57" s="35"/>
      <c r="L57" s="22" t="str">
        <f aca="false">IF(A57="","",IF(A57&lt;DATE(2025,4,6),"2024/25",IF(A57&lt;DATE(2026,4,6),"2025/26",IF(A57&lt;DATE(2027,4,6),"2026/27","2027/28"))))</f>
        <v/>
      </c>
      <c r="N57" s="13"/>
    </row>
    <row r="58" customFormat="false" ht="15" hidden="false" customHeight="false" outlineLevel="0" collapsed="false">
      <c r="A58" s="31"/>
      <c r="B58" s="13"/>
      <c r="C58" s="13"/>
      <c r="D58" s="32"/>
      <c r="E58" s="32"/>
      <c r="F58" s="14"/>
      <c r="G58" s="23"/>
      <c r="H58" s="16" t="str">
        <f aca="false">IF(F58="","",IF(G58&lt;&gt;"",G58,IF(E58="JPY",IF(ISNUMBER($L$1),ROUND(F58/$L$1,2),"レート未入力"),F58)))</f>
        <v/>
      </c>
      <c r="I58" s="33"/>
      <c r="J58" s="16" t="str">
        <f aca="false">IF(ISNUMBER(H58),ROUND(H58*IF(I58="",1,I58),2),"")</f>
        <v/>
      </c>
      <c r="K58" s="35"/>
      <c r="L58" s="22" t="str">
        <f aca="false">IF(A58="","",IF(A58&lt;DATE(2025,4,6),"2024/25",IF(A58&lt;DATE(2026,4,6),"2025/26",IF(A58&lt;DATE(2027,4,6),"2026/27","2027/28"))))</f>
        <v/>
      </c>
      <c r="N58" s="13"/>
    </row>
    <row r="59" customFormat="false" ht="15" hidden="false" customHeight="false" outlineLevel="0" collapsed="false">
      <c r="A59" s="31"/>
      <c r="B59" s="13"/>
      <c r="C59" s="13"/>
      <c r="D59" s="32"/>
      <c r="E59" s="32"/>
      <c r="F59" s="14"/>
      <c r="G59" s="23"/>
      <c r="H59" s="16" t="str">
        <f aca="false">IF(F59="","",IF(G59&lt;&gt;"",G59,IF(E59="JPY",IF(ISNUMBER($L$1),ROUND(F59/$L$1,2),"レート未入力"),F59)))</f>
        <v/>
      </c>
      <c r="I59" s="33"/>
      <c r="J59" s="16" t="str">
        <f aca="false">IF(ISNUMBER(H59),ROUND(H59*IF(I59="",1,I59),2),"")</f>
        <v/>
      </c>
      <c r="K59" s="35"/>
      <c r="L59" s="22" t="str">
        <f aca="false">IF(A59="","",IF(A59&lt;DATE(2025,4,6),"2024/25",IF(A59&lt;DATE(2026,4,6),"2025/26",IF(A59&lt;DATE(2027,4,6),"2026/27","2027/28"))))</f>
        <v/>
      </c>
      <c r="N59" s="13"/>
    </row>
    <row r="60" customFormat="false" ht="15" hidden="false" customHeight="false" outlineLevel="0" collapsed="false">
      <c r="A60" s="31"/>
      <c r="B60" s="13"/>
      <c r="C60" s="13"/>
      <c r="D60" s="32"/>
      <c r="E60" s="32"/>
      <c r="F60" s="14"/>
      <c r="G60" s="23"/>
      <c r="H60" s="16" t="str">
        <f aca="false">IF(F60="","",IF(G60&lt;&gt;"",G60,IF(E60="JPY",IF(ISNUMBER($L$1),ROUND(F60/$L$1,2),"レート未入力"),F60)))</f>
        <v/>
      </c>
      <c r="I60" s="33"/>
      <c r="J60" s="16" t="str">
        <f aca="false">IF(ISNUMBER(H60),ROUND(H60*IF(I60="",1,I60),2),"")</f>
        <v/>
      </c>
      <c r="K60" s="35"/>
      <c r="L60" s="22" t="str">
        <f aca="false">IF(A60="","",IF(A60&lt;DATE(2025,4,6),"2024/25",IF(A60&lt;DATE(2026,4,6),"2025/26",IF(A60&lt;DATE(2027,4,6),"2026/27","2027/28"))))</f>
        <v/>
      </c>
      <c r="N60" s="13"/>
    </row>
    <row r="61" customFormat="false" ht="15" hidden="false" customHeight="false" outlineLevel="0" collapsed="false">
      <c r="A61" s="31"/>
      <c r="B61" s="13"/>
      <c r="C61" s="13"/>
      <c r="D61" s="32"/>
      <c r="E61" s="32"/>
      <c r="F61" s="14"/>
      <c r="G61" s="23"/>
      <c r="H61" s="16" t="str">
        <f aca="false">IF(F61="","",IF(G61&lt;&gt;"",G61,IF(E61="JPY",IF(ISNUMBER($L$1),ROUND(F61/$L$1,2),"レート未入力"),F61)))</f>
        <v/>
      </c>
      <c r="I61" s="33"/>
      <c r="J61" s="16" t="str">
        <f aca="false">IF(ISNUMBER(H61),ROUND(H61*IF(I61="",1,I61),2),"")</f>
        <v/>
      </c>
      <c r="K61" s="35"/>
      <c r="L61" s="22" t="str">
        <f aca="false">IF(A61="","",IF(A61&lt;DATE(2025,4,6),"2024/25",IF(A61&lt;DATE(2026,4,6),"2025/26",IF(A61&lt;DATE(2027,4,6),"2026/27","2027/28"))))</f>
        <v/>
      </c>
      <c r="N61" s="13"/>
    </row>
    <row r="62" customFormat="false" ht="15" hidden="false" customHeight="false" outlineLevel="0" collapsed="false">
      <c r="A62" s="31"/>
      <c r="B62" s="13"/>
      <c r="C62" s="13"/>
      <c r="D62" s="32"/>
      <c r="E62" s="32"/>
      <c r="F62" s="14"/>
      <c r="G62" s="23"/>
      <c r="H62" s="16" t="str">
        <f aca="false">IF(F62="","",IF(G62&lt;&gt;"",G62,IF(E62="JPY",IF(ISNUMBER($L$1),ROUND(F62/$L$1,2),"レート未入力"),F62)))</f>
        <v/>
      </c>
      <c r="I62" s="33"/>
      <c r="J62" s="16" t="str">
        <f aca="false">IF(ISNUMBER(H62),ROUND(H62*IF(I62="",1,I62),2),"")</f>
        <v/>
      </c>
      <c r="K62" s="35"/>
      <c r="L62" s="22" t="str">
        <f aca="false">IF(A62="","",IF(A62&lt;DATE(2025,4,6),"2024/25",IF(A62&lt;DATE(2026,4,6),"2025/26",IF(A62&lt;DATE(2027,4,6),"2026/27","2027/28"))))</f>
        <v/>
      </c>
      <c r="N62" s="13"/>
    </row>
    <row r="63" customFormat="false" ht="15" hidden="false" customHeight="false" outlineLevel="0" collapsed="false">
      <c r="A63" s="31"/>
      <c r="B63" s="13"/>
      <c r="C63" s="13"/>
      <c r="D63" s="32"/>
      <c r="E63" s="32"/>
      <c r="F63" s="14"/>
      <c r="G63" s="23"/>
      <c r="H63" s="16" t="str">
        <f aca="false">IF(F63="","",IF(G63&lt;&gt;"",G63,IF(E63="JPY",IF(ISNUMBER($L$1),ROUND(F63/$L$1,2),"レート未入力"),F63)))</f>
        <v/>
      </c>
      <c r="I63" s="33"/>
      <c r="J63" s="16" t="str">
        <f aca="false">IF(ISNUMBER(H63),ROUND(H63*IF(I63="",1,I63),2),"")</f>
        <v/>
      </c>
      <c r="K63" s="35"/>
      <c r="L63" s="22" t="str">
        <f aca="false">IF(A63="","",IF(A63&lt;DATE(2025,4,6),"2024/25",IF(A63&lt;DATE(2026,4,6),"2025/26",IF(A63&lt;DATE(2027,4,6),"2026/27","2027/28"))))</f>
        <v/>
      </c>
      <c r="N63" s="13"/>
    </row>
    <row r="64" customFormat="false" ht="15" hidden="false" customHeight="false" outlineLevel="0" collapsed="false">
      <c r="A64" s="31"/>
      <c r="B64" s="13"/>
      <c r="C64" s="13"/>
      <c r="D64" s="32"/>
      <c r="E64" s="32"/>
      <c r="F64" s="14"/>
      <c r="G64" s="23"/>
      <c r="H64" s="16" t="str">
        <f aca="false">IF(F64="","",IF(G64&lt;&gt;"",G64,IF(E64="JPY",IF(ISNUMBER($L$1),ROUND(F64/$L$1,2),"レート未入力"),F64)))</f>
        <v/>
      </c>
      <c r="I64" s="33"/>
      <c r="J64" s="16" t="str">
        <f aca="false">IF(ISNUMBER(H64),ROUND(H64*IF(I64="",1,I64),2),"")</f>
        <v/>
      </c>
      <c r="K64" s="35"/>
      <c r="L64" s="22" t="str">
        <f aca="false">IF(A64="","",IF(A64&lt;DATE(2025,4,6),"2024/25",IF(A64&lt;DATE(2026,4,6),"2025/26",IF(A64&lt;DATE(2027,4,6),"2026/27","2027/28"))))</f>
        <v/>
      </c>
      <c r="N64" s="13"/>
    </row>
    <row r="65" customFormat="false" ht="15" hidden="false" customHeight="false" outlineLevel="0" collapsed="false">
      <c r="A65" s="31"/>
      <c r="B65" s="13"/>
      <c r="C65" s="13"/>
      <c r="D65" s="32"/>
      <c r="E65" s="32"/>
      <c r="F65" s="14"/>
      <c r="G65" s="23"/>
      <c r="H65" s="16" t="str">
        <f aca="false">IF(F65="","",IF(G65&lt;&gt;"",G65,IF(E65="JPY",IF(ISNUMBER($L$1),ROUND(F65/$L$1,2),"レート未入力"),F65)))</f>
        <v/>
      </c>
      <c r="I65" s="33"/>
      <c r="J65" s="16" t="str">
        <f aca="false">IF(ISNUMBER(H65),ROUND(H65*IF(I65="",1,I65),2),"")</f>
        <v/>
      </c>
      <c r="K65" s="35"/>
      <c r="L65" s="22" t="str">
        <f aca="false">IF(A65="","",IF(A65&lt;DATE(2025,4,6),"2024/25",IF(A65&lt;DATE(2026,4,6),"2025/26",IF(A65&lt;DATE(2027,4,6),"2026/27","2027/28"))))</f>
        <v/>
      </c>
      <c r="N65" s="13"/>
    </row>
    <row r="66" customFormat="false" ht="15" hidden="false" customHeight="false" outlineLevel="0" collapsed="false">
      <c r="A66" s="31"/>
      <c r="B66" s="13"/>
      <c r="C66" s="13"/>
      <c r="D66" s="32"/>
      <c r="E66" s="32"/>
      <c r="F66" s="14"/>
      <c r="G66" s="23"/>
      <c r="H66" s="16" t="str">
        <f aca="false">IF(F66="","",IF(G66&lt;&gt;"",G66,IF(E66="JPY",IF(ISNUMBER($L$1),ROUND(F66/$L$1,2),"レート未入力"),F66)))</f>
        <v/>
      </c>
      <c r="I66" s="33"/>
      <c r="J66" s="16" t="str">
        <f aca="false">IF(ISNUMBER(H66),ROUND(H66*IF(I66="",1,I66),2),"")</f>
        <v/>
      </c>
      <c r="K66" s="35"/>
      <c r="L66" s="22" t="str">
        <f aca="false">IF(A66="","",IF(A66&lt;DATE(2025,4,6),"2024/25",IF(A66&lt;DATE(2026,4,6),"2025/26",IF(A66&lt;DATE(2027,4,6),"2026/27","2027/28"))))</f>
        <v/>
      </c>
      <c r="N66" s="13"/>
    </row>
    <row r="67" customFormat="false" ht="15" hidden="false" customHeight="false" outlineLevel="0" collapsed="false">
      <c r="A67" s="31"/>
      <c r="B67" s="13"/>
      <c r="C67" s="13"/>
      <c r="D67" s="32"/>
      <c r="E67" s="32"/>
      <c r="F67" s="14"/>
      <c r="G67" s="23"/>
      <c r="H67" s="16" t="str">
        <f aca="false">IF(F67="","",IF(G67&lt;&gt;"",G67,IF(E67="JPY",IF(ISNUMBER($L$1),ROUND(F67/$L$1,2),"レート未入力"),F67)))</f>
        <v/>
      </c>
      <c r="I67" s="33"/>
      <c r="J67" s="16" t="str">
        <f aca="false">IF(ISNUMBER(H67),ROUND(H67*IF(I67="",1,I67),2),"")</f>
        <v/>
      </c>
      <c r="K67" s="35"/>
      <c r="L67" s="22" t="str">
        <f aca="false">IF(A67="","",IF(A67&lt;DATE(2025,4,6),"2024/25",IF(A67&lt;DATE(2026,4,6),"2025/26",IF(A67&lt;DATE(2027,4,6),"2026/27","2027/28"))))</f>
        <v/>
      </c>
      <c r="N67" s="13"/>
    </row>
    <row r="68" customFormat="false" ht="15" hidden="false" customHeight="false" outlineLevel="0" collapsed="false">
      <c r="A68" s="31"/>
      <c r="B68" s="13"/>
      <c r="C68" s="13"/>
      <c r="D68" s="32"/>
      <c r="E68" s="32"/>
      <c r="F68" s="14"/>
      <c r="G68" s="23"/>
      <c r="H68" s="16" t="str">
        <f aca="false">IF(F68="","",IF(G68&lt;&gt;"",G68,IF(E68="JPY",IF(ISNUMBER($L$1),ROUND(F68/$L$1,2),"レート未入力"),F68)))</f>
        <v/>
      </c>
      <c r="I68" s="33"/>
      <c r="J68" s="16" t="str">
        <f aca="false">IF(ISNUMBER(H68),ROUND(H68*IF(I68="",1,I68),2),"")</f>
        <v/>
      </c>
      <c r="K68" s="35"/>
      <c r="L68" s="22" t="str">
        <f aca="false">IF(A68="","",IF(A68&lt;DATE(2025,4,6),"2024/25",IF(A68&lt;DATE(2026,4,6),"2025/26",IF(A68&lt;DATE(2027,4,6),"2026/27","2027/28"))))</f>
        <v/>
      </c>
      <c r="N68" s="13"/>
    </row>
    <row r="69" customFormat="false" ht="15" hidden="false" customHeight="false" outlineLevel="0" collapsed="false">
      <c r="A69" s="31"/>
      <c r="B69" s="13"/>
      <c r="C69" s="13"/>
      <c r="D69" s="32"/>
      <c r="E69" s="32"/>
      <c r="F69" s="14"/>
      <c r="G69" s="23"/>
      <c r="H69" s="16" t="str">
        <f aca="false">IF(F69="","",IF(G69&lt;&gt;"",G69,IF(E69="JPY",IF(ISNUMBER($L$1),ROUND(F69/$L$1,2),"レート未入力"),F69)))</f>
        <v/>
      </c>
      <c r="I69" s="33"/>
      <c r="J69" s="16" t="str">
        <f aca="false">IF(ISNUMBER(H69),ROUND(H69*IF(I69="",1,I69),2),"")</f>
        <v/>
      </c>
      <c r="K69" s="35"/>
      <c r="L69" s="22" t="str">
        <f aca="false">IF(A69="","",IF(A69&lt;DATE(2025,4,6),"2024/25",IF(A69&lt;DATE(2026,4,6),"2025/26",IF(A69&lt;DATE(2027,4,6),"2026/27","2027/28"))))</f>
        <v/>
      </c>
      <c r="N69" s="13"/>
    </row>
    <row r="70" customFormat="false" ht="15" hidden="false" customHeight="false" outlineLevel="0" collapsed="false">
      <c r="A70" s="3" t="s">
        <v>196</v>
      </c>
      <c r="J70" s="18" t="n">
        <f aca="false">SUM(J30:J69)</f>
        <v>0</v>
      </c>
    </row>
    <row r="72" customFormat="false" ht="15" hidden="false" customHeight="false" outlineLevel="0" collapsed="false">
      <c r="A72" s="26" t="s">
        <v>197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customFormat="false" ht="15" hidden="false" customHeight="false" outlineLevel="0" collapsed="false">
      <c r="A73" s="17" t="s">
        <v>137</v>
      </c>
      <c r="D73" s="36" t="s">
        <v>16</v>
      </c>
      <c r="E73" s="36" t="s">
        <v>18</v>
      </c>
      <c r="F73" s="36"/>
    </row>
    <row r="74" customFormat="false" ht="15" hidden="false" customHeight="false" outlineLevel="0" collapsed="false">
      <c r="A74" s="17" t="s">
        <v>183</v>
      </c>
      <c r="D74" s="18" t="n">
        <f aca="false">SUMIFS($H$6:$H$25,$J$6:$J$25,"2025/26")</f>
        <v>0</v>
      </c>
      <c r="E74" s="18" t="n">
        <f aca="false">SUMIFS($H$6:$H$25,$J$6:$J$25,"2026/27")</f>
        <v>0</v>
      </c>
      <c r="F74" s="18"/>
    </row>
    <row r="75" customFormat="false" ht="15" hidden="false" customHeight="false" outlineLevel="0" collapsed="false">
      <c r="A75" s="21" t="s">
        <v>41</v>
      </c>
      <c r="D75" s="16" t="n">
        <f aca="false">SUMIFS($J$30:$J$69,$D$30:$D$69,$A75,$L$30:$L$69,"2025/26")</f>
        <v>0</v>
      </c>
      <c r="E75" s="16" t="n">
        <f aca="false">SUMIFS($J$30:$J$69,$D$30:$D$69,$A75,$L$30:$L$69,"2026/27")</f>
        <v>0</v>
      </c>
      <c r="F75" s="16"/>
    </row>
    <row r="76" customFormat="false" ht="15" hidden="false" customHeight="false" outlineLevel="0" collapsed="false">
      <c r="A76" s="21" t="s">
        <v>43</v>
      </c>
      <c r="D76" s="16" t="n">
        <f aca="false">SUMIFS($J$30:$J$69,$D$30:$D$69,$A76,$L$30:$L$69,"2025/26")</f>
        <v>0</v>
      </c>
      <c r="E76" s="16" t="n">
        <f aca="false">SUMIFS($J$30:$J$69,$D$30:$D$69,$A76,$L$30:$L$69,"2026/27")</f>
        <v>0</v>
      </c>
      <c r="F76" s="16"/>
    </row>
    <row r="77" customFormat="false" ht="15" hidden="false" customHeight="false" outlineLevel="0" collapsed="false">
      <c r="A77" s="21" t="s">
        <v>45</v>
      </c>
      <c r="D77" s="16" t="n">
        <f aca="false">SUMIFS($J$30:$J$69,$D$30:$D$69,$A77,$L$30:$L$69,"2025/26")</f>
        <v>0</v>
      </c>
      <c r="E77" s="16" t="n">
        <f aca="false">SUMIFS($J$30:$J$69,$D$30:$D$69,$A77,$L$30:$L$69,"2026/27")</f>
        <v>0</v>
      </c>
      <c r="F77" s="16"/>
    </row>
    <row r="78" customFormat="false" ht="15" hidden="false" customHeight="false" outlineLevel="0" collapsed="false">
      <c r="A78" s="21" t="s">
        <v>47</v>
      </c>
      <c r="D78" s="16" t="n">
        <f aca="false">SUMIFS($J$30:$J$69,$D$30:$D$69,$A78,$L$30:$L$69,"2025/26")</f>
        <v>0</v>
      </c>
      <c r="E78" s="16" t="n">
        <f aca="false">SUMIFS($J$30:$J$69,$D$30:$D$69,$A78,$L$30:$L$69,"2026/27")</f>
        <v>0</v>
      </c>
      <c r="F78" s="16"/>
    </row>
    <row r="79" customFormat="false" ht="15" hidden="false" customHeight="false" outlineLevel="0" collapsed="false">
      <c r="A79" s="21" t="s">
        <v>49</v>
      </c>
      <c r="D79" s="16" t="n">
        <f aca="false">SUMIFS($J$30:$J$69,$D$30:$D$69,$A79,$L$30:$L$69,"2025/26")</f>
        <v>0</v>
      </c>
      <c r="E79" s="16" t="n">
        <f aca="false">SUMIFS($J$30:$J$69,$D$30:$D$69,$A79,$L$30:$L$69,"2026/27")</f>
        <v>0</v>
      </c>
      <c r="F79" s="16"/>
    </row>
    <row r="80" customFormat="false" ht="15" hidden="false" customHeight="false" outlineLevel="0" collapsed="false">
      <c r="A80" s="21" t="s">
        <v>51</v>
      </c>
      <c r="D80" s="16" t="n">
        <f aca="false">SUMIFS($J$30:$J$69,$D$30:$D$69,$A80,$L$30:$L$69,"2025/26")</f>
        <v>0</v>
      </c>
      <c r="E80" s="16" t="n">
        <f aca="false">SUMIFS($J$30:$J$69,$D$30:$D$69,$A80,$L$30:$L$69,"2026/27")</f>
        <v>0</v>
      </c>
      <c r="F80" s="16"/>
    </row>
    <row r="81" customFormat="false" ht="15" hidden="false" customHeight="false" outlineLevel="0" collapsed="false">
      <c r="A81" s="21" t="s">
        <v>53</v>
      </c>
      <c r="D81" s="16" t="n">
        <f aca="false">SUMIFS($J$30:$J$69,$D$30:$D$69,$A81,$L$30:$L$69,"2025/26")</f>
        <v>0</v>
      </c>
      <c r="E81" s="16" t="n">
        <f aca="false">SUMIFS($J$30:$J$69,$D$30:$D$69,$A81,$L$30:$L$69,"2026/27")</f>
        <v>0</v>
      </c>
      <c r="F81" s="16"/>
    </row>
    <row r="82" customFormat="false" ht="15" hidden="false" customHeight="false" outlineLevel="0" collapsed="false">
      <c r="A82" s="21" t="s">
        <v>55</v>
      </c>
      <c r="D82" s="16" t="n">
        <f aca="false">SUMIFS($J$30:$J$69,$D$30:$D$69,$A82,$L$30:$L$69,"2025/26")</f>
        <v>0</v>
      </c>
      <c r="E82" s="16" t="n">
        <f aca="false">SUMIFS($J$30:$J$69,$D$30:$D$69,$A82,$L$30:$L$69,"2026/27")</f>
        <v>0</v>
      </c>
      <c r="F82" s="16"/>
    </row>
    <row r="83" customFormat="false" ht="15" hidden="false" customHeight="false" outlineLevel="0" collapsed="false">
      <c r="A83" s="21" t="s">
        <v>57</v>
      </c>
      <c r="D83" s="16" t="n">
        <f aca="false">SUMIFS($J$30:$J$69,$D$30:$D$69,$A83,$L$30:$L$69,"2025/26")</f>
        <v>0</v>
      </c>
      <c r="E83" s="16" t="n">
        <f aca="false">SUMIFS($J$30:$J$69,$D$30:$D$69,$A83,$L$30:$L$69,"2026/27")</f>
        <v>0</v>
      </c>
      <c r="F83" s="16"/>
    </row>
    <row r="84" customFormat="false" ht="15" hidden="false" customHeight="false" outlineLevel="0" collapsed="false">
      <c r="A84" s="21" t="s">
        <v>59</v>
      </c>
      <c r="D84" s="16" t="n">
        <f aca="false">SUMIFS($J$30:$J$69,$D$30:$D$69,$A84,$L$30:$L$69,"2025/26")</f>
        <v>0</v>
      </c>
      <c r="E84" s="16" t="n">
        <f aca="false">SUMIFS($J$30:$J$69,$D$30:$D$69,$A84,$L$30:$L$69,"2026/27")</f>
        <v>0</v>
      </c>
      <c r="F84" s="16"/>
    </row>
    <row r="85" customFormat="false" ht="15" hidden="false" customHeight="false" outlineLevel="0" collapsed="false">
      <c r="A85" s="21" t="s">
        <v>61</v>
      </c>
      <c r="D85" s="16" t="n">
        <f aca="false">SUMIFS($J$30:$J$69,$D$30:$D$69,$A85,$L$30:$L$69,"2025/26")</f>
        <v>0</v>
      </c>
      <c r="E85" s="16" t="n">
        <f aca="false">SUMIFS($J$30:$J$69,$D$30:$D$69,$A85,$L$30:$L$69,"2026/27")</f>
        <v>0</v>
      </c>
      <c r="F85" s="16"/>
    </row>
    <row r="86" customFormat="false" ht="15" hidden="false" customHeight="false" outlineLevel="0" collapsed="false">
      <c r="A86" s="21" t="s">
        <v>63</v>
      </c>
      <c r="D86" s="16" t="n">
        <f aca="false">SUMIFS($J$30:$J$69,$D$30:$D$69,$A86,$L$30:$L$69,"2025/26")</f>
        <v>0</v>
      </c>
      <c r="E86" s="16" t="n">
        <f aca="false">SUMIFS($J$30:$J$69,$D$30:$D$69,$A86,$L$30:$L$69,"2026/27")</f>
        <v>0</v>
      </c>
      <c r="F86" s="16"/>
    </row>
    <row r="87" customFormat="false" ht="15" hidden="false" customHeight="false" outlineLevel="0" collapsed="false">
      <c r="A87" s="21" t="s">
        <v>64</v>
      </c>
      <c r="D87" s="16" t="n">
        <f aca="false">SUMIFS($J$30:$J$69,$D$30:$D$69,$A87,$L$30:$L$69,"2025/26")</f>
        <v>0</v>
      </c>
      <c r="E87" s="16" t="n">
        <f aca="false">SUMIFS($J$30:$J$69,$D$30:$D$69,$A87,$L$30:$L$69,"2026/27")</f>
        <v>0</v>
      </c>
      <c r="F87" s="16"/>
    </row>
    <row r="88" customFormat="false" ht="15" hidden="false" customHeight="false" outlineLevel="0" collapsed="false">
      <c r="A88" s="17" t="s">
        <v>198</v>
      </c>
      <c r="D88" s="18" t="n">
        <f aca="false">SUM(D75:D86)</f>
        <v>0</v>
      </c>
      <c r="E88" s="18" t="n">
        <f aca="false">SUM(E75:E86)</f>
        <v>0</v>
      </c>
      <c r="F88" s="18"/>
    </row>
    <row r="89" customFormat="false" ht="15" hidden="false" customHeight="false" outlineLevel="0" collapsed="false">
      <c r="A89" s="17" t="s">
        <v>199</v>
      </c>
      <c r="D89" s="18" t="n">
        <f aca="false">D74-D88-D87</f>
        <v>0</v>
      </c>
      <c r="E89" s="18" t="n">
        <f aca="false">E74-E88-E87</f>
        <v>0</v>
      </c>
      <c r="F89" s="18"/>
    </row>
    <row r="90" customFormat="false" ht="15" hidden="false" customHeight="false" outlineLevel="0" collapsed="false">
      <c r="A90" s="37" t="s">
        <v>200</v>
      </c>
    </row>
    <row r="91" customFormat="false" ht="15" hidden="false" customHeight="false" outlineLevel="0" collapsed="false">
      <c r="A91" s="21" t="s">
        <v>201</v>
      </c>
      <c r="D91" s="16" t="n">
        <f aca="false">SUMIFS($J$30:$J$69,$D$30:$D$69,"")</f>
        <v>0</v>
      </c>
    </row>
  </sheetData>
  <mergeCells count="17"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</mergeCells>
  <dataValidations count="5">
    <dataValidation allowBlank="true" error="0%〜100%で入力してください" errorStyle="stop" operator="between" showDropDown="false" showErrorMessage="true" showInputMessage="false" sqref="I30:I69" type="decimal">
      <formula1>0</formula1>
      <formula2>1</formula2>
    </dataValidation>
    <dataValidation allowBlank="true" errorStyle="stop" operator="between" showDropDown="false" showErrorMessage="false" showInputMessage="false" sqref="E6:E25 E30:E69" type="list">
      <formula1>_list!$B$1:$B$2</formula1>
      <formula2>0</formula2>
    </dataValidation>
    <dataValidation allowBlank="true" errorStyle="stop" operator="between" showDropDown="false" showErrorMessage="false" showInputMessage="false" sqref="D30:D69" type="list">
      <formula1>_list!$A$1:$A$13</formula1>
      <formula2>0</formula2>
    </dataValidation>
    <dataValidation allowBlank="true" errorStyle="stop" operator="between" showDropDown="false" showErrorMessage="false" showInputMessage="false" sqref="D6:D25" type="list">
      <formula1>_list!$C$1:$C$7</formula1>
      <formula2>0</formula2>
    </dataValidation>
    <dataValidation allowBlank="true" error="日付で入力してください（例：2025/5/2）" errorStyle="stop" operator="between" showDropDown="false" showErrorMessage="true" showInputMessage="false" sqref="A6:A25 A30:A69" type="date">
      <formula1>DATE(2025,4,1)</formula1>
      <formula2>DATE(2027,12,31)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24"/>
  </cols>
  <sheetData>
    <row r="1" customFormat="false" ht="19.4" hidden="false" customHeight="false" outlineLevel="0" collapsed="false">
      <c r="A1" s="1" t="s">
        <v>207</v>
      </c>
      <c r="J1" s="3" t="s">
        <v>164</v>
      </c>
      <c r="L1" s="25" t="str">
        <f aca="false">IF(為替レート!$B$11="","未入力",為替レート!$B$11)</f>
        <v>未入力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26" t="s">
        <v>166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customFormat="false" ht="30" hidden="false" customHeight="true" outlineLevel="0" collapsed="false">
      <c r="A5" s="9" t="s">
        <v>167</v>
      </c>
      <c r="B5" s="9" t="s">
        <v>168</v>
      </c>
      <c r="C5" s="9" t="s">
        <v>169</v>
      </c>
      <c r="D5" s="9" t="s">
        <v>170</v>
      </c>
      <c r="E5" s="9" t="s">
        <v>171</v>
      </c>
      <c r="F5" s="9" t="s">
        <v>172</v>
      </c>
      <c r="G5" s="9" t="s">
        <v>173</v>
      </c>
      <c r="H5" s="9" t="s">
        <v>174</v>
      </c>
      <c r="I5" s="9" t="s">
        <v>175</v>
      </c>
      <c r="J5" s="9" t="s">
        <v>176</v>
      </c>
      <c r="K5" s="9"/>
      <c r="L5" s="9"/>
      <c r="M5" s="9"/>
      <c r="N5" s="9" t="s">
        <v>177</v>
      </c>
    </row>
    <row r="6" customFormat="false" ht="15" hidden="false" customHeight="false" outlineLevel="0" collapsed="false">
      <c r="A6" s="31"/>
      <c r="B6" s="13"/>
      <c r="C6" s="13"/>
      <c r="D6" s="32"/>
      <c r="E6" s="32"/>
      <c r="F6" s="14"/>
      <c r="G6" s="23"/>
      <c r="H6" s="16" t="str">
        <f aca="false">IF(F6="","",IF(G6&lt;&gt;"",G6,IF(E6="JPY",IF(ISNUMBER($L$1),ROUND(F6/$L$1,2),"レート未入力"),F6)))</f>
        <v/>
      </c>
      <c r="I6" s="13"/>
      <c r="J6" s="22" t="str">
        <f aca="false">IF(A6="","",IF(A6&lt;DATE(2025,4,6),"2024/25",IF(A6&lt;DATE(2026,4,6),"2025/26",IF(A6&lt;DATE(2027,4,6),"2026/27","2027/28"))))</f>
        <v/>
      </c>
      <c r="N6" s="13"/>
    </row>
    <row r="7" customFormat="false" ht="15" hidden="false" customHeight="false" outlineLevel="0" collapsed="false">
      <c r="A7" s="31"/>
      <c r="B7" s="13"/>
      <c r="C7" s="13"/>
      <c r="D7" s="32"/>
      <c r="E7" s="32"/>
      <c r="F7" s="14"/>
      <c r="G7" s="23"/>
      <c r="H7" s="16" t="str">
        <f aca="false">IF(F7="","",IF(G7&lt;&gt;"",G7,IF(E7="JPY",IF(ISNUMBER($L$1),ROUND(F7/$L$1,2),"レート未入力"),F7)))</f>
        <v/>
      </c>
      <c r="I7" s="13"/>
      <c r="J7" s="22" t="str">
        <f aca="false">IF(A7="","",IF(A7&lt;DATE(2025,4,6),"2024/25",IF(A7&lt;DATE(2026,4,6),"2025/26",IF(A7&lt;DATE(2027,4,6),"2026/27","2027/28"))))</f>
        <v/>
      </c>
      <c r="N7" s="13"/>
    </row>
    <row r="8" customFormat="false" ht="15" hidden="false" customHeight="false" outlineLevel="0" collapsed="false">
      <c r="A8" s="31"/>
      <c r="B8" s="13"/>
      <c r="C8" s="13"/>
      <c r="D8" s="32"/>
      <c r="E8" s="32"/>
      <c r="F8" s="14"/>
      <c r="G8" s="23"/>
      <c r="H8" s="16" t="str">
        <f aca="false">IF(F8="","",IF(G8&lt;&gt;"",G8,IF(E8="JPY",IF(ISNUMBER($L$1),ROUND(F8/$L$1,2),"レート未入力"),F8)))</f>
        <v/>
      </c>
      <c r="I8" s="13"/>
      <c r="J8" s="22" t="str">
        <f aca="false">IF(A8="","",IF(A8&lt;DATE(2025,4,6),"2024/25",IF(A8&lt;DATE(2026,4,6),"2025/26",IF(A8&lt;DATE(2027,4,6),"2026/27","2027/28"))))</f>
        <v/>
      </c>
      <c r="N8" s="13"/>
    </row>
    <row r="9" customFormat="false" ht="15" hidden="false" customHeight="false" outlineLevel="0" collapsed="false">
      <c r="A9" s="31"/>
      <c r="B9" s="13"/>
      <c r="C9" s="13"/>
      <c r="D9" s="32"/>
      <c r="E9" s="32"/>
      <c r="F9" s="14"/>
      <c r="G9" s="23"/>
      <c r="H9" s="16" t="str">
        <f aca="false">IF(F9="","",IF(G9&lt;&gt;"",G9,IF(E9="JPY",IF(ISNUMBER($L$1),ROUND(F9/$L$1,2),"レート未入力"),F9)))</f>
        <v/>
      </c>
      <c r="I9" s="13"/>
      <c r="J9" s="22" t="str">
        <f aca="false">IF(A9="","",IF(A9&lt;DATE(2025,4,6),"2024/25",IF(A9&lt;DATE(2026,4,6),"2025/26",IF(A9&lt;DATE(2027,4,6),"2026/27","2027/28"))))</f>
        <v/>
      </c>
      <c r="N9" s="13"/>
    </row>
    <row r="10" customFormat="false" ht="15" hidden="false" customHeight="false" outlineLevel="0" collapsed="false">
      <c r="A10" s="31"/>
      <c r="B10" s="13"/>
      <c r="C10" s="13"/>
      <c r="D10" s="32"/>
      <c r="E10" s="32"/>
      <c r="F10" s="14"/>
      <c r="G10" s="23"/>
      <c r="H10" s="16" t="str">
        <f aca="false">IF(F10="","",IF(G10&lt;&gt;"",G10,IF(E10="JPY",IF(ISNUMBER($L$1),ROUND(F10/$L$1,2),"レート未入力"),F10)))</f>
        <v/>
      </c>
      <c r="I10" s="13"/>
      <c r="J10" s="22" t="str">
        <f aca="false">IF(A10="","",IF(A10&lt;DATE(2025,4,6),"2024/25",IF(A10&lt;DATE(2026,4,6),"2025/26",IF(A10&lt;DATE(2027,4,6),"2026/27","2027/28"))))</f>
        <v/>
      </c>
      <c r="N10" s="13"/>
    </row>
    <row r="11" customFormat="false" ht="15" hidden="false" customHeight="false" outlineLevel="0" collapsed="false">
      <c r="A11" s="31"/>
      <c r="B11" s="13"/>
      <c r="C11" s="13"/>
      <c r="D11" s="32"/>
      <c r="E11" s="32"/>
      <c r="F11" s="14"/>
      <c r="G11" s="23"/>
      <c r="H11" s="16" t="str">
        <f aca="false">IF(F11="","",IF(G11&lt;&gt;"",G11,IF(E11="JPY",IF(ISNUMBER($L$1),ROUND(F11/$L$1,2),"レート未入力"),F11)))</f>
        <v/>
      </c>
      <c r="I11" s="13"/>
      <c r="J11" s="22" t="str">
        <f aca="false">IF(A11="","",IF(A11&lt;DATE(2025,4,6),"2024/25",IF(A11&lt;DATE(2026,4,6),"2025/26",IF(A11&lt;DATE(2027,4,6),"2026/27","2027/28"))))</f>
        <v/>
      </c>
      <c r="N11" s="13"/>
    </row>
    <row r="12" customFormat="false" ht="15" hidden="false" customHeight="false" outlineLevel="0" collapsed="false">
      <c r="A12" s="31"/>
      <c r="B12" s="13"/>
      <c r="C12" s="13"/>
      <c r="D12" s="32"/>
      <c r="E12" s="32"/>
      <c r="F12" s="14"/>
      <c r="G12" s="23"/>
      <c r="H12" s="16" t="str">
        <f aca="false">IF(F12="","",IF(G12&lt;&gt;"",G12,IF(E12="JPY",IF(ISNUMBER($L$1),ROUND(F12/$L$1,2),"レート未入力"),F12)))</f>
        <v/>
      </c>
      <c r="I12" s="13"/>
      <c r="J12" s="22" t="str">
        <f aca="false">IF(A12="","",IF(A12&lt;DATE(2025,4,6),"2024/25",IF(A12&lt;DATE(2026,4,6),"2025/26",IF(A12&lt;DATE(2027,4,6),"2026/27","2027/28"))))</f>
        <v/>
      </c>
      <c r="N12" s="13"/>
    </row>
    <row r="13" customFormat="false" ht="15" hidden="false" customHeight="false" outlineLevel="0" collapsed="false">
      <c r="A13" s="31"/>
      <c r="B13" s="13"/>
      <c r="C13" s="13"/>
      <c r="D13" s="32"/>
      <c r="E13" s="32"/>
      <c r="F13" s="14"/>
      <c r="G13" s="23"/>
      <c r="H13" s="16" t="str">
        <f aca="false">IF(F13="","",IF(G13&lt;&gt;"",G13,IF(E13="JPY",IF(ISNUMBER($L$1),ROUND(F13/$L$1,2),"レート未入力"),F13)))</f>
        <v/>
      </c>
      <c r="I13" s="13"/>
      <c r="J13" s="22" t="str">
        <f aca="false">IF(A13="","",IF(A13&lt;DATE(2025,4,6),"2024/25",IF(A13&lt;DATE(2026,4,6),"2025/26",IF(A13&lt;DATE(2027,4,6),"2026/27","2027/28"))))</f>
        <v/>
      </c>
      <c r="N13" s="13"/>
    </row>
    <row r="14" customFormat="false" ht="15" hidden="false" customHeight="false" outlineLevel="0" collapsed="false">
      <c r="A14" s="31"/>
      <c r="B14" s="13"/>
      <c r="C14" s="13"/>
      <c r="D14" s="32"/>
      <c r="E14" s="32"/>
      <c r="F14" s="14"/>
      <c r="G14" s="23"/>
      <c r="H14" s="16" t="str">
        <f aca="false">IF(F14="","",IF(G14&lt;&gt;"",G14,IF(E14="JPY",IF(ISNUMBER($L$1),ROUND(F14/$L$1,2),"レート未入力"),F14)))</f>
        <v/>
      </c>
      <c r="I14" s="13"/>
      <c r="J14" s="22" t="str">
        <f aca="false">IF(A14="","",IF(A14&lt;DATE(2025,4,6),"2024/25",IF(A14&lt;DATE(2026,4,6),"2025/26",IF(A14&lt;DATE(2027,4,6),"2026/27","2027/28"))))</f>
        <v/>
      </c>
      <c r="N14" s="13"/>
    </row>
    <row r="15" customFormat="false" ht="15" hidden="false" customHeight="false" outlineLevel="0" collapsed="false">
      <c r="A15" s="31"/>
      <c r="B15" s="13"/>
      <c r="C15" s="13"/>
      <c r="D15" s="32"/>
      <c r="E15" s="32"/>
      <c r="F15" s="14"/>
      <c r="G15" s="23"/>
      <c r="H15" s="16" t="str">
        <f aca="false">IF(F15="","",IF(G15&lt;&gt;"",G15,IF(E15="JPY",IF(ISNUMBER($L$1),ROUND(F15/$L$1,2),"レート未入力"),F15)))</f>
        <v/>
      </c>
      <c r="I15" s="13"/>
      <c r="J15" s="22" t="str">
        <f aca="false">IF(A15="","",IF(A15&lt;DATE(2025,4,6),"2024/25",IF(A15&lt;DATE(2026,4,6),"2025/26",IF(A15&lt;DATE(2027,4,6),"2026/27","2027/28"))))</f>
        <v/>
      </c>
      <c r="N15" s="13"/>
    </row>
    <row r="16" customFormat="false" ht="15" hidden="false" customHeight="false" outlineLevel="0" collapsed="false">
      <c r="A16" s="31"/>
      <c r="B16" s="13"/>
      <c r="C16" s="13"/>
      <c r="D16" s="32"/>
      <c r="E16" s="32"/>
      <c r="F16" s="14"/>
      <c r="G16" s="23"/>
      <c r="H16" s="16" t="str">
        <f aca="false">IF(F16="","",IF(G16&lt;&gt;"",G16,IF(E16="JPY",IF(ISNUMBER($L$1),ROUND(F16/$L$1,2),"レート未入力"),F16)))</f>
        <v/>
      </c>
      <c r="I16" s="13"/>
      <c r="J16" s="22" t="str">
        <f aca="false">IF(A16="","",IF(A16&lt;DATE(2025,4,6),"2024/25",IF(A16&lt;DATE(2026,4,6),"2025/26",IF(A16&lt;DATE(2027,4,6),"2026/27","2027/28"))))</f>
        <v/>
      </c>
      <c r="N16" s="13"/>
    </row>
    <row r="17" customFormat="false" ht="15" hidden="false" customHeight="false" outlineLevel="0" collapsed="false">
      <c r="A17" s="31"/>
      <c r="B17" s="13"/>
      <c r="C17" s="13"/>
      <c r="D17" s="32"/>
      <c r="E17" s="32"/>
      <c r="F17" s="14"/>
      <c r="G17" s="23"/>
      <c r="H17" s="16" t="str">
        <f aca="false">IF(F17="","",IF(G17&lt;&gt;"",G17,IF(E17="JPY",IF(ISNUMBER($L$1),ROUND(F17/$L$1,2),"レート未入力"),F17)))</f>
        <v/>
      </c>
      <c r="I17" s="13"/>
      <c r="J17" s="22" t="str">
        <f aca="false">IF(A17="","",IF(A17&lt;DATE(2025,4,6),"2024/25",IF(A17&lt;DATE(2026,4,6),"2025/26",IF(A17&lt;DATE(2027,4,6),"2026/27","2027/28"))))</f>
        <v/>
      </c>
      <c r="N17" s="13"/>
    </row>
    <row r="18" customFormat="false" ht="15" hidden="false" customHeight="false" outlineLevel="0" collapsed="false">
      <c r="A18" s="31"/>
      <c r="B18" s="13"/>
      <c r="C18" s="13"/>
      <c r="D18" s="32"/>
      <c r="E18" s="32"/>
      <c r="F18" s="14"/>
      <c r="G18" s="23"/>
      <c r="H18" s="16" t="str">
        <f aca="false">IF(F18="","",IF(G18&lt;&gt;"",G18,IF(E18="JPY",IF(ISNUMBER($L$1),ROUND(F18/$L$1,2),"レート未入力"),F18)))</f>
        <v/>
      </c>
      <c r="I18" s="13"/>
      <c r="J18" s="22" t="str">
        <f aca="false">IF(A18="","",IF(A18&lt;DATE(2025,4,6),"2024/25",IF(A18&lt;DATE(2026,4,6),"2025/26",IF(A18&lt;DATE(2027,4,6),"2026/27","2027/28"))))</f>
        <v/>
      </c>
      <c r="N18" s="13"/>
    </row>
    <row r="19" customFormat="false" ht="15" hidden="false" customHeight="false" outlineLevel="0" collapsed="false">
      <c r="A19" s="31"/>
      <c r="B19" s="13"/>
      <c r="C19" s="13"/>
      <c r="D19" s="32"/>
      <c r="E19" s="32"/>
      <c r="F19" s="14"/>
      <c r="G19" s="23"/>
      <c r="H19" s="16" t="str">
        <f aca="false">IF(F19="","",IF(G19&lt;&gt;"",G19,IF(E19="JPY",IF(ISNUMBER($L$1),ROUND(F19/$L$1,2),"レート未入力"),F19)))</f>
        <v/>
      </c>
      <c r="I19" s="13"/>
      <c r="J19" s="22" t="str">
        <f aca="false">IF(A19="","",IF(A19&lt;DATE(2025,4,6),"2024/25",IF(A19&lt;DATE(2026,4,6),"2025/26",IF(A19&lt;DATE(2027,4,6),"2026/27","2027/28"))))</f>
        <v/>
      </c>
      <c r="N19" s="13"/>
    </row>
    <row r="20" customFormat="false" ht="15" hidden="false" customHeight="false" outlineLevel="0" collapsed="false">
      <c r="A20" s="31"/>
      <c r="B20" s="13"/>
      <c r="C20" s="13"/>
      <c r="D20" s="32"/>
      <c r="E20" s="32"/>
      <c r="F20" s="14"/>
      <c r="G20" s="23"/>
      <c r="H20" s="16" t="str">
        <f aca="false">IF(F20="","",IF(G20&lt;&gt;"",G20,IF(E20="JPY",IF(ISNUMBER($L$1),ROUND(F20/$L$1,2),"レート未入力"),F20)))</f>
        <v/>
      </c>
      <c r="I20" s="13"/>
      <c r="J20" s="22" t="str">
        <f aca="false">IF(A20="","",IF(A20&lt;DATE(2025,4,6),"2024/25",IF(A20&lt;DATE(2026,4,6),"2025/26",IF(A20&lt;DATE(2027,4,6),"2026/27","2027/28"))))</f>
        <v/>
      </c>
      <c r="N20" s="13"/>
    </row>
    <row r="21" customFormat="false" ht="15" hidden="false" customHeight="false" outlineLevel="0" collapsed="false">
      <c r="A21" s="31"/>
      <c r="B21" s="13"/>
      <c r="C21" s="13"/>
      <c r="D21" s="32"/>
      <c r="E21" s="32"/>
      <c r="F21" s="14"/>
      <c r="G21" s="23"/>
      <c r="H21" s="16" t="str">
        <f aca="false">IF(F21="","",IF(G21&lt;&gt;"",G21,IF(E21="JPY",IF(ISNUMBER($L$1),ROUND(F21/$L$1,2),"レート未入力"),F21)))</f>
        <v/>
      </c>
      <c r="I21" s="13"/>
      <c r="J21" s="22" t="str">
        <f aca="false">IF(A21="","",IF(A21&lt;DATE(2025,4,6),"2024/25",IF(A21&lt;DATE(2026,4,6),"2025/26",IF(A21&lt;DATE(2027,4,6),"2026/27","2027/28"))))</f>
        <v/>
      </c>
      <c r="N21" s="13"/>
    </row>
    <row r="22" customFormat="false" ht="15" hidden="false" customHeight="false" outlineLevel="0" collapsed="false">
      <c r="A22" s="31"/>
      <c r="B22" s="13"/>
      <c r="C22" s="13"/>
      <c r="D22" s="32"/>
      <c r="E22" s="32"/>
      <c r="F22" s="14"/>
      <c r="G22" s="23"/>
      <c r="H22" s="16" t="str">
        <f aca="false">IF(F22="","",IF(G22&lt;&gt;"",G22,IF(E22="JPY",IF(ISNUMBER($L$1),ROUND(F22/$L$1,2),"レート未入力"),F22)))</f>
        <v/>
      </c>
      <c r="I22" s="13"/>
      <c r="J22" s="22" t="str">
        <f aca="false">IF(A22="","",IF(A22&lt;DATE(2025,4,6),"2024/25",IF(A22&lt;DATE(2026,4,6),"2025/26",IF(A22&lt;DATE(2027,4,6),"2026/27","2027/28"))))</f>
        <v/>
      </c>
      <c r="N22" s="13"/>
    </row>
    <row r="23" customFormat="false" ht="15" hidden="false" customHeight="false" outlineLevel="0" collapsed="false">
      <c r="A23" s="31"/>
      <c r="B23" s="13"/>
      <c r="C23" s="13"/>
      <c r="D23" s="32"/>
      <c r="E23" s="32"/>
      <c r="F23" s="14"/>
      <c r="G23" s="23"/>
      <c r="H23" s="16" t="str">
        <f aca="false">IF(F23="","",IF(G23&lt;&gt;"",G23,IF(E23="JPY",IF(ISNUMBER($L$1),ROUND(F23/$L$1,2),"レート未入力"),F23)))</f>
        <v/>
      </c>
      <c r="I23" s="13"/>
      <c r="J23" s="22" t="str">
        <f aca="false">IF(A23="","",IF(A23&lt;DATE(2025,4,6),"2024/25",IF(A23&lt;DATE(2026,4,6),"2025/26",IF(A23&lt;DATE(2027,4,6),"2026/27","2027/28"))))</f>
        <v/>
      </c>
      <c r="N23" s="13"/>
    </row>
    <row r="24" customFormat="false" ht="15" hidden="false" customHeight="false" outlineLevel="0" collapsed="false">
      <c r="A24" s="31"/>
      <c r="B24" s="13"/>
      <c r="C24" s="13"/>
      <c r="D24" s="32"/>
      <c r="E24" s="32"/>
      <c r="F24" s="14"/>
      <c r="G24" s="23"/>
      <c r="H24" s="16" t="str">
        <f aca="false">IF(F24="","",IF(G24&lt;&gt;"",G24,IF(E24="JPY",IF(ISNUMBER($L$1),ROUND(F24/$L$1,2),"レート未入力"),F24)))</f>
        <v/>
      </c>
      <c r="I24" s="13"/>
      <c r="J24" s="22" t="str">
        <f aca="false">IF(A24="","",IF(A24&lt;DATE(2025,4,6),"2024/25",IF(A24&lt;DATE(2026,4,6),"2025/26",IF(A24&lt;DATE(2027,4,6),"2026/27","2027/28"))))</f>
        <v/>
      </c>
      <c r="N24" s="13"/>
    </row>
    <row r="25" customFormat="false" ht="15" hidden="false" customHeight="false" outlineLevel="0" collapsed="false">
      <c r="A25" s="31"/>
      <c r="B25" s="13"/>
      <c r="C25" s="13"/>
      <c r="D25" s="32"/>
      <c r="E25" s="32"/>
      <c r="F25" s="14"/>
      <c r="G25" s="23"/>
      <c r="H25" s="16" t="str">
        <f aca="false">IF(F25="","",IF(G25&lt;&gt;"",G25,IF(E25="JPY",IF(ISNUMBER($L$1),ROUND(F25/$L$1,2),"レート未入力"),F25)))</f>
        <v/>
      </c>
      <c r="I25" s="13"/>
      <c r="J25" s="22" t="str">
        <f aca="false">IF(A25="","",IF(A25&lt;DATE(2025,4,6),"2024/25",IF(A25&lt;DATE(2026,4,6),"2025/26",IF(A25&lt;DATE(2027,4,6),"2026/27","2027/28"))))</f>
        <v/>
      </c>
      <c r="N25" s="13"/>
    </row>
    <row r="26" customFormat="false" ht="15" hidden="false" customHeight="false" outlineLevel="0" collapsed="false">
      <c r="A26" s="3" t="s">
        <v>183</v>
      </c>
      <c r="H26" s="18" t="n">
        <f aca="false">SUM(H6:H25)</f>
        <v>0</v>
      </c>
    </row>
    <row r="28" customFormat="false" ht="15" hidden="false" customHeight="false" outlineLevel="0" collapsed="false">
      <c r="A28" s="26" t="s">
        <v>184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</row>
    <row r="29" customFormat="false" ht="30" hidden="false" customHeight="true" outlineLevel="0" collapsed="false">
      <c r="A29" s="9" t="s">
        <v>167</v>
      </c>
      <c r="B29" s="9" t="s">
        <v>185</v>
      </c>
      <c r="C29" s="9" t="s">
        <v>169</v>
      </c>
      <c r="D29" s="9" t="s">
        <v>38</v>
      </c>
      <c r="E29" s="9" t="s">
        <v>171</v>
      </c>
      <c r="F29" s="9" t="s">
        <v>172</v>
      </c>
      <c r="G29" s="9" t="s">
        <v>173</v>
      </c>
      <c r="H29" s="10" t="s">
        <v>186</v>
      </c>
      <c r="I29" s="9" t="s">
        <v>187</v>
      </c>
      <c r="J29" s="9" t="s">
        <v>188</v>
      </c>
      <c r="K29" s="9" t="s">
        <v>189</v>
      </c>
      <c r="L29" s="9" t="s">
        <v>176</v>
      </c>
      <c r="M29" s="9"/>
      <c r="N29" s="9" t="s">
        <v>177</v>
      </c>
    </row>
    <row r="30" customFormat="false" ht="15" hidden="false" customHeight="false" outlineLevel="0" collapsed="false">
      <c r="A30" s="31"/>
      <c r="B30" s="13"/>
      <c r="C30" s="13"/>
      <c r="D30" s="32"/>
      <c r="E30" s="32"/>
      <c r="F30" s="14"/>
      <c r="G30" s="23"/>
      <c r="H30" s="16" t="str">
        <f aca="false">IF(F30="","",IF(G30&lt;&gt;"",G30,IF(E30="JPY",IF(ISNUMBER($L$1),ROUND(F30/$L$1,2),"レート未入力"),F30)))</f>
        <v/>
      </c>
      <c r="I30" s="33"/>
      <c r="J30" s="16" t="str">
        <f aca="false">IF(ISNUMBER(H30),ROUND(H30*IF(I30="",1,I30),2),"")</f>
        <v/>
      </c>
      <c r="K30" s="35"/>
      <c r="L30" s="22" t="str">
        <f aca="false">IF(A30="","",IF(A30&lt;DATE(2025,4,6),"2024/25",IF(A30&lt;DATE(2026,4,6),"2025/26",IF(A30&lt;DATE(2027,4,6),"2026/27","2027/28"))))</f>
        <v/>
      </c>
      <c r="N30" s="13"/>
    </row>
    <row r="31" customFormat="false" ht="15" hidden="false" customHeight="false" outlineLevel="0" collapsed="false">
      <c r="A31" s="31"/>
      <c r="B31" s="13"/>
      <c r="C31" s="13"/>
      <c r="D31" s="32"/>
      <c r="E31" s="32"/>
      <c r="F31" s="14"/>
      <c r="G31" s="23"/>
      <c r="H31" s="16" t="str">
        <f aca="false">IF(F31="","",IF(G31&lt;&gt;"",G31,IF(E31="JPY",IF(ISNUMBER($L$1),ROUND(F31/$L$1,2),"レート未入力"),F31)))</f>
        <v/>
      </c>
      <c r="I31" s="33"/>
      <c r="J31" s="16" t="str">
        <f aca="false">IF(ISNUMBER(H31),ROUND(H31*IF(I31="",1,I31),2),"")</f>
        <v/>
      </c>
      <c r="K31" s="35"/>
      <c r="L31" s="22" t="str">
        <f aca="false">IF(A31="","",IF(A31&lt;DATE(2025,4,6),"2024/25",IF(A31&lt;DATE(2026,4,6),"2025/26",IF(A31&lt;DATE(2027,4,6),"2026/27","2027/28"))))</f>
        <v/>
      </c>
      <c r="N31" s="13"/>
    </row>
    <row r="32" customFormat="false" ht="15" hidden="false" customHeight="false" outlineLevel="0" collapsed="false">
      <c r="A32" s="31"/>
      <c r="B32" s="13"/>
      <c r="C32" s="13"/>
      <c r="D32" s="32"/>
      <c r="E32" s="32"/>
      <c r="F32" s="14"/>
      <c r="G32" s="23"/>
      <c r="H32" s="16" t="str">
        <f aca="false">IF(F32="","",IF(G32&lt;&gt;"",G32,IF(E32="JPY",IF(ISNUMBER($L$1),ROUND(F32/$L$1,2),"レート未入力"),F32)))</f>
        <v/>
      </c>
      <c r="I32" s="33"/>
      <c r="J32" s="16" t="str">
        <f aca="false">IF(ISNUMBER(H32),ROUND(H32*IF(I32="",1,I32),2),"")</f>
        <v/>
      </c>
      <c r="K32" s="35"/>
      <c r="L32" s="22" t="str">
        <f aca="false">IF(A32="","",IF(A32&lt;DATE(2025,4,6),"2024/25",IF(A32&lt;DATE(2026,4,6),"2025/26",IF(A32&lt;DATE(2027,4,6),"2026/27","2027/28"))))</f>
        <v/>
      </c>
      <c r="N32" s="13"/>
    </row>
    <row r="33" customFormat="false" ht="15" hidden="false" customHeight="false" outlineLevel="0" collapsed="false">
      <c r="A33" s="31"/>
      <c r="B33" s="13"/>
      <c r="C33" s="13"/>
      <c r="D33" s="32"/>
      <c r="E33" s="32"/>
      <c r="F33" s="14"/>
      <c r="G33" s="23"/>
      <c r="H33" s="16" t="str">
        <f aca="false">IF(F33="","",IF(G33&lt;&gt;"",G33,IF(E33="JPY",IF(ISNUMBER($L$1),ROUND(F33/$L$1,2),"レート未入力"),F33)))</f>
        <v/>
      </c>
      <c r="I33" s="33"/>
      <c r="J33" s="16" t="str">
        <f aca="false">IF(ISNUMBER(H33),ROUND(H33*IF(I33="",1,I33),2),"")</f>
        <v/>
      </c>
      <c r="K33" s="35"/>
      <c r="L33" s="22" t="str">
        <f aca="false">IF(A33="","",IF(A33&lt;DATE(2025,4,6),"2024/25",IF(A33&lt;DATE(2026,4,6),"2025/26",IF(A33&lt;DATE(2027,4,6),"2026/27","2027/28"))))</f>
        <v/>
      </c>
      <c r="N33" s="13"/>
    </row>
    <row r="34" customFormat="false" ht="15" hidden="false" customHeight="false" outlineLevel="0" collapsed="false">
      <c r="A34" s="31"/>
      <c r="B34" s="13"/>
      <c r="C34" s="13"/>
      <c r="D34" s="32"/>
      <c r="E34" s="32"/>
      <c r="F34" s="14"/>
      <c r="G34" s="23"/>
      <c r="H34" s="16" t="str">
        <f aca="false">IF(F34="","",IF(G34&lt;&gt;"",G34,IF(E34="JPY",IF(ISNUMBER($L$1),ROUND(F34/$L$1,2),"レート未入力"),F34)))</f>
        <v/>
      </c>
      <c r="I34" s="33"/>
      <c r="J34" s="16" t="str">
        <f aca="false">IF(ISNUMBER(H34),ROUND(H34*IF(I34="",1,I34),2),"")</f>
        <v/>
      </c>
      <c r="K34" s="35"/>
      <c r="L34" s="22" t="str">
        <f aca="false">IF(A34="","",IF(A34&lt;DATE(2025,4,6),"2024/25",IF(A34&lt;DATE(2026,4,6),"2025/26",IF(A34&lt;DATE(2027,4,6),"2026/27","2027/28"))))</f>
        <v/>
      </c>
      <c r="N34" s="13"/>
    </row>
    <row r="35" customFormat="false" ht="15" hidden="false" customHeight="false" outlineLevel="0" collapsed="false">
      <c r="A35" s="31"/>
      <c r="B35" s="13"/>
      <c r="C35" s="13"/>
      <c r="D35" s="32"/>
      <c r="E35" s="32"/>
      <c r="F35" s="14"/>
      <c r="G35" s="23"/>
      <c r="H35" s="16" t="str">
        <f aca="false">IF(F35="","",IF(G35&lt;&gt;"",G35,IF(E35="JPY",IF(ISNUMBER($L$1),ROUND(F35/$L$1,2),"レート未入力"),F35)))</f>
        <v/>
      </c>
      <c r="I35" s="33"/>
      <c r="J35" s="16" t="str">
        <f aca="false">IF(ISNUMBER(H35),ROUND(H35*IF(I35="",1,I35),2),"")</f>
        <v/>
      </c>
      <c r="K35" s="35"/>
      <c r="L35" s="22" t="str">
        <f aca="false">IF(A35="","",IF(A35&lt;DATE(2025,4,6),"2024/25",IF(A35&lt;DATE(2026,4,6),"2025/26",IF(A35&lt;DATE(2027,4,6),"2026/27","2027/28"))))</f>
        <v/>
      </c>
      <c r="N35" s="13"/>
    </row>
    <row r="36" customFormat="false" ht="15" hidden="false" customHeight="false" outlineLevel="0" collapsed="false">
      <c r="A36" s="31"/>
      <c r="B36" s="13"/>
      <c r="C36" s="13"/>
      <c r="D36" s="32"/>
      <c r="E36" s="32"/>
      <c r="F36" s="14"/>
      <c r="G36" s="23"/>
      <c r="H36" s="16" t="str">
        <f aca="false">IF(F36="","",IF(G36&lt;&gt;"",G36,IF(E36="JPY",IF(ISNUMBER($L$1),ROUND(F36/$L$1,2),"レート未入力"),F36)))</f>
        <v/>
      </c>
      <c r="I36" s="33"/>
      <c r="J36" s="16" t="str">
        <f aca="false">IF(ISNUMBER(H36),ROUND(H36*IF(I36="",1,I36),2),"")</f>
        <v/>
      </c>
      <c r="K36" s="35"/>
      <c r="L36" s="22" t="str">
        <f aca="false">IF(A36="","",IF(A36&lt;DATE(2025,4,6),"2024/25",IF(A36&lt;DATE(2026,4,6),"2025/26",IF(A36&lt;DATE(2027,4,6),"2026/27","2027/28"))))</f>
        <v/>
      </c>
      <c r="N36" s="13"/>
    </row>
    <row r="37" customFormat="false" ht="15" hidden="false" customHeight="false" outlineLevel="0" collapsed="false">
      <c r="A37" s="31"/>
      <c r="B37" s="13"/>
      <c r="C37" s="13"/>
      <c r="D37" s="32"/>
      <c r="E37" s="32"/>
      <c r="F37" s="14"/>
      <c r="G37" s="23"/>
      <c r="H37" s="16" t="str">
        <f aca="false">IF(F37="","",IF(G37&lt;&gt;"",G37,IF(E37="JPY",IF(ISNUMBER($L$1),ROUND(F37/$L$1,2),"レート未入力"),F37)))</f>
        <v/>
      </c>
      <c r="I37" s="33"/>
      <c r="J37" s="16" t="str">
        <f aca="false">IF(ISNUMBER(H37),ROUND(H37*IF(I37="",1,I37),2),"")</f>
        <v/>
      </c>
      <c r="K37" s="35"/>
      <c r="L37" s="22" t="str">
        <f aca="false">IF(A37="","",IF(A37&lt;DATE(2025,4,6),"2024/25",IF(A37&lt;DATE(2026,4,6),"2025/26",IF(A37&lt;DATE(2027,4,6),"2026/27","2027/28"))))</f>
        <v/>
      </c>
      <c r="N37" s="13"/>
    </row>
    <row r="38" customFormat="false" ht="15" hidden="false" customHeight="false" outlineLevel="0" collapsed="false">
      <c r="A38" s="31"/>
      <c r="B38" s="13"/>
      <c r="C38" s="13"/>
      <c r="D38" s="32"/>
      <c r="E38" s="32"/>
      <c r="F38" s="14"/>
      <c r="G38" s="23"/>
      <c r="H38" s="16" t="str">
        <f aca="false">IF(F38="","",IF(G38&lt;&gt;"",G38,IF(E38="JPY",IF(ISNUMBER($L$1),ROUND(F38/$L$1,2),"レート未入力"),F38)))</f>
        <v/>
      </c>
      <c r="I38" s="33"/>
      <c r="J38" s="16" t="str">
        <f aca="false">IF(ISNUMBER(H38),ROUND(H38*IF(I38="",1,I38),2),"")</f>
        <v/>
      </c>
      <c r="K38" s="35"/>
      <c r="L38" s="22" t="str">
        <f aca="false">IF(A38="","",IF(A38&lt;DATE(2025,4,6),"2024/25",IF(A38&lt;DATE(2026,4,6),"2025/26",IF(A38&lt;DATE(2027,4,6),"2026/27","2027/28"))))</f>
        <v/>
      </c>
      <c r="N38" s="13"/>
    </row>
    <row r="39" customFormat="false" ht="15" hidden="false" customHeight="false" outlineLevel="0" collapsed="false">
      <c r="A39" s="31"/>
      <c r="B39" s="13"/>
      <c r="C39" s="13"/>
      <c r="D39" s="32"/>
      <c r="E39" s="32"/>
      <c r="F39" s="14"/>
      <c r="G39" s="23"/>
      <c r="H39" s="16" t="str">
        <f aca="false">IF(F39="","",IF(G39&lt;&gt;"",G39,IF(E39="JPY",IF(ISNUMBER($L$1),ROUND(F39/$L$1,2),"レート未入力"),F39)))</f>
        <v/>
      </c>
      <c r="I39" s="33"/>
      <c r="J39" s="16" t="str">
        <f aca="false">IF(ISNUMBER(H39),ROUND(H39*IF(I39="",1,I39),2),"")</f>
        <v/>
      </c>
      <c r="K39" s="35"/>
      <c r="L39" s="22" t="str">
        <f aca="false">IF(A39="","",IF(A39&lt;DATE(2025,4,6),"2024/25",IF(A39&lt;DATE(2026,4,6),"2025/26",IF(A39&lt;DATE(2027,4,6),"2026/27","2027/28"))))</f>
        <v/>
      </c>
      <c r="N39" s="13"/>
    </row>
    <row r="40" customFormat="false" ht="15" hidden="false" customHeight="false" outlineLevel="0" collapsed="false">
      <c r="A40" s="31"/>
      <c r="B40" s="13"/>
      <c r="C40" s="13"/>
      <c r="D40" s="32"/>
      <c r="E40" s="32"/>
      <c r="F40" s="14"/>
      <c r="G40" s="23"/>
      <c r="H40" s="16" t="str">
        <f aca="false">IF(F40="","",IF(G40&lt;&gt;"",G40,IF(E40="JPY",IF(ISNUMBER($L$1),ROUND(F40/$L$1,2),"レート未入力"),F40)))</f>
        <v/>
      </c>
      <c r="I40" s="33"/>
      <c r="J40" s="16" t="str">
        <f aca="false">IF(ISNUMBER(H40),ROUND(H40*IF(I40="",1,I40),2),"")</f>
        <v/>
      </c>
      <c r="K40" s="35"/>
      <c r="L40" s="22" t="str">
        <f aca="false">IF(A40="","",IF(A40&lt;DATE(2025,4,6),"2024/25",IF(A40&lt;DATE(2026,4,6),"2025/26",IF(A40&lt;DATE(2027,4,6),"2026/27","2027/28"))))</f>
        <v/>
      </c>
      <c r="N40" s="13"/>
    </row>
    <row r="41" customFormat="false" ht="15" hidden="false" customHeight="false" outlineLevel="0" collapsed="false">
      <c r="A41" s="31"/>
      <c r="B41" s="13"/>
      <c r="C41" s="13"/>
      <c r="D41" s="32"/>
      <c r="E41" s="32"/>
      <c r="F41" s="14"/>
      <c r="G41" s="23"/>
      <c r="H41" s="16" t="str">
        <f aca="false">IF(F41="","",IF(G41&lt;&gt;"",G41,IF(E41="JPY",IF(ISNUMBER($L$1),ROUND(F41/$L$1,2),"レート未入力"),F41)))</f>
        <v/>
      </c>
      <c r="I41" s="33"/>
      <c r="J41" s="16" t="str">
        <f aca="false">IF(ISNUMBER(H41),ROUND(H41*IF(I41="",1,I41),2),"")</f>
        <v/>
      </c>
      <c r="K41" s="35"/>
      <c r="L41" s="22" t="str">
        <f aca="false">IF(A41="","",IF(A41&lt;DATE(2025,4,6),"2024/25",IF(A41&lt;DATE(2026,4,6),"2025/26",IF(A41&lt;DATE(2027,4,6),"2026/27","2027/28"))))</f>
        <v/>
      </c>
      <c r="N41" s="13"/>
    </row>
    <row r="42" customFormat="false" ht="15" hidden="false" customHeight="false" outlineLevel="0" collapsed="false">
      <c r="A42" s="31"/>
      <c r="B42" s="13"/>
      <c r="C42" s="13"/>
      <c r="D42" s="32"/>
      <c r="E42" s="32"/>
      <c r="F42" s="14"/>
      <c r="G42" s="23"/>
      <c r="H42" s="16" t="str">
        <f aca="false">IF(F42="","",IF(G42&lt;&gt;"",G42,IF(E42="JPY",IF(ISNUMBER($L$1),ROUND(F42/$L$1,2),"レート未入力"),F42)))</f>
        <v/>
      </c>
      <c r="I42" s="33"/>
      <c r="J42" s="16" t="str">
        <f aca="false">IF(ISNUMBER(H42),ROUND(H42*IF(I42="",1,I42),2),"")</f>
        <v/>
      </c>
      <c r="K42" s="35"/>
      <c r="L42" s="22" t="str">
        <f aca="false">IF(A42="","",IF(A42&lt;DATE(2025,4,6),"2024/25",IF(A42&lt;DATE(2026,4,6),"2025/26",IF(A42&lt;DATE(2027,4,6),"2026/27","2027/28"))))</f>
        <v/>
      </c>
      <c r="N42" s="13"/>
    </row>
    <row r="43" customFormat="false" ht="15" hidden="false" customHeight="false" outlineLevel="0" collapsed="false">
      <c r="A43" s="31"/>
      <c r="B43" s="13"/>
      <c r="C43" s="13"/>
      <c r="D43" s="32"/>
      <c r="E43" s="32"/>
      <c r="F43" s="14"/>
      <c r="G43" s="23"/>
      <c r="H43" s="16" t="str">
        <f aca="false">IF(F43="","",IF(G43&lt;&gt;"",G43,IF(E43="JPY",IF(ISNUMBER($L$1),ROUND(F43/$L$1,2),"レート未入力"),F43)))</f>
        <v/>
      </c>
      <c r="I43" s="33"/>
      <c r="J43" s="16" t="str">
        <f aca="false">IF(ISNUMBER(H43),ROUND(H43*IF(I43="",1,I43),2),"")</f>
        <v/>
      </c>
      <c r="K43" s="35"/>
      <c r="L43" s="22" t="str">
        <f aca="false">IF(A43="","",IF(A43&lt;DATE(2025,4,6),"2024/25",IF(A43&lt;DATE(2026,4,6),"2025/26",IF(A43&lt;DATE(2027,4,6),"2026/27","2027/28"))))</f>
        <v/>
      </c>
      <c r="N43" s="13"/>
    </row>
    <row r="44" customFormat="false" ht="15" hidden="false" customHeight="false" outlineLevel="0" collapsed="false">
      <c r="A44" s="31"/>
      <c r="B44" s="13"/>
      <c r="C44" s="13"/>
      <c r="D44" s="32"/>
      <c r="E44" s="32"/>
      <c r="F44" s="14"/>
      <c r="G44" s="23"/>
      <c r="H44" s="16" t="str">
        <f aca="false">IF(F44="","",IF(G44&lt;&gt;"",G44,IF(E44="JPY",IF(ISNUMBER($L$1),ROUND(F44/$L$1,2),"レート未入力"),F44)))</f>
        <v/>
      </c>
      <c r="I44" s="33"/>
      <c r="J44" s="16" t="str">
        <f aca="false">IF(ISNUMBER(H44),ROUND(H44*IF(I44="",1,I44),2),"")</f>
        <v/>
      </c>
      <c r="K44" s="35"/>
      <c r="L44" s="22" t="str">
        <f aca="false">IF(A44="","",IF(A44&lt;DATE(2025,4,6),"2024/25",IF(A44&lt;DATE(2026,4,6),"2025/26",IF(A44&lt;DATE(2027,4,6),"2026/27","2027/28"))))</f>
        <v/>
      </c>
      <c r="N44" s="13"/>
    </row>
    <row r="45" customFormat="false" ht="15" hidden="false" customHeight="false" outlineLevel="0" collapsed="false">
      <c r="A45" s="31"/>
      <c r="B45" s="13"/>
      <c r="C45" s="13"/>
      <c r="D45" s="32"/>
      <c r="E45" s="32"/>
      <c r="F45" s="14"/>
      <c r="G45" s="23"/>
      <c r="H45" s="16" t="str">
        <f aca="false">IF(F45="","",IF(G45&lt;&gt;"",G45,IF(E45="JPY",IF(ISNUMBER($L$1),ROUND(F45/$L$1,2),"レート未入力"),F45)))</f>
        <v/>
      </c>
      <c r="I45" s="33"/>
      <c r="J45" s="16" t="str">
        <f aca="false">IF(ISNUMBER(H45),ROUND(H45*IF(I45="",1,I45),2),"")</f>
        <v/>
      </c>
      <c r="K45" s="35"/>
      <c r="L45" s="22" t="str">
        <f aca="false">IF(A45="","",IF(A45&lt;DATE(2025,4,6),"2024/25",IF(A45&lt;DATE(2026,4,6),"2025/26",IF(A45&lt;DATE(2027,4,6),"2026/27","2027/28"))))</f>
        <v/>
      </c>
      <c r="N45" s="13"/>
    </row>
    <row r="46" customFormat="false" ht="15" hidden="false" customHeight="false" outlineLevel="0" collapsed="false">
      <c r="A46" s="31"/>
      <c r="B46" s="13"/>
      <c r="C46" s="13"/>
      <c r="D46" s="32"/>
      <c r="E46" s="32"/>
      <c r="F46" s="14"/>
      <c r="G46" s="23"/>
      <c r="H46" s="16" t="str">
        <f aca="false">IF(F46="","",IF(G46&lt;&gt;"",G46,IF(E46="JPY",IF(ISNUMBER($L$1),ROUND(F46/$L$1,2),"レート未入力"),F46)))</f>
        <v/>
      </c>
      <c r="I46" s="33"/>
      <c r="J46" s="16" t="str">
        <f aca="false">IF(ISNUMBER(H46),ROUND(H46*IF(I46="",1,I46),2),"")</f>
        <v/>
      </c>
      <c r="K46" s="35"/>
      <c r="L46" s="22" t="str">
        <f aca="false">IF(A46="","",IF(A46&lt;DATE(2025,4,6),"2024/25",IF(A46&lt;DATE(2026,4,6),"2025/26",IF(A46&lt;DATE(2027,4,6),"2026/27","2027/28"))))</f>
        <v/>
      </c>
      <c r="N46" s="13"/>
    </row>
    <row r="47" customFormat="false" ht="15" hidden="false" customHeight="false" outlineLevel="0" collapsed="false">
      <c r="A47" s="31"/>
      <c r="B47" s="13"/>
      <c r="C47" s="13"/>
      <c r="D47" s="32"/>
      <c r="E47" s="32"/>
      <c r="F47" s="14"/>
      <c r="G47" s="23"/>
      <c r="H47" s="16" t="str">
        <f aca="false">IF(F47="","",IF(G47&lt;&gt;"",G47,IF(E47="JPY",IF(ISNUMBER($L$1),ROUND(F47/$L$1,2),"レート未入力"),F47)))</f>
        <v/>
      </c>
      <c r="I47" s="33"/>
      <c r="J47" s="16" t="str">
        <f aca="false">IF(ISNUMBER(H47),ROUND(H47*IF(I47="",1,I47),2),"")</f>
        <v/>
      </c>
      <c r="K47" s="35"/>
      <c r="L47" s="22" t="str">
        <f aca="false">IF(A47="","",IF(A47&lt;DATE(2025,4,6),"2024/25",IF(A47&lt;DATE(2026,4,6),"2025/26",IF(A47&lt;DATE(2027,4,6),"2026/27","2027/28"))))</f>
        <v/>
      </c>
      <c r="N47" s="13"/>
    </row>
    <row r="48" customFormat="false" ht="15" hidden="false" customHeight="false" outlineLevel="0" collapsed="false">
      <c r="A48" s="31"/>
      <c r="B48" s="13"/>
      <c r="C48" s="13"/>
      <c r="D48" s="32"/>
      <c r="E48" s="32"/>
      <c r="F48" s="14"/>
      <c r="G48" s="23"/>
      <c r="H48" s="16" t="str">
        <f aca="false">IF(F48="","",IF(G48&lt;&gt;"",G48,IF(E48="JPY",IF(ISNUMBER($L$1),ROUND(F48/$L$1,2),"レート未入力"),F48)))</f>
        <v/>
      </c>
      <c r="I48" s="33"/>
      <c r="J48" s="16" t="str">
        <f aca="false">IF(ISNUMBER(H48),ROUND(H48*IF(I48="",1,I48),2),"")</f>
        <v/>
      </c>
      <c r="K48" s="35"/>
      <c r="L48" s="22" t="str">
        <f aca="false">IF(A48="","",IF(A48&lt;DATE(2025,4,6),"2024/25",IF(A48&lt;DATE(2026,4,6),"2025/26",IF(A48&lt;DATE(2027,4,6),"2026/27","2027/28"))))</f>
        <v/>
      </c>
      <c r="N48" s="13"/>
    </row>
    <row r="49" customFormat="false" ht="15" hidden="false" customHeight="false" outlineLevel="0" collapsed="false">
      <c r="A49" s="31"/>
      <c r="B49" s="13"/>
      <c r="C49" s="13"/>
      <c r="D49" s="32"/>
      <c r="E49" s="32"/>
      <c r="F49" s="14"/>
      <c r="G49" s="23"/>
      <c r="H49" s="16" t="str">
        <f aca="false">IF(F49="","",IF(G49&lt;&gt;"",G49,IF(E49="JPY",IF(ISNUMBER($L$1),ROUND(F49/$L$1,2),"レート未入力"),F49)))</f>
        <v/>
      </c>
      <c r="I49" s="33"/>
      <c r="J49" s="16" t="str">
        <f aca="false">IF(ISNUMBER(H49),ROUND(H49*IF(I49="",1,I49),2),"")</f>
        <v/>
      </c>
      <c r="K49" s="35"/>
      <c r="L49" s="22" t="str">
        <f aca="false">IF(A49="","",IF(A49&lt;DATE(2025,4,6),"2024/25",IF(A49&lt;DATE(2026,4,6),"2025/26",IF(A49&lt;DATE(2027,4,6),"2026/27","2027/28"))))</f>
        <v/>
      </c>
      <c r="N49" s="13"/>
    </row>
    <row r="50" customFormat="false" ht="15" hidden="false" customHeight="false" outlineLevel="0" collapsed="false">
      <c r="A50" s="31"/>
      <c r="B50" s="13"/>
      <c r="C50" s="13"/>
      <c r="D50" s="32"/>
      <c r="E50" s="32"/>
      <c r="F50" s="14"/>
      <c r="G50" s="23"/>
      <c r="H50" s="16" t="str">
        <f aca="false">IF(F50="","",IF(G50&lt;&gt;"",G50,IF(E50="JPY",IF(ISNUMBER($L$1),ROUND(F50/$L$1,2),"レート未入力"),F50)))</f>
        <v/>
      </c>
      <c r="I50" s="33"/>
      <c r="J50" s="16" t="str">
        <f aca="false">IF(ISNUMBER(H50),ROUND(H50*IF(I50="",1,I50),2),"")</f>
        <v/>
      </c>
      <c r="K50" s="35"/>
      <c r="L50" s="22" t="str">
        <f aca="false">IF(A50="","",IF(A50&lt;DATE(2025,4,6),"2024/25",IF(A50&lt;DATE(2026,4,6),"2025/26",IF(A50&lt;DATE(2027,4,6),"2026/27","2027/28"))))</f>
        <v/>
      </c>
      <c r="N50" s="13"/>
    </row>
    <row r="51" customFormat="false" ht="15" hidden="false" customHeight="false" outlineLevel="0" collapsed="false">
      <c r="A51" s="31"/>
      <c r="B51" s="13"/>
      <c r="C51" s="13"/>
      <c r="D51" s="32"/>
      <c r="E51" s="32"/>
      <c r="F51" s="14"/>
      <c r="G51" s="23"/>
      <c r="H51" s="16" t="str">
        <f aca="false">IF(F51="","",IF(G51&lt;&gt;"",G51,IF(E51="JPY",IF(ISNUMBER($L$1),ROUND(F51/$L$1,2),"レート未入力"),F51)))</f>
        <v/>
      </c>
      <c r="I51" s="33"/>
      <c r="J51" s="16" t="str">
        <f aca="false">IF(ISNUMBER(H51),ROUND(H51*IF(I51="",1,I51),2),"")</f>
        <v/>
      </c>
      <c r="K51" s="35"/>
      <c r="L51" s="22" t="str">
        <f aca="false">IF(A51="","",IF(A51&lt;DATE(2025,4,6),"2024/25",IF(A51&lt;DATE(2026,4,6),"2025/26",IF(A51&lt;DATE(2027,4,6),"2026/27","2027/28"))))</f>
        <v/>
      </c>
      <c r="N51" s="13"/>
    </row>
    <row r="52" customFormat="false" ht="15" hidden="false" customHeight="false" outlineLevel="0" collapsed="false">
      <c r="A52" s="31"/>
      <c r="B52" s="13"/>
      <c r="C52" s="13"/>
      <c r="D52" s="32"/>
      <c r="E52" s="32"/>
      <c r="F52" s="14"/>
      <c r="G52" s="23"/>
      <c r="H52" s="16" t="str">
        <f aca="false">IF(F52="","",IF(G52&lt;&gt;"",G52,IF(E52="JPY",IF(ISNUMBER($L$1),ROUND(F52/$L$1,2),"レート未入力"),F52)))</f>
        <v/>
      </c>
      <c r="I52" s="33"/>
      <c r="J52" s="16" t="str">
        <f aca="false">IF(ISNUMBER(H52),ROUND(H52*IF(I52="",1,I52),2),"")</f>
        <v/>
      </c>
      <c r="K52" s="35"/>
      <c r="L52" s="22" t="str">
        <f aca="false">IF(A52="","",IF(A52&lt;DATE(2025,4,6),"2024/25",IF(A52&lt;DATE(2026,4,6),"2025/26",IF(A52&lt;DATE(2027,4,6),"2026/27","2027/28"))))</f>
        <v/>
      </c>
      <c r="N52" s="13"/>
    </row>
    <row r="53" customFormat="false" ht="15" hidden="false" customHeight="false" outlineLevel="0" collapsed="false">
      <c r="A53" s="31"/>
      <c r="B53" s="13"/>
      <c r="C53" s="13"/>
      <c r="D53" s="32"/>
      <c r="E53" s="32"/>
      <c r="F53" s="14"/>
      <c r="G53" s="23"/>
      <c r="H53" s="16" t="str">
        <f aca="false">IF(F53="","",IF(G53&lt;&gt;"",G53,IF(E53="JPY",IF(ISNUMBER($L$1),ROUND(F53/$L$1,2),"レート未入力"),F53)))</f>
        <v/>
      </c>
      <c r="I53" s="33"/>
      <c r="J53" s="16" t="str">
        <f aca="false">IF(ISNUMBER(H53),ROUND(H53*IF(I53="",1,I53),2),"")</f>
        <v/>
      </c>
      <c r="K53" s="35"/>
      <c r="L53" s="22" t="str">
        <f aca="false">IF(A53="","",IF(A53&lt;DATE(2025,4,6),"2024/25",IF(A53&lt;DATE(2026,4,6),"2025/26",IF(A53&lt;DATE(2027,4,6),"2026/27","2027/28"))))</f>
        <v/>
      </c>
      <c r="N53" s="13"/>
    </row>
    <row r="54" customFormat="false" ht="15" hidden="false" customHeight="false" outlineLevel="0" collapsed="false">
      <c r="A54" s="31"/>
      <c r="B54" s="13"/>
      <c r="C54" s="13"/>
      <c r="D54" s="32"/>
      <c r="E54" s="32"/>
      <c r="F54" s="14"/>
      <c r="G54" s="23"/>
      <c r="H54" s="16" t="str">
        <f aca="false">IF(F54="","",IF(G54&lt;&gt;"",G54,IF(E54="JPY",IF(ISNUMBER($L$1),ROUND(F54/$L$1,2),"レート未入力"),F54)))</f>
        <v/>
      </c>
      <c r="I54" s="33"/>
      <c r="J54" s="16" t="str">
        <f aca="false">IF(ISNUMBER(H54),ROUND(H54*IF(I54="",1,I54),2),"")</f>
        <v/>
      </c>
      <c r="K54" s="35"/>
      <c r="L54" s="22" t="str">
        <f aca="false">IF(A54="","",IF(A54&lt;DATE(2025,4,6),"2024/25",IF(A54&lt;DATE(2026,4,6),"2025/26",IF(A54&lt;DATE(2027,4,6),"2026/27","2027/28"))))</f>
        <v/>
      </c>
      <c r="N54" s="13"/>
    </row>
    <row r="55" customFormat="false" ht="15" hidden="false" customHeight="false" outlineLevel="0" collapsed="false">
      <c r="A55" s="31"/>
      <c r="B55" s="13"/>
      <c r="C55" s="13"/>
      <c r="D55" s="32"/>
      <c r="E55" s="32"/>
      <c r="F55" s="14"/>
      <c r="G55" s="23"/>
      <c r="H55" s="16" t="str">
        <f aca="false">IF(F55="","",IF(G55&lt;&gt;"",G55,IF(E55="JPY",IF(ISNUMBER($L$1),ROUND(F55/$L$1,2),"レート未入力"),F55)))</f>
        <v/>
      </c>
      <c r="I55" s="33"/>
      <c r="J55" s="16" t="str">
        <f aca="false">IF(ISNUMBER(H55),ROUND(H55*IF(I55="",1,I55),2),"")</f>
        <v/>
      </c>
      <c r="K55" s="35"/>
      <c r="L55" s="22" t="str">
        <f aca="false">IF(A55="","",IF(A55&lt;DATE(2025,4,6),"2024/25",IF(A55&lt;DATE(2026,4,6),"2025/26",IF(A55&lt;DATE(2027,4,6),"2026/27","2027/28"))))</f>
        <v/>
      </c>
      <c r="N55" s="13"/>
    </row>
    <row r="56" customFormat="false" ht="15" hidden="false" customHeight="false" outlineLevel="0" collapsed="false">
      <c r="A56" s="31"/>
      <c r="B56" s="13"/>
      <c r="C56" s="13"/>
      <c r="D56" s="32"/>
      <c r="E56" s="32"/>
      <c r="F56" s="14"/>
      <c r="G56" s="23"/>
      <c r="H56" s="16" t="str">
        <f aca="false">IF(F56="","",IF(G56&lt;&gt;"",G56,IF(E56="JPY",IF(ISNUMBER($L$1),ROUND(F56/$L$1,2),"レート未入力"),F56)))</f>
        <v/>
      </c>
      <c r="I56" s="33"/>
      <c r="J56" s="16" t="str">
        <f aca="false">IF(ISNUMBER(H56),ROUND(H56*IF(I56="",1,I56),2),"")</f>
        <v/>
      </c>
      <c r="K56" s="35"/>
      <c r="L56" s="22" t="str">
        <f aca="false">IF(A56="","",IF(A56&lt;DATE(2025,4,6),"2024/25",IF(A56&lt;DATE(2026,4,6),"2025/26",IF(A56&lt;DATE(2027,4,6),"2026/27","2027/28"))))</f>
        <v/>
      </c>
      <c r="N56" s="13"/>
    </row>
    <row r="57" customFormat="false" ht="15" hidden="false" customHeight="false" outlineLevel="0" collapsed="false">
      <c r="A57" s="31"/>
      <c r="B57" s="13"/>
      <c r="C57" s="13"/>
      <c r="D57" s="32"/>
      <c r="E57" s="32"/>
      <c r="F57" s="14"/>
      <c r="G57" s="23"/>
      <c r="H57" s="16" t="str">
        <f aca="false">IF(F57="","",IF(G57&lt;&gt;"",G57,IF(E57="JPY",IF(ISNUMBER($L$1),ROUND(F57/$L$1,2),"レート未入力"),F57)))</f>
        <v/>
      </c>
      <c r="I57" s="33"/>
      <c r="J57" s="16" t="str">
        <f aca="false">IF(ISNUMBER(H57),ROUND(H57*IF(I57="",1,I57),2),"")</f>
        <v/>
      </c>
      <c r="K57" s="35"/>
      <c r="L57" s="22" t="str">
        <f aca="false">IF(A57="","",IF(A57&lt;DATE(2025,4,6),"2024/25",IF(A57&lt;DATE(2026,4,6),"2025/26",IF(A57&lt;DATE(2027,4,6),"2026/27","2027/28"))))</f>
        <v/>
      </c>
      <c r="N57" s="13"/>
    </row>
    <row r="58" customFormat="false" ht="15" hidden="false" customHeight="false" outlineLevel="0" collapsed="false">
      <c r="A58" s="31"/>
      <c r="B58" s="13"/>
      <c r="C58" s="13"/>
      <c r="D58" s="32"/>
      <c r="E58" s="32"/>
      <c r="F58" s="14"/>
      <c r="G58" s="23"/>
      <c r="H58" s="16" t="str">
        <f aca="false">IF(F58="","",IF(G58&lt;&gt;"",G58,IF(E58="JPY",IF(ISNUMBER($L$1),ROUND(F58/$L$1,2),"レート未入力"),F58)))</f>
        <v/>
      </c>
      <c r="I58" s="33"/>
      <c r="J58" s="16" t="str">
        <f aca="false">IF(ISNUMBER(H58),ROUND(H58*IF(I58="",1,I58),2),"")</f>
        <v/>
      </c>
      <c r="K58" s="35"/>
      <c r="L58" s="22" t="str">
        <f aca="false">IF(A58="","",IF(A58&lt;DATE(2025,4,6),"2024/25",IF(A58&lt;DATE(2026,4,6),"2025/26",IF(A58&lt;DATE(2027,4,6),"2026/27","2027/28"))))</f>
        <v/>
      </c>
      <c r="N58" s="13"/>
    </row>
    <row r="59" customFormat="false" ht="15" hidden="false" customHeight="false" outlineLevel="0" collapsed="false">
      <c r="A59" s="31"/>
      <c r="B59" s="13"/>
      <c r="C59" s="13"/>
      <c r="D59" s="32"/>
      <c r="E59" s="32"/>
      <c r="F59" s="14"/>
      <c r="G59" s="23"/>
      <c r="H59" s="16" t="str">
        <f aca="false">IF(F59="","",IF(G59&lt;&gt;"",G59,IF(E59="JPY",IF(ISNUMBER($L$1),ROUND(F59/$L$1,2),"レート未入力"),F59)))</f>
        <v/>
      </c>
      <c r="I59" s="33"/>
      <c r="J59" s="16" t="str">
        <f aca="false">IF(ISNUMBER(H59),ROUND(H59*IF(I59="",1,I59),2),"")</f>
        <v/>
      </c>
      <c r="K59" s="35"/>
      <c r="L59" s="22" t="str">
        <f aca="false">IF(A59="","",IF(A59&lt;DATE(2025,4,6),"2024/25",IF(A59&lt;DATE(2026,4,6),"2025/26",IF(A59&lt;DATE(2027,4,6),"2026/27","2027/28"))))</f>
        <v/>
      </c>
      <c r="N59" s="13"/>
    </row>
    <row r="60" customFormat="false" ht="15" hidden="false" customHeight="false" outlineLevel="0" collapsed="false">
      <c r="A60" s="31"/>
      <c r="B60" s="13"/>
      <c r="C60" s="13"/>
      <c r="D60" s="32"/>
      <c r="E60" s="32"/>
      <c r="F60" s="14"/>
      <c r="G60" s="23"/>
      <c r="H60" s="16" t="str">
        <f aca="false">IF(F60="","",IF(G60&lt;&gt;"",G60,IF(E60="JPY",IF(ISNUMBER($L$1),ROUND(F60/$L$1,2),"レート未入力"),F60)))</f>
        <v/>
      </c>
      <c r="I60" s="33"/>
      <c r="J60" s="16" t="str">
        <f aca="false">IF(ISNUMBER(H60),ROUND(H60*IF(I60="",1,I60),2),"")</f>
        <v/>
      </c>
      <c r="K60" s="35"/>
      <c r="L60" s="22" t="str">
        <f aca="false">IF(A60="","",IF(A60&lt;DATE(2025,4,6),"2024/25",IF(A60&lt;DATE(2026,4,6),"2025/26",IF(A60&lt;DATE(2027,4,6),"2026/27","2027/28"))))</f>
        <v/>
      </c>
      <c r="N60" s="13"/>
    </row>
    <row r="61" customFormat="false" ht="15" hidden="false" customHeight="false" outlineLevel="0" collapsed="false">
      <c r="A61" s="31"/>
      <c r="B61" s="13"/>
      <c r="C61" s="13"/>
      <c r="D61" s="32"/>
      <c r="E61" s="32"/>
      <c r="F61" s="14"/>
      <c r="G61" s="23"/>
      <c r="H61" s="16" t="str">
        <f aca="false">IF(F61="","",IF(G61&lt;&gt;"",G61,IF(E61="JPY",IF(ISNUMBER($L$1),ROUND(F61/$L$1,2),"レート未入力"),F61)))</f>
        <v/>
      </c>
      <c r="I61" s="33"/>
      <c r="J61" s="16" t="str">
        <f aca="false">IF(ISNUMBER(H61),ROUND(H61*IF(I61="",1,I61),2),"")</f>
        <v/>
      </c>
      <c r="K61" s="35"/>
      <c r="L61" s="22" t="str">
        <f aca="false">IF(A61="","",IF(A61&lt;DATE(2025,4,6),"2024/25",IF(A61&lt;DATE(2026,4,6),"2025/26",IF(A61&lt;DATE(2027,4,6),"2026/27","2027/28"))))</f>
        <v/>
      </c>
      <c r="N61" s="13"/>
    </row>
    <row r="62" customFormat="false" ht="15" hidden="false" customHeight="false" outlineLevel="0" collapsed="false">
      <c r="A62" s="31"/>
      <c r="B62" s="13"/>
      <c r="C62" s="13"/>
      <c r="D62" s="32"/>
      <c r="E62" s="32"/>
      <c r="F62" s="14"/>
      <c r="G62" s="23"/>
      <c r="H62" s="16" t="str">
        <f aca="false">IF(F62="","",IF(G62&lt;&gt;"",G62,IF(E62="JPY",IF(ISNUMBER($L$1),ROUND(F62/$L$1,2),"レート未入力"),F62)))</f>
        <v/>
      </c>
      <c r="I62" s="33"/>
      <c r="J62" s="16" t="str">
        <f aca="false">IF(ISNUMBER(H62),ROUND(H62*IF(I62="",1,I62),2),"")</f>
        <v/>
      </c>
      <c r="K62" s="35"/>
      <c r="L62" s="22" t="str">
        <f aca="false">IF(A62="","",IF(A62&lt;DATE(2025,4,6),"2024/25",IF(A62&lt;DATE(2026,4,6),"2025/26",IF(A62&lt;DATE(2027,4,6),"2026/27","2027/28"))))</f>
        <v/>
      </c>
      <c r="N62" s="13"/>
    </row>
    <row r="63" customFormat="false" ht="15" hidden="false" customHeight="false" outlineLevel="0" collapsed="false">
      <c r="A63" s="31"/>
      <c r="B63" s="13"/>
      <c r="C63" s="13"/>
      <c r="D63" s="32"/>
      <c r="E63" s="32"/>
      <c r="F63" s="14"/>
      <c r="G63" s="23"/>
      <c r="H63" s="16" t="str">
        <f aca="false">IF(F63="","",IF(G63&lt;&gt;"",G63,IF(E63="JPY",IF(ISNUMBER($L$1),ROUND(F63/$L$1,2),"レート未入力"),F63)))</f>
        <v/>
      </c>
      <c r="I63" s="33"/>
      <c r="J63" s="16" t="str">
        <f aca="false">IF(ISNUMBER(H63),ROUND(H63*IF(I63="",1,I63),2),"")</f>
        <v/>
      </c>
      <c r="K63" s="35"/>
      <c r="L63" s="22" t="str">
        <f aca="false">IF(A63="","",IF(A63&lt;DATE(2025,4,6),"2024/25",IF(A63&lt;DATE(2026,4,6),"2025/26",IF(A63&lt;DATE(2027,4,6),"2026/27","2027/28"))))</f>
        <v/>
      </c>
      <c r="N63" s="13"/>
    </row>
    <row r="64" customFormat="false" ht="15" hidden="false" customHeight="false" outlineLevel="0" collapsed="false">
      <c r="A64" s="31"/>
      <c r="B64" s="13"/>
      <c r="C64" s="13"/>
      <c r="D64" s="32"/>
      <c r="E64" s="32"/>
      <c r="F64" s="14"/>
      <c r="G64" s="23"/>
      <c r="H64" s="16" t="str">
        <f aca="false">IF(F64="","",IF(G64&lt;&gt;"",G64,IF(E64="JPY",IF(ISNUMBER($L$1),ROUND(F64/$L$1,2),"レート未入力"),F64)))</f>
        <v/>
      </c>
      <c r="I64" s="33"/>
      <c r="J64" s="16" t="str">
        <f aca="false">IF(ISNUMBER(H64),ROUND(H64*IF(I64="",1,I64),2),"")</f>
        <v/>
      </c>
      <c r="K64" s="35"/>
      <c r="L64" s="22" t="str">
        <f aca="false">IF(A64="","",IF(A64&lt;DATE(2025,4,6),"2024/25",IF(A64&lt;DATE(2026,4,6),"2025/26",IF(A64&lt;DATE(2027,4,6),"2026/27","2027/28"))))</f>
        <v/>
      </c>
      <c r="N64" s="13"/>
    </row>
    <row r="65" customFormat="false" ht="15" hidden="false" customHeight="false" outlineLevel="0" collapsed="false">
      <c r="A65" s="31"/>
      <c r="B65" s="13"/>
      <c r="C65" s="13"/>
      <c r="D65" s="32"/>
      <c r="E65" s="32"/>
      <c r="F65" s="14"/>
      <c r="G65" s="23"/>
      <c r="H65" s="16" t="str">
        <f aca="false">IF(F65="","",IF(G65&lt;&gt;"",G65,IF(E65="JPY",IF(ISNUMBER($L$1),ROUND(F65/$L$1,2),"レート未入力"),F65)))</f>
        <v/>
      </c>
      <c r="I65" s="33"/>
      <c r="J65" s="16" t="str">
        <f aca="false">IF(ISNUMBER(H65),ROUND(H65*IF(I65="",1,I65),2),"")</f>
        <v/>
      </c>
      <c r="K65" s="35"/>
      <c r="L65" s="22" t="str">
        <f aca="false">IF(A65="","",IF(A65&lt;DATE(2025,4,6),"2024/25",IF(A65&lt;DATE(2026,4,6),"2025/26",IF(A65&lt;DATE(2027,4,6),"2026/27","2027/28"))))</f>
        <v/>
      </c>
      <c r="N65" s="13"/>
    </row>
    <row r="66" customFormat="false" ht="15" hidden="false" customHeight="false" outlineLevel="0" collapsed="false">
      <c r="A66" s="31"/>
      <c r="B66" s="13"/>
      <c r="C66" s="13"/>
      <c r="D66" s="32"/>
      <c r="E66" s="32"/>
      <c r="F66" s="14"/>
      <c r="G66" s="23"/>
      <c r="H66" s="16" t="str">
        <f aca="false">IF(F66="","",IF(G66&lt;&gt;"",G66,IF(E66="JPY",IF(ISNUMBER($L$1),ROUND(F66/$L$1,2),"レート未入力"),F66)))</f>
        <v/>
      </c>
      <c r="I66" s="33"/>
      <c r="J66" s="16" t="str">
        <f aca="false">IF(ISNUMBER(H66),ROUND(H66*IF(I66="",1,I66),2),"")</f>
        <v/>
      </c>
      <c r="K66" s="35"/>
      <c r="L66" s="22" t="str">
        <f aca="false">IF(A66="","",IF(A66&lt;DATE(2025,4,6),"2024/25",IF(A66&lt;DATE(2026,4,6),"2025/26",IF(A66&lt;DATE(2027,4,6),"2026/27","2027/28"))))</f>
        <v/>
      </c>
      <c r="N66" s="13"/>
    </row>
    <row r="67" customFormat="false" ht="15" hidden="false" customHeight="false" outlineLevel="0" collapsed="false">
      <c r="A67" s="31"/>
      <c r="B67" s="13"/>
      <c r="C67" s="13"/>
      <c r="D67" s="32"/>
      <c r="E67" s="32"/>
      <c r="F67" s="14"/>
      <c r="G67" s="23"/>
      <c r="H67" s="16" t="str">
        <f aca="false">IF(F67="","",IF(G67&lt;&gt;"",G67,IF(E67="JPY",IF(ISNUMBER($L$1),ROUND(F67/$L$1,2),"レート未入力"),F67)))</f>
        <v/>
      </c>
      <c r="I67" s="33"/>
      <c r="J67" s="16" t="str">
        <f aca="false">IF(ISNUMBER(H67),ROUND(H67*IF(I67="",1,I67),2),"")</f>
        <v/>
      </c>
      <c r="K67" s="35"/>
      <c r="L67" s="22" t="str">
        <f aca="false">IF(A67="","",IF(A67&lt;DATE(2025,4,6),"2024/25",IF(A67&lt;DATE(2026,4,6),"2025/26",IF(A67&lt;DATE(2027,4,6),"2026/27","2027/28"))))</f>
        <v/>
      </c>
      <c r="N67" s="13"/>
    </row>
    <row r="68" customFormat="false" ht="15" hidden="false" customHeight="false" outlineLevel="0" collapsed="false">
      <c r="A68" s="31"/>
      <c r="B68" s="13"/>
      <c r="C68" s="13"/>
      <c r="D68" s="32"/>
      <c r="E68" s="32"/>
      <c r="F68" s="14"/>
      <c r="G68" s="23"/>
      <c r="H68" s="16" t="str">
        <f aca="false">IF(F68="","",IF(G68&lt;&gt;"",G68,IF(E68="JPY",IF(ISNUMBER($L$1),ROUND(F68/$L$1,2),"レート未入力"),F68)))</f>
        <v/>
      </c>
      <c r="I68" s="33"/>
      <c r="J68" s="16" t="str">
        <f aca="false">IF(ISNUMBER(H68),ROUND(H68*IF(I68="",1,I68),2),"")</f>
        <v/>
      </c>
      <c r="K68" s="35"/>
      <c r="L68" s="22" t="str">
        <f aca="false">IF(A68="","",IF(A68&lt;DATE(2025,4,6),"2024/25",IF(A68&lt;DATE(2026,4,6),"2025/26",IF(A68&lt;DATE(2027,4,6),"2026/27","2027/28"))))</f>
        <v/>
      </c>
      <c r="N68" s="13"/>
    </row>
    <row r="69" customFormat="false" ht="15" hidden="false" customHeight="false" outlineLevel="0" collapsed="false">
      <c r="A69" s="31"/>
      <c r="B69" s="13"/>
      <c r="C69" s="13"/>
      <c r="D69" s="32"/>
      <c r="E69" s="32"/>
      <c r="F69" s="14"/>
      <c r="G69" s="23"/>
      <c r="H69" s="16" t="str">
        <f aca="false">IF(F69="","",IF(G69&lt;&gt;"",G69,IF(E69="JPY",IF(ISNUMBER($L$1),ROUND(F69/$L$1,2),"レート未入力"),F69)))</f>
        <v/>
      </c>
      <c r="I69" s="33"/>
      <c r="J69" s="16" t="str">
        <f aca="false">IF(ISNUMBER(H69),ROUND(H69*IF(I69="",1,I69),2),"")</f>
        <v/>
      </c>
      <c r="K69" s="35"/>
      <c r="L69" s="22" t="str">
        <f aca="false">IF(A69="","",IF(A69&lt;DATE(2025,4,6),"2024/25",IF(A69&lt;DATE(2026,4,6),"2025/26",IF(A69&lt;DATE(2027,4,6),"2026/27","2027/28"))))</f>
        <v/>
      </c>
      <c r="N69" s="13"/>
    </row>
    <row r="70" customFormat="false" ht="15" hidden="false" customHeight="false" outlineLevel="0" collapsed="false">
      <c r="A70" s="3" t="s">
        <v>196</v>
      </c>
      <c r="J70" s="18" t="n">
        <f aca="false">SUM(J30:J69)</f>
        <v>0</v>
      </c>
    </row>
    <row r="72" customFormat="false" ht="15" hidden="false" customHeight="false" outlineLevel="0" collapsed="false">
      <c r="A72" s="26" t="s">
        <v>197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customFormat="false" ht="15" hidden="false" customHeight="false" outlineLevel="0" collapsed="false">
      <c r="A73" s="17" t="s">
        <v>137</v>
      </c>
      <c r="D73" s="36" t="s">
        <v>16</v>
      </c>
      <c r="E73" s="36" t="s">
        <v>18</v>
      </c>
      <c r="F73" s="36"/>
    </row>
    <row r="74" customFormat="false" ht="15" hidden="false" customHeight="false" outlineLevel="0" collapsed="false">
      <c r="A74" s="17" t="s">
        <v>183</v>
      </c>
      <c r="D74" s="18" t="n">
        <f aca="false">SUMIFS($H$6:$H$25,$J$6:$J$25,"2025/26")</f>
        <v>0</v>
      </c>
      <c r="E74" s="18" t="n">
        <f aca="false">SUMIFS($H$6:$H$25,$J$6:$J$25,"2026/27")</f>
        <v>0</v>
      </c>
      <c r="F74" s="18"/>
    </row>
    <row r="75" customFormat="false" ht="15" hidden="false" customHeight="false" outlineLevel="0" collapsed="false">
      <c r="A75" s="21" t="s">
        <v>41</v>
      </c>
      <c r="D75" s="16" t="n">
        <f aca="false">SUMIFS($J$30:$J$69,$D$30:$D$69,$A75,$L$30:$L$69,"2025/26")</f>
        <v>0</v>
      </c>
      <c r="E75" s="16" t="n">
        <f aca="false">SUMIFS($J$30:$J$69,$D$30:$D$69,$A75,$L$30:$L$69,"2026/27")</f>
        <v>0</v>
      </c>
      <c r="F75" s="16"/>
    </row>
    <row r="76" customFormat="false" ht="15" hidden="false" customHeight="false" outlineLevel="0" collapsed="false">
      <c r="A76" s="21" t="s">
        <v>43</v>
      </c>
      <c r="D76" s="16" t="n">
        <f aca="false">SUMIFS($J$30:$J$69,$D$30:$D$69,$A76,$L$30:$L$69,"2025/26")</f>
        <v>0</v>
      </c>
      <c r="E76" s="16" t="n">
        <f aca="false">SUMIFS($J$30:$J$69,$D$30:$D$69,$A76,$L$30:$L$69,"2026/27")</f>
        <v>0</v>
      </c>
      <c r="F76" s="16"/>
    </row>
    <row r="77" customFormat="false" ht="15" hidden="false" customHeight="false" outlineLevel="0" collapsed="false">
      <c r="A77" s="21" t="s">
        <v>45</v>
      </c>
      <c r="D77" s="16" t="n">
        <f aca="false">SUMIFS($J$30:$J$69,$D$30:$D$69,$A77,$L$30:$L$69,"2025/26")</f>
        <v>0</v>
      </c>
      <c r="E77" s="16" t="n">
        <f aca="false">SUMIFS($J$30:$J$69,$D$30:$D$69,$A77,$L$30:$L$69,"2026/27")</f>
        <v>0</v>
      </c>
      <c r="F77" s="16"/>
    </row>
    <row r="78" customFormat="false" ht="15" hidden="false" customHeight="false" outlineLevel="0" collapsed="false">
      <c r="A78" s="21" t="s">
        <v>47</v>
      </c>
      <c r="D78" s="16" t="n">
        <f aca="false">SUMIFS($J$30:$J$69,$D$30:$D$69,$A78,$L$30:$L$69,"2025/26")</f>
        <v>0</v>
      </c>
      <c r="E78" s="16" t="n">
        <f aca="false">SUMIFS($J$30:$J$69,$D$30:$D$69,$A78,$L$30:$L$69,"2026/27")</f>
        <v>0</v>
      </c>
      <c r="F78" s="16"/>
    </row>
    <row r="79" customFormat="false" ht="15" hidden="false" customHeight="false" outlineLevel="0" collapsed="false">
      <c r="A79" s="21" t="s">
        <v>49</v>
      </c>
      <c r="D79" s="16" t="n">
        <f aca="false">SUMIFS($J$30:$J$69,$D$30:$D$69,$A79,$L$30:$L$69,"2025/26")</f>
        <v>0</v>
      </c>
      <c r="E79" s="16" t="n">
        <f aca="false">SUMIFS($J$30:$J$69,$D$30:$D$69,$A79,$L$30:$L$69,"2026/27")</f>
        <v>0</v>
      </c>
      <c r="F79" s="16"/>
    </row>
    <row r="80" customFormat="false" ht="15" hidden="false" customHeight="false" outlineLevel="0" collapsed="false">
      <c r="A80" s="21" t="s">
        <v>51</v>
      </c>
      <c r="D80" s="16" t="n">
        <f aca="false">SUMIFS($J$30:$J$69,$D$30:$D$69,$A80,$L$30:$L$69,"2025/26")</f>
        <v>0</v>
      </c>
      <c r="E80" s="16" t="n">
        <f aca="false">SUMIFS($J$30:$J$69,$D$30:$D$69,$A80,$L$30:$L$69,"2026/27")</f>
        <v>0</v>
      </c>
      <c r="F80" s="16"/>
    </row>
    <row r="81" customFormat="false" ht="15" hidden="false" customHeight="false" outlineLevel="0" collapsed="false">
      <c r="A81" s="21" t="s">
        <v>53</v>
      </c>
      <c r="D81" s="16" t="n">
        <f aca="false">SUMIFS($J$30:$J$69,$D$30:$D$69,$A81,$L$30:$L$69,"2025/26")</f>
        <v>0</v>
      </c>
      <c r="E81" s="16" t="n">
        <f aca="false">SUMIFS($J$30:$J$69,$D$30:$D$69,$A81,$L$30:$L$69,"2026/27")</f>
        <v>0</v>
      </c>
      <c r="F81" s="16"/>
    </row>
    <row r="82" customFormat="false" ht="15" hidden="false" customHeight="false" outlineLevel="0" collapsed="false">
      <c r="A82" s="21" t="s">
        <v>55</v>
      </c>
      <c r="D82" s="16" t="n">
        <f aca="false">SUMIFS($J$30:$J$69,$D$30:$D$69,$A82,$L$30:$L$69,"2025/26")</f>
        <v>0</v>
      </c>
      <c r="E82" s="16" t="n">
        <f aca="false">SUMIFS($J$30:$J$69,$D$30:$D$69,$A82,$L$30:$L$69,"2026/27")</f>
        <v>0</v>
      </c>
      <c r="F82" s="16"/>
    </row>
    <row r="83" customFormat="false" ht="15" hidden="false" customHeight="false" outlineLevel="0" collapsed="false">
      <c r="A83" s="21" t="s">
        <v>57</v>
      </c>
      <c r="D83" s="16" t="n">
        <f aca="false">SUMIFS($J$30:$J$69,$D$30:$D$69,$A83,$L$30:$L$69,"2025/26")</f>
        <v>0</v>
      </c>
      <c r="E83" s="16" t="n">
        <f aca="false">SUMIFS($J$30:$J$69,$D$30:$D$69,$A83,$L$30:$L$69,"2026/27")</f>
        <v>0</v>
      </c>
      <c r="F83" s="16"/>
    </row>
    <row r="84" customFormat="false" ht="15" hidden="false" customHeight="false" outlineLevel="0" collapsed="false">
      <c r="A84" s="21" t="s">
        <v>59</v>
      </c>
      <c r="D84" s="16" t="n">
        <f aca="false">SUMIFS($J$30:$J$69,$D$30:$D$69,$A84,$L$30:$L$69,"2025/26")</f>
        <v>0</v>
      </c>
      <c r="E84" s="16" t="n">
        <f aca="false">SUMIFS($J$30:$J$69,$D$30:$D$69,$A84,$L$30:$L$69,"2026/27")</f>
        <v>0</v>
      </c>
      <c r="F84" s="16"/>
    </row>
    <row r="85" customFormat="false" ht="15" hidden="false" customHeight="false" outlineLevel="0" collapsed="false">
      <c r="A85" s="21" t="s">
        <v>61</v>
      </c>
      <c r="D85" s="16" t="n">
        <f aca="false">SUMIFS($J$30:$J$69,$D$30:$D$69,$A85,$L$30:$L$69,"2025/26")</f>
        <v>0</v>
      </c>
      <c r="E85" s="16" t="n">
        <f aca="false">SUMIFS($J$30:$J$69,$D$30:$D$69,$A85,$L$30:$L$69,"2026/27")</f>
        <v>0</v>
      </c>
      <c r="F85" s="16"/>
    </row>
    <row r="86" customFormat="false" ht="15" hidden="false" customHeight="false" outlineLevel="0" collapsed="false">
      <c r="A86" s="21" t="s">
        <v>63</v>
      </c>
      <c r="D86" s="16" t="n">
        <f aca="false">SUMIFS($J$30:$J$69,$D$30:$D$69,$A86,$L$30:$L$69,"2025/26")</f>
        <v>0</v>
      </c>
      <c r="E86" s="16" t="n">
        <f aca="false">SUMIFS($J$30:$J$69,$D$30:$D$69,$A86,$L$30:$L$69,"2026/27")</f>
        <v>0</v>
      </c>
      <c r="F86" s="16"/>
    </row>
    <row r="87" customFormat="false" ht="15" hidden="false" customHeight="false" outlineLevel="0" collapsed="false">
      <c r="A87" s="21" t="s">
        <v>64</v>
      </c>
      <c r="D87" s="16" t="n">
        <f aca="false">SUMIFS($J$30:$J$69,$D$30:$D$69,$A87,$L$30:$L$69,"2025/26")</f>
        <v>0</v>
      </c>
      <c r="E87" s="16" t="n">
        <f aca="false">SUMIFS($J$30:$J$69,$D$30:$D$69,$A87,$L$30:$L$69,"2026/27")</f>
        <v>0</v>
      </c>
      <c r="F87" s="16"/>
    </row>
    <row r="88" customFormat="false" ht="15" hidden="false" customHeight="false" outlineLevel="0" collapsed="false">
      <c r="A88" s="17" t="s">
        <v>198</v>
      </c>
      <c r="D88" s="18" t="n">
        <f aca="false">SUM(D75:D86)</f>
        <v>0</v>
      </c>
      <c r="E88" s="18" t="n">
        <f aca="false">SUM(E75:E86)</f>
        <v>0</v>
      </c>
      <c r="F88" s="18"/>
    </row>
    <row r="89" customFormat="false" ht="15" hidden="false" customHeight="false" outlineLevel="0" collapsed="false">
      <c r="A89" s="17" t="s">
        <v>199</v>
      </c>
      <c r="D89" s="18" t="n">
        <f aca="false">D74-D88-D87</f>
        <v>0</v>
      </c>
      <c r="E89" s="18" t="n">
        <f aca="false">E74-E88-E87</f>
        <v>0</v>
      </c>
      <c r="F89" s="18"/>
    </row>
    <row r="90" customFormat="false" ht="15" hidden="false" customHeight="false" outlineLevel="0" collapsed="false">
      <c r="A90" s="37" t="s">
        <v>200</v>
      </c>
    </row>
    <row r="91" customFormat="false" ht="15" hidden="false" customHeight="false" outlineLevel="0" collapsed="false">
      <c r="A91" s="21" t="s">
        <v>201</v>
      </c>
      <c r="D91" s="16" t="n">
        <f aca="false">SUMIFS($J$30:$J$69,$D$30:$D$69,"")</f>
        <v>0</v>
      </c>
    </row>
  </sheetData>
  <mergeCells count="17"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</mergeCells>
  <dataValidations count="5">
    <dataValidation allowBlank="true" error="0%〜100%で入力してください" errorStyle="stop" operator="between" showDropDown="false" showErrorMessage="true" showInputMessage="false" sqref="I30:I69" type="decimal">
      <formula1>0</formula1>
      <formula2>1</formula2>
    </dataValidation>
    <dataValidation allowBlank="true" errorStyle="stop" operator="between" showDropDown="false" showErrorMessage="false" showInputMessage="false" sqref="E6:E25 E30:E69" type="list">
      <formula1>_list!$B$1:$B$2</formula1>
      <formula2>0</formula2>
    </dataValidation>
    <dataValidation allowBlank="true" errorStyle="stop" operator="between" showDropDown="false" showErrorMessage="false" showInputMessage="false" sqref="D30:D69" type="list">
      <formula1>_list!$A$1:$A$13</formula1>
      <formula2>0</formula2>
    </dataValidation>
    <dataValidation allowBlank="true" errorStyle="stop" operator="between" showDropDown="false" showErrorMessage="false" showInputMessage="false" sqref="D6:D25" type="list">
      <formula1>_list!$C$1:$C$7</formula1>
      <formula2>0</formula2>
    </dataValidation>
    <dataValidation allowBlank="true" error="日付で入力してください（例：2025/5/2）" errorStyle="stop" operator="between" showDropDown="false" showErrorMessage="true" showInputMessage="false" sqref="A6:A25 A30:A69" type="date">
      <formula1>DATE(2025,4,1)</formula1>
      <formula2>DATE(2027,12,31)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24"/>
  </cols>
  <sheetData>
    <row r="1" customFormat="false" ht="19.4" hidden="false" customHeight="false" outlineLevel="0" collapsed="false">
      <c r="A1" s="1" t="s">
        <v>208</v>
      </c>
      <c r="J1" s="3" t="s">
        <v>164</v>
      </c>
      <c r="L1" s="25" t="str">
        <f aca="false">IF(為替レート!$B$12="","未入力",為替レート!$B$12)</f>
        <v>未入力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26" t="s">
        <v>166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customFormat="false" ht="30" hidden="false" customHeight="true" outlineLevel="0" collapsed="false">
      <c r="A5" s="9" t="s">
        <v>167</v>
      </c>
      <c r="B5" s="9" t="s">
        <v>168</v>
      </c>
      <c r="C5" s="9" t="s">
        <v>169</v>
      </c>
      <c r="D5" s="9" t="s">
        <v>170</v>
      </c>
      <c r="E5" s="9" t="s">
        <v>171</v>
      </c>
      <c r="F5" s="9" t="s">
        <v>172</v>
      </c>
      <c r="G5" s="9" t="s">
        <v>173</v>
      </c>
      <c r="H5" s="9" t="s">
        <v>174</v>
      </c>
      <c r="I5" s="9" t="s">
        <v>175</v>
      </c>
      <c r="J5" s="9" t="s">
        <v>176</v>
      </c>
      <c r="K5" s="9"/>
      <c r="L5" s="9"/>
      <c r="M5" s="9"/>
      <c r="N5" s="9" t="s">
        <v>177</v>
      </c>
    </row>
    <row r="6" customFormat="false" ht="15" hidden="false" customHeight="false" outlineLevel="0" collapsed="false">
      <c r="A6" s="31"/>
      <c r="B6" s="13"/>
      <c r="C6" s="13"/>
      <c r="D6" s="32"/>
      <c r="E6" s="32"/>
      <c r="F6" s="14"/>
      <c r="G6" s="23"/>
      <c r="H6" s="16" t="str">
        <f aca="false">IF(F6="","",IF(G6&lt;&gt;"",G6,IF(E6="JPY",IF(ISNUMBER($L$1),ROUND(F6/$L$1,2),"レート未入力"),F6)))</f>
        <v/>
      </c>
      <c r="I6" s="13"/>
      <c r="J6" s="22" t="str">
        <f aca="false">IF(A6="","",IF(A6&lt;DATE(2025,4,6),"2024/25",IF(A6&lt;DATE(2026,4,6),"2025/26",IF(A6&lt;DATE(2027,4,6),"2026/27","2027/28"))))</f>
        <v/>
      </c>
      <c r="N6" s="13"/>
    </row>
    <row r="7" customFormat="false" ht="15" hidden="false" customHeight="false" outlineLevel="0" collapsed="false">
      <c r="A7" s="31"/>
      <c r="B7" s="13"/>
      <c r="C7" s="13"/>
      <c r="D7" s="32"/>
      <c r="E7" s="32"/>
      <c r="F7" s="14"/>
      <c r="G7" s="23"/>
      <c r="H7" s="16" t="str">
        <f aca="false">IF(F7="","",IF(G7&lt;&gt;"",G7,IF(E7="JPY",IF(ISNUMBER($L$1),ROUND(F7/$L$1,2),"レート未入力"),F7)))</f>
        <v/>
      </c>
      <c r="I7" s="13"/>
      <c r="J7" s="22" t="str">
        <f aca="false">IF(A7="","",IF(A7&lt;DATE(2025,4,6),"2024/25",IF(A7&lt;DATE(2026,4,6),"2025/26",IF(A7&lt;DATE(2027,4,6),"2026/27","2027/28"))))</f>
        <v/>
      </c>
      <c r="N7" s="13"/>
    </row>
    <row r="8" customFormat="false" ht="15" hidden="false" customHeight="false" outlineLevel="0" collapsed="false">
      <c r="A8" s="31"/>
      <c r="B8" s="13"/>
      <c r="C8" s="13"/>
      <c r="D8" s="32"/>
      <c r="E8" s="32"/>
      <c r="F8" s="14"/>
      <c r="G8" s="23"/>
      <c r="H8" s="16" t="str">
        <f aca="false">IF(F8="","",IF(G8&lt;&gt;"",G8,IF(E8="JPY",IF(ISNUMBER($L$1),ROUND(F8/$L$1,2),"レート未入力"),F8)))</f>
        <v/>
      </c>
      <c r="I8" s="13"/>
      <c r="J8" s="22" t="str">
        <f aca="false">IF(A8="","",IF(A8&lt;DATE(2025,4,6),"2024/25",IF(A8&lt;DATE(2026,4,6),"2025/26",IF(A8&lt;DATE(2027,4,6),"2026/27","2027/28"))))</f>
        <v/>
      </c>
      <c r="N8" s="13"/>
    </row>
    <row r="9" customFormat="false" ht="15" hidden="false" customHeight="false" outlineLevel="0" collapsed="false">
      <c r="A9" s="31"/>
      <c r="B9" s="13"/>
      <c r="C9" s="13"/>
      <c r="D9" s="32"/>
      <c r="E9" s="32"/>
      <c r="F9" s="14"/>
      <c r="G9" s="23"/>
      <c r="H9" s="16" t="str">
        <f aca="false">IF(F9="","",IF(G9&lt;&gt;"",G9,IF(E9="JPY",IF(ISNUMBER($L$1),ROUND(F9/$L$1,2),"レート未入力"),F9)))</f>
        <v/>
      </c>
      <c r="I9" s="13"/>
      <c r="J9" s="22" t="str">
        <f aca="false">IF(A9="","",IF(A9&lt;DATE(2025,4,6),"2024/25",IF(A9&lt;DATE(2026,4,6),"2025/26",IF(A9&lt;DATE(2027,4,6),"2026/27","2027/28"))))</f>
        <v/>
      </c>
      <c r="N9" s="13"/>
    </row>
    <row r="10" customFormat="false" ht="15" hidden="false" customHeight="false" outlineLevel="0" collapsed="false">
      <c r="A10" s="31"/>
      <c r="B10" s="13"/>
      <c r="C10" s="13"/>
      <c r="D10" s="32"/>
      <c r="E10" s="32"/>
      <c r="F10" s="14"/>
      <c r="G10" s="23"/>
      <c r="H10" s="16" t="str">
        <f aca="false">IF(F10="","",IF(G10&lt;&gt;"",G10,IF(E10="JPY",IF(ISNUMBER($L$1),ROUND(F10/$L$1,2),"レート未入力"),F10)))</f>
        <v/>
      </c>
      <c r="I10" s="13"/>
      <c r="J10" s="22" t="str">
        <f aca="false">IF(A10="","",IF(A10&lt;DATE(2025,4,6),"2024/25",IF(A10&lt;DATE(2026,4,6),"2025/26",IF(A10&lt;DATE(2027,4,6),"2026/27","2027/28"))))</f>
        <v/>
      </c>
      <c r="N10" s="13"/>
    </row>
    <row r="11" customFormat="false" ht="15" hidden="false" customHeight="false" outlineLevel="0" collapsed="false">
      <c r="A11" s="31"/>
      <c r="B11" s="13"/>
      <c r="C11" s="13"/>
      <c r="D11" s="32"/>
      <c r="E11" s="32"/>
      <c r="F11" s="14"/>
      <c r="G11" s="23"/>
      <c r="H11" s="16" t="str">
        <f aca="false">IF(F11="","",IF(G11&lt;&gt;"",G11,IF(E11="JPY",IF(ISNUMBER($L$1),ROUND(F11/$L$1,2),"レート未入力"),F11)))</f>
        <v/>
      </c>
      <c r="I11" s="13"/>
      <c r="J11" s="22" t="str">
        <f aca="false">IF(A11="","",IF(A11&lt;DATE(2025,4,6),"2024/25",IF(A11&lt;DATE(2026,4,6),"2025/26",IF(A11&lt;DATE(2027,4,6),"2026/27","2027/28"))))</f>
        <v/>
      </c>
      <c r="N11" s="13"/>
    </row>
    <row r="12" customFormat="false" ht="15" hidden="false" customHeight="false" outlineLevel="0" collapsed="false">
      <c r="A12" s="31"/>
      <c r="B12" s="13"/>
      <c r="C12" s="13"/>
      <c r="D12" s="32"/>
      <c r="E12" s="32"/>
      <c r="F12" s="14"/>
      <c r="G12" s="23"/>
      <c r="H12" s="16" t="str">
        <f aca="false">IF(F12="","",IF(G12&lt;&gt;"",G12,IF(E12="JPY",IF(ISNUMBER($L$1),ROUND(F12/$L$1,2),"レート未入力"),F12)))</f>
        <v/>
      </c>
      <c r="I12" s="13"/>
      <c r="J12" s="22" t="str">
        <f aca="false">IF(A12="","",IF(A12&lt;DATE(2025,4,6),"2024/25",IF(A12&lt;DATE(2026,4,6),"2025/26",IF(A12&lt;DATE(2027,4,6),"2026/27","2027/28"))))</f>
        <v/>
      </c>
      <c r="N12" s="13"/>
    </row>
    <row r="13" customFormat="false" ht="15" hidden="false" customHeight="false" outlineLevel="0" collapsed="false">
      <c r="A13" s="31"/>
      <c r="B13" s="13"/>
      <c r="C13" s="13"/>
      <c r="D13" s="32"/>
      <c r="E13" s="32"/>
      <c r="F13" s="14"/>
      <c r="G13" s="23"/>
      <c r="H13" s="16" t="str">
        <f aca="false">IF(F13="","",IF(G13&lt;&gt;"",G13,IF(E13="JPY",IF(ISNUMBER($L$1),ROUND(F13/$L$1,2),"レート未入力"),F13)))</f>
        <v/>
      </c>
      <c r="I13" s="13"/>
      <c r="J13" s="22" t="str">
        <f aca="false">IF(A13="","",IF(A13&lt;DATE(2025,4,6),"2024/25",IF(A13&lt;DATE(2026,4,6),"2025/26",IF(A13&lt;DATE(2027,4,6),"2026/27","2027/28"))))</f>
        <v/>
      </c>
      <c r="N13" s="13"/>
    </row>
    <row r="14" customFormat="false" ht="15" hidden="false" customHeight="false" outlineLevel="0" collapsed="false">
      <c r="A14" s="31"/>
      <c r="B14" s="13"/>
      <c r="C14" s="13"/>
      <c r="D14" s="32"/>
      <c r="E14" s="32"/>
      <c r="F14" s="14"/>
      <c r="G14" s="23"/>
      <c r="H14" s="16" t="str">
        <f aca="false">IF(F14="","",IF(G14&lt;&gt;"",G14,IF(E14="JPY",IF(ISNUMBER($L$1),ROUND(F14/$L$1,2),"レート未入力"),F14)))</f>
        <v/>
      </c>
      <c r="I14" s="13"/>
      <c r="J14" s="22" t="str">
        <f aca="false">IF(A14="","",IF(A14&lt;DATE(2025,4,6),"2024/25",IF(A14&lt;DATE(2026,4,6),"2025/26",IF(A14&lt;DATE(2027,4,6),"2026/27","2027/28"))))</f>
        <v/>
      </c>
      <c r="N14" s="13"/>
    </row>
    <row r="15" customFormat="false" ht="15" hidden="false" customHeight="false" outlineLevel="0" collapsed="false">
      <c r="A15" s="31"/>
      <c r="B15" s="13"/>
      <c r="C15" s="13"/>
      <c r="D15" s="32"/>
      <c r="E15" s="32"/>
      <c r="F15" s="14"/>
      <c r="G15" s="23"/>
      <c r="H15" s="16" t="str">
        <f aca="false">IF(F15="","",IF(G15&lt;&gt;"",G15,IF(E15="JPY",IF(ISNUMBER($L$1),ROUND(F15/$L$1,2),"レート未入力"),F15)))</f>
        <v/>
      </c>
      <c r="I15" s="13"/>
      <c r="J15" s="22" t="str">
        <f aca="false">IF(A15="","",IF(A15&lt;DATE(2025,4,6),"2024/25",IF(A15&lt;DATE(2026,4,6),"2025/26",IF(A15&lt;DATE(2027,4,6),"2026/27","2027/28"))))</f>
        <v/>
      </c>
      <c r="N15" s="13"/>
    </row>
    <row r="16" customFormat="false" ht="15" hidden="false" customHeight="false" outlineLevel="0" collapsed="false">
      <c r="A16" s="31"/>
      <c r="B16" s="13"/>
      <c r="C16" s="13"/>
      <c r="D16" s="32"/>
      <c r="E16" s="32"/>
      <c r="F16" s="14"/>
      <c r="G16" s="23"/>
      <c r="H16" s="16" t="str">
        <f aca="false">IF(F16="","",IF(G16&lt;&gt;"",G16,IF(E16="JPY",IF(ISNUMBER($L$1),ROUND(F16/$L$1,2),"レート未入力"),F16)))</f>
        <v/>
      </c>
      <c r="I16" s="13"/>
      <c r="J16" s="22" t="str">
        <f aca="false">IF(A16="","",IF(A16&lt;DATE(2025,4,6),"2024/25",IF(A16&lt;DATE(2026,4,6),"2025/26",IF(A16&lt;DATE(2027,4,6),"2026/27","2027/28"))))</f>
        <v/>
      </c>
      <c r="N16" s="13"/>
    </row>
    <row r="17" customFormat="false" ht="15" hidden="false" customHeight="false" outlineLevel="0" collapsed="false">
      <c r="A17" s="31"/>
      <c r="B17" s="13"/>
      <c r="C17" s="13"/>
      <c r="D17" s="32"/>
      <c r="E17" s="32"/>
      <c r="F17" s="14"/>
      <c r="G17" s="23"/>
      <c r="H17" s="16" t="str">
        <f aca="false">IF(F17="","",IF(G17&lt;&gt;"",G17,IF(E17="JPY",IF(ISNUMBER($L$1),ROUND(F17/$L$1,2),"レート未入力"),F17)))</f>
        <v/>
      </c>
      <c r="I17" s="13"/>
      <c r="J17" s="22" t="str">
        <f aca="false">IF(A17="","",IF(A17&lt;DATE(2025,4,6),"2024/25",IF(A17&lt;DATE(2026,4,6),"2025/26",IF(A17&lt;DATE(2027,4,6),"2026/27","2027/28"))))</f>
        <v/>
      </c>
      <c r="N17" s="13"/>
    </row>
    <row r="18" customFormat="false" ht="15" hidden="false" customHeight="false" outlineLevel="0" collapsed="false">
      <c r="A18" s="31"/>
      <c r="B18" s="13"/>
      <c r="C18" s="13"/>
      <c r="D18" s="32"/>
      <c r="E18" s="32"/>
      <c r="F18" s="14"/>
      <c r="G18" s="23"/>
      <c r="H18" s="16" t="str">
        <f aca="false">IF(F18="","",IF(G18&lt;&gt;"",G18,IF(E18="JPY",IF(ISNUMBER($L$1),ROUND(F18/$L$1,2),"レート未入力"),F18)))</f>
        <v/>
      </c>
      <c r="I18" s="13"/>
      <c r="J18" s="22" t="str">
        <f aca="false">IF(A18="","",IF(A18&lt;DATE(2025,4,6),"2024/25",IF(A18&lt;DATE(2026,4,6),"2025/26",IF(A18&lt;DATE(2027,4,6),"2026/27","2027/28"))))</f>
        <v/>
      </c>
      <c r="N18" s="13"/>
    </row>
    <row r="19" customFormat="false" ht="15" hidden="false" customHeight="false" outlineLevel="0" collapsed="false">
      <c r="A19" s="31"/>
      <c r="B19" s="13"/>
      <c r="C19" s="13"/>
      <c r="D19" s="32"/>
      <c r="E19" s="32"/>
      <c r="F19" s="14"/>
      <c r="G19" s="23"/>
      <c r="H19" s="16" t="str">
        <f aca="false">IF(F19="","",IF(G19&lt;&gt;"",G19,IF(E19="JPY",IF(ISNUMBER($L$1),ROUND(F19/$L$1,2),"レート未入力"),F19)))</f>
        <v/>
      </c>
      <c r="I19" s="13"/>
      <c r="J19" s="22" t="str">
        <f aca="false">IF(A19="","",IF(A19&lt;DATE(2025,4,6),"2024/25",IF(A19&lt;DATE(2026,4,6),"2025/26",IF(A19&lt;DATE(2027,4,6),"2026/27","2027/28"))))</f>
        <v/>
      </c>
      <c r="N19" s="13"/>
    </row>
    <row r="20" customFormat="false" ht="15" hidden="false" customHeight="false" outlineLevel="0" collapsed="false">
      <c r="A20" s="31"/>
      <c r="B20" s="13"/>
      <c r="C20" s="13"/>
      <c r="D20" s="32"/>
      <c r="E20" s="32"/>
      <c r="F20" s="14"/>
      <c r="G20" s="23"/>
      <c r="H20" s="16" t="str">
        <f aca="false">IF(F20="","",IF(G20&lt;&gt;"",G20,IF(E20="JPY",IF(ISNUMBER($L$1),ROUND(F20/$L$1,2),"レート未入力"),F20)))</f>
        <v/>
      </c>
      <c r="I20" s="13"/>
      <c r="J20" s="22" t="str">
        <f aca="false">IF(A20="","",IF(A20&lt;DATE(2025,4,6),"2024/25",IF(A20&lt;DATE(2026,4,6),"2025/26",IF(A20&lt;DATE(2027,4,6),"2026/27","2027/28"))))</f>
        <v/>
      </c>
      <c r="N20" s="13"/>
    </row>
    <row r="21" customFormat="false" ht="15" hidden="false" customHeight="false" outlineLevel="0" collapsed="false">
      <c r="A21" s="31"/>
      <c r="B21" s="13"/>
      <c r="C21" s="13"/>
      <c r="D21" s="32"/>
      <c r="E21" s="32"/>
      <c r="F21" s="14"/>
      <c r="G21" s="23"/>
      <c r="H21" s="16" t="str">
        <f aca="false">IF(F21="","",IF(G21&lt;&gt;"",G21,IF(E21="JPY",IF(ISNUMBER($L$1),ROUND(F21/$L$1,2),"レート未入力"),F21)))</f>
        <v/>
      </c>
      <c r="I21" s="13"/>
      <c r="J21" s="22" t="str">
        <f aca="false">IF(A21="","",IF(A21&lt;DATE(2025,4,6),"2024/25",IF(A21&lt;DATE(2026,4,6),"2025/26",IF(A21&lt;DATE(2027,4,6),"2026/27","2027/28"))))</f>
        <v/>
      </c>
      <c r="N21" s="13"/>
    </row>
    <row r="22" customFormat="false" ht="15" hidden="false" customHeight="false" outlineLevel="0" collapsed="false">
      <c r="A22" s="31"/>
      <c r="B22" s="13"/>
      <c r="C22" s="13"/>
      <c r="D22" s="32"/>
      <c r="E22" s="32"/>
      <c r="F22" s="14"/>
      <c r="G22" s="23"/>
      <c r="H22" s="16" t="str">
        <f aca="false">IF(F22="","",IF(G22&lt;&gt;"",G22,IF(E22="JPY",IF(ISNUMBER($L$1),ROUND(F22/$L$1,2),"レート未入力"),F22)))</f>
        <v/>
      </c>
      <c r="I22" s="13"/>
      <c r="J22" s="22" t="str">
        <f aca="false">IF(A22="","",IF(A22&lt;DATE(2025,4,6),"2024/25",IF(A22&lt;DATE(2026,4,6),"2025/26",IF(A22&lt;DATE(2027,4,6),"2026/27","2027/28"))))</f>
        <v/>
      </c>
      <c r="N22" s="13"/>
    </row>
    <row r="23" customFormat="false" ht="15" hidden="false" customHeight="false" outlineLevel="0" collapsed="false">
      <c r="A23" s="31"/>
      <c r="B23" s="13"/>
      <c r="C23" s="13"/>
      <c r="D23" s="32"/>
      <c r="E23" s="32"/>
      <c r="F23" s="14"/>
      <c r="G23" s="23"/>
      <c r="H23" s="16" t="str">
        <f aca="false">IF(F23="","",IF(G23&lt;&gt;"",G23,IF(E23="JPY",IF(ISNUMBER($L$1),ROUND(F23/$L$1,2),"レート未入力"),F23)))</f>
        <v/>
      </c>
      <c r="I23" s="13"/>
      <c r="J23" s="22" t="str">
        <f aca="false">IF(A23="","",IF(A23&lt;DATE(2025,4,6),"2024/25",IF(A23&lt;DATE(2026,4,6),"2025/26",IF(A23&lt;DATE(2027,4,6),"2026/27","2027/28"))))</f>
        <v/>
      </c>
      <c r="N23" s="13"/>
    </row>
    <row r="24" customFormat="false" ht="15" hidden="false" customHeight="false" outlineLevel="0" collapsed="false">
      <c r="A24" s="31"/>
      <c r="B24" s="13"/>
      <c r="C24" s="13"/>
      <c r="D24" s="32"/>
      <c r="E24" s="32"/>
      <c r="F24" s="14"/>
      <c r="G24" s="23"/>
      <c r="H24" s="16" t="str">
        <f aca="false">IF(F24="","",IF(G24&lt;&gt;"",G24,IF(E24="JPY",IF(ISNUMBER($L$1),ROUND(F24/$L$1,2),"レート未入力"),F24)))</f>
        <v/>
      </c>
      <c r="I24" s="13"/>
      <c r="J24" s="22" t="str">
        <f aca="false">IF(A24="","",IF(A24&lt;DATE(2025,4,6),"2024/25",IF(A24&lt;DATE(2026,4,6),"2025/26",IF(A24&lt;DATE(2027,4,6),"2026/27","2027/28"))))</f>
        <v/>
      </c>
      <c r="N24" s="13"/>
    </row>
    <row r="25" customFormat="false" ht="15" hidden="false" customHeight="false" outlineLevel="0" collapsed="false">
      <c r="A25" s="31"/>
      <c r="B25" s="13"/>
      <c r="C25" s="13"/>
      <c r="D25" s="32"/>
      <c r="E25" s="32"/>
      <c r="F25" s="14"/>
      <c r="G25" s="23"/>
      <c r="H25" s="16" t="str">
        <f aca="false">IF(F25="","",IF(G25&lt;&gt;"",G25,IF(E25="JPY",IF(ISNUMBER($L$1),ROUND(F25/$L$1,2),"レート未入力"),F25)))</f>
        <v/>
      </c>
      <c r="I25" s="13"/>
      <c r="J25" s="22" t="str">
        <f aca="false">IF(A25="","",IF(A25&lt;DATE(2025,4,6),"2024/25",IF(A25&lt;DATE(2026,4,6),"2025/26",IF(A25&lt;DATE(2027,4,6),"2026/27","2027/28"))))</f>
        <v/>
      </c>
      <c r="N25" s="13"/>
    </row>
    <row r="26" customFormat="false" ht="15" hidden="false" customHeight="false" outlineLevel="0" collapsed="false">
      <c r="A26" s="3" t="s">
        <v>183</v>
      </c>
      <c r="H26" s="18" t="n">
        <f aca="false">SUM(H6:H25)</f>
        <v>0</v>
      </c>
    </row>
    <row r="28" customFormat="false" ht="15" hidden="false" customHeight="false" outlineLevel="0" collapsed="false">
      <c r="A28" s="26" t="s">
        <v>184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</row>
    <row r="29" customFormat="false" ht="30" hidden="false" customHeight="true" outlineLevel="0" collapsed="false">
      <c r="A29" s="9" t="s">
        <v>167</v>
      </c>
      <c r="B29" s="9" t="s">
        <v>185</v>
      </c>
      <c r="C29" s="9" t="s">
        <v>169</v>
      </c>
      <c r="D29" s="9" t="s">
        <v>38</v>
      </c>
      <c r="E29" s="9" t="s">
        <v>171</v>
      </c>
      <c r="F29" s="9" t="s">
        <v>172</v>
      </c>
      <c r="G29" s="9" t="s">
        <v>173</v>
      </c>
      <c r="H29" s="10" t="s">
        <v>186</v>
      </c>
      <c r="I29" s="9" t="s">
        <v>187</v>
      </c>
      <c r="J29" s="9" t="s">
        <v>188</v>
      </c>
      <c r="K29" s="9" t="s">
        <v>189</v>
      </c>
      <c r="L29" s="9" t="s">
        <v>176</v>
      </c>
      <c r="M29" s="9"/>
      <c r="N29" s="9" t="s">
        <v>177</v>
      </c>
    </row>
    <row r="30" customFormat="false" ht="15" hidden="false" customHeight="false" outlineLevel="0" collapsed="false">
      <c r="A30" s="31"/>
      <c r="B30" s="13"/>
      <c r="C30" s="13"/>
      <c r="D30" s="32"/>
      <c r="E30" s="32"/>
      <c r="F30" s="14"/>
      <c r="G30" s="23"/>
      <c r="H30" s="16" t="str">
        <f aca="false">IF(F30="","",IF(G30&lt;&gt;"",G30,IF(E30="JPY",IF(ISNUMBER($L$1),ROUND(F30/$L$1,2),"レート未入力"),F30)))</f>
        <v/>
      </c>
      <c r="I30" s="33"/>
      <c r="J30" s="16" t="str">
        <f aca="false">IF(ISNUMBER(H30),ROUND(H30*IF(I30="",1,I30),2),"")</f>
        <v/>
      </c>
      <c r="K30" s="35"/>
      <c r="L30" s="22" t="str">
        <f aca="false">IF(A30="","",IF(A30&lt;DATE(2025,4,6),"2024/25",IF(A30&lt;DATE(2026,4,6),"2025/26",IF(A30&lt;DATE(2027,4,6),"2026/27","2027/28"))))</f>
        <v/>
      </c>
      <c r="N30" s="13"/>
    </row>
    <row r="31" customFormat="false" ht="15" hidden="false" customHeight="false" outlineLevel="0" collapsed="false">
      <c r="A31" s="31"/>
      <c r="B31" s="13"/>
      <c r="C31" s="13"/>
      <c r="D31" s="32"/>
      <c r="E31" s="32"/>
      <c r="F31" s="14"/>
      <c r="G31" s="23"/>
      <c r="H31" s="16" t="str">
        <f aca="false">IF(F31="","",IF(G31&lt;&gt;"",G31,IF(E31="JPY",IF(ISNUMBER($L$1),ROUND(F31/$L$1,2),"レート未入力"),F31)))</f>
        <v/>
      </c>
      <c r="I31" s="33"/>
      <c r="J31" s="16" t="str">
        <f aca="false">IF(ISNUMBER(H31),ROUND(H31*IF(I31="",1,I31),2),"")</f>
        <v/>
      </c>
      <c r="K31" s="35"/>
      <c r="L31" s="22" t="str">
        <f aca="false">IF(A31="","",IF(A31&lt;DATE(2025,4,6),"2024/25",IF(A31&lt;DATE(2026,4,6),"2025/26",IF(A31&lt;DATE(2027,4,6),"2026/27","2027/28"))))</f>
        <v/>
      </c>
      <c r="N31" s="13"/>
    </row>
    <row r="32" customFormat="false" ht="15" hidden="false" customHeight="false" outlineLevel="0" collapsed="false">
      <c r="A32" s="31"/>
      <c r="B32" s="13"/>
      <c r="C32" s="13"/>
      <c r="D32" s="32"/>
      <c r="E32" s="32"/>
      <c r="F32" s="14"/>
      <c r="G32" s="23"/>
      <c r="H32" s="16" t="str">
        <f aca="false">IF(F32="","",IF(G32&lt;&gt;"",G32,IF(E32="JPY",IF(ISNUMBER($L$1),ROUND(F32/$L$1,2),"レート未入力"),F32)))</f>
        <v/>
      </c>
      <c r="I32" s="33"/>
      <c r="J32" s="16" t="str">
        <f aca="false">IF(ISNUMBER(H32),ROUND(H32*IF(I32="",1,I32),2),"")</f>
        <v/>
      </c>
      <c r="K32" s="35"/>
      <c r="L32" s="22" t="str">
        <f aca="false">IF(A32="","",IF(A32&lt;DATE(2025,4,6),"2024/25",IF(A32&lt;DATE(2026,4,6),"2025/26",IF(A32&lt;DATE(2027,4,6),"2026/27","2027/28"))))</f>
        <v/>
      </c>
      <c r="N32" s="13"/>
    </row>
    <row r="33" customFormat="false" ht="15" hidden="false" customHeight="false" outlineLevel="0" collapsed="false">
      <c r="A33" s="31"/>
      <c r="B33" s="13"/>
      <c r="C33" s="13"/>
      <c r="D33" s="32"/>
      <c r="E33" s="32"/>
      <c r="F33" s="14"/>
      <c r="G33" s="23"/>
      <c r="H33" s="16" t="str">
        <f aca="false">IF(F33="","",IF(G33&lt;&gt;"",G33,IF(E33="JPY",IF(ISNUMBER($L$1),ROUND(F33/$L$1,2),"レート未入力"),F33)))</f>
        <v/>
      </c>
      <c r="I33" s="33"/>
      <c r="J33" s="16" t="str">
        <f aca="false">IF(ISNUMBER(H33),ROUND(H33*IF(I33="",1,I33),2),"")</f>
        <v/>
      </c>
      <c r="K33" s="35"/>
      <c r="L33" s="22" t="str">
        <f aca="false">IF(A33="","",IF(A33&lt;DATE(2025,4,6),"2024/25",IF(A33&lt;DATE(2026,4,6),"2025/26",IF(A33&lt;DATE(2027,4,6),"2026/27","2027/28"))))</f>
        <v/>
      </c>
      <c r="N33" s="13"/>
    </row>
    <row r="34" customFormat="false" ht="15" hidden="false" customHeight="false" outlineLevel="0" collapsed="false">
      <c r="A34" s="31"/>
      <c r="B34" s="13"/>
      <c r="C34" s="13"/>
      <c r="D34" s="32"/>
      <c r="E34" s="32"/>
      <c r="F34" s="14"/>
      <c r="G34" s="23"/>
      <c r="H34" s="16" t="str">
        <f aca="false">IF(F34="","",IF(G34&lt;&gt;"",G34,IF(E34="JPY",IF(ISNUMBER($L$1),ROUND(F34/$L$1,2),"レート未入力"),F34)))</f>
        <v/>
      </c>
      <c r="I34" s="33"/>
      <c r="J34" s="16" t="str">
        <f aca="false">IF(ISNUMBER(H34),ROUND(H34*IF(I34="",1,I34),2),"")</f>
        <v/>
      </c>
      <c r="K34" s="35"/>
      <c r="L34" s="22" t="str">
        <f aca="false">IF(A34="","",IF(A34&lt;DATE(2025,4,6),"2024/25",IF(A34&lt;DATE(2026,4,6),"2025/26",IF(A34&lt;DATE(2027,4,6),"2026/27","2027/28"))))</f>
        <v/>
      </c>
      <c r="N34" s="13"/>
    </row>
    <row r="35" customFormat="false" ht="15" hidden="false" customHeight="false" outlineLevel="0" collapsed="false">
      <c r="A35" s="31"/>
      <c r="B35" s="13"/>
      <c r="C35" s="13"/>
      <c r="D35" s="32"/>
      <c r="E35" s="32"/>
      <c r="F35" s="14"/>
      <c r="G35" s="23"/>
      <c r="H35" s="16" t="str">
        <f aca="false">IF(F35="","",IF(G35&lt;&gt;"",G35,IF(E35="JPY",IF(ISNUMBER($L$1),ROUND(F35/$L$1,2),"レート未入力"),F35)))</f>
        <v/>
      </c>
      <c r="I35" s="33"/>
      <c r="J35" s="16" t="str">
        <f aca="false">IF(ISNUMBER(H35),ROUND(H35*IF(I35="",1,I35),2),"")</f>
        <v/>
      </c>
      <c r="K35" s="35"/>
      <c r="L35" s="22" t="str">
        <f aca="false">IF(A35="","",IF(A35&lt;DATE(2025,4,6),"2024/25",IF(A35&lt;DATE(2026,4,6),"2025/26",IF(A35&lt;DATE(2027,4,6),"2026/27","2027/28"))))</f>
        <v/>
      </c>
      <c r="N35" s="13"/>
    </row>
    <row r="36" customFormat="false" ht="15" hidden="false" customHeight="false" outlineLevel="0" collapsed="false">
      <c r="A36" s="31"/>
      <c r="B36" s="13"/>
      <c r="C36" s="13"/>
      <c r="D36" s="32"/>
      <c r="E36" s="32"/>
      <c r="F36" s="14"/>
      <c r="G36" s="23"/>
      <c r="H36" s="16" t="str">
        <f aca="false">IF(F36="","",IF(G36&lt;&gt;"",G36,IF(E36="JPY",IF(ISNUMBER($L$1),ROUND(F36/$L$1,2),"レート未入力"),F36)))</f>
        <v/>
      </c>
      <c r="I36" s="33"/>
      <c r="J36" s="16" t="str">
        <f aca="false">IF(ISNUMBER(H36),ROUND(H36*IF(I36="",1,I36),2),"")</f>
        <v/>
      </c>
      <c r="K36" s="35"/>
      <c r="L36" s="22" t="str">
        <f aca="false">IF(A36="","",IF(A36&lt;DATE(2025,4,6),"2024/25",IF(A36&lt;DATE(2026,4,6),"2025/26",IF(A36&lt;DATE(2027,4,6),"2026/27","2027/28"))))</f>
        <v/>
      </c>
      <c r="N36" s="13"/>
    </row>
    <row r="37" customFormat="false" ht="15" hidden="false" customHeight="false" outlineLevel="0" collapsed="false">
      <c r="A37" s="31"/>
      <c r="B37" s="13"/>
      <c r="C37" s="13"/>
      <c r="D37" s="32"/>
      <c r="E37" s="32"/>
      <c r="F37" s="14"/>
      <c r="G37" s="23"/>
      <c r="H37" s="16" t="str">
        <f aca="false">IF(F37="","",IF(G37&lt;&gt;"",G37,IF(E37="JPY",IF(ISNUMBER($L$1),ROUND(F37/$L$1,2),"レート未入力"),F37)))</f>
        <v/>
      </c>
      <c r="I37" s="33"/>
      <c r="J37" s="16" t="str">
        <f aca="false">IF(ISNUMBER(H37),ROUND(H37*IF(I37="",1,I37),2),"")</f>
        <v/>
      </c>
      <c r="K37" s="35"/>
      <c r="L37" s="22" t="str">
        <f aca="false">IF(A37="","",IF(A37&lt;DATE(2025,4,6),"2024/25",IF(A37&lt;DATE(2026,4,6),"2025/26",IF(A37&lt;DATE(2027,4,6),"2026/27","2027/28"))))</f>
        <v/>
      </c>
      <c r="N37" s="13"/>
    </row>
    <row r="38" customFormat="false" ht="15" hidden="false" customHeight="false" outlineLevel="0" collapsed="false">
      <c r="A38" s="31"/>
      <c r="B38" s="13"/>
      <c r="C38" s="13"/>
      <c r="D38" s="32"/>
      <c r="E38" s="32"/>
      <c r="F38" s="14"/>
      <c r="G38" s="23"/>
      <c r="H38" s="16" t="str">
        <f aca="false">IF(F38="","",IF(G38&lt;&gt;"",G38,IF(E38="JPY",IF(ISNUMBER($L$1),ROUND(F38/$L$1,2),"レート未入力"),F38)))</f>
        <v/>
      </c>
      <c r="I38" s="33"/>
      <c r="J38" s="16" t="str">
        <f aca="false">IF(ISNUMBER(H38),ROUND(H38*IF(I38="",1,I38),2),"")</f>
        <v/>
      </c>
      <c r="K38" s="35"/>
      <c r="L38" s="22" t="str">
        <f aca="false">IF(A38="","",IF(A38&lt;DATE(2025,4,6),"2024/25",IF(A38&lt;DATE(2026,4,6),"2025/26",IF(A38&lt;DATE(2027,4,6),"2026/27","2027/28"))))</f>
        <v/>
      </c>
      <c r="N38" s="13"/>
    </row>
    <row r="39" customFormat="false" ht="15" hidden="false" customHeight="false" outlineLevel="0" collapsed="false">
      <c r="A39" s="31"/>
      <c r="B39" s="13"/>
      <c r="C39" s="13"/>
      <c r="D39" s="32"/>
      <c r="E39" s="32"/>
      <c r="F39" s="14"/>
      <c r="G39" s="23"/>
      <c r="H39" s="16" t="str">
        <f aca="false">IF(F39="","",IF(G39&lt;&gt;"",G39,IF(E39="JPY",IF(ISNUMBER($L$1),ROUND(F39/$L$1,2),"レート未入力"),F39)))</f>
        <v/>
      </c>
      <c r="I39" s="33"/>
      <c r="J39" s="16" t="str">
        <f aca="false">IF(ISNUMBER(H39),ROUND(H39*IF(I39="",1,I39),2),"")</f>
        <v/>
      </c>
      <c r="K39" s="35"/>
      <c r="L39" s="22" t="str">
        <f aca="false">IF(A39="","",IF(A39&lt;DATE(2025,4,6),"2024/25",IF(A39&lt;DATE(2026,4,6),"2025/26",IF(A39&lt;DATE(2027,4,6),"2026/27","2027/28"))))</f>
        <v/>
      </c>
      <c r="N39" s="13"/>
    </row>
    <row r="40" customFormat="false" ht="15" hidden="false" customHeight="false" outlineLevel="0" collapsed="false">
      <c r="A40" s="31"/>
      <c r="B40" s="13"/>
      <c r="C40" s="13"/>
      <c r="D40" s="32"/>
      <c r="E40" s="32"/>
      <c r="F40" s="14"/>
      <c r="G40" s="23"/>
      <c r="H40" s="16" t="str">
        <f aca="false">IF(F40="","",IF(G40&lt;&gt;"",G40,IF(E40="JPY",IF(ISNUMBER($L$1),ROUND(F40/$L$1,2),"レート未入力"),F40)))</f>
        <v/>
      </c>
      <c r="I40" s="33"/>
      <c r="J40" s="16" t="str">
        <f aca="false">IF(ISNUMBER(H40),ROUND(H40*IF(I40="",1,I40),2),"")</f>
        <v/>
      </c>
      <c r="K40" s="35"/>
      <c r="L40" s="22" t="str">
        <f aca="false">IF(A40="","",IF(A40&lt;DATE(2025,4,6),"2024/25",IF(A40&lt;DATE(2026,4,6),"2025/26",IF(A40&lt;DATE(2027,4,6),"2026/27","2027/28"))))</f>
        <v/>
      </c>
      <c r="N40" s="13"/>
    </row>
    <row r="41" customFormat="false" ht="15" hidden="false" customHeight="false" outlineLevel="0" collapsed="false">
      <c r="A41" s="31"/>
      <c r="B41" s="13"/>
      <c r="C41" s="13"/>
      <c r="D41" s="32"/>
      <c r="E41" s="32"/>
      <c r="F41" s="14"/>
      <c r="G41" s="23"/>
      <c r="H41" s="16" t="str">
        <f aca="false">IF(F41="","",IF(G41&lt;&gt;"",G41,IF(E41="JPY",IF(ISNUMBER($L$1),ROUND(F41/$L$1,2),"レート未入力"),F41)))</f>
        <v/>
      </c>
      <c r="I41" s="33"/>
      <c r="J41" s="16" t="str">
        <f aca="false">IF(ISNUMBER(H41),ROUND(H41*IF(I41="",1,I41),2),"")</f>
        <v/>
      </c>
      <c r="K41" s="35"/>
      <c r="L41" s="22" t="str">
        <f aca="false">IF(A41="","",IF(A41&lt;DATE(2025,4,6),"2024/25",IF(A41&lt;DATE(2026,4,6),"2025/26",IF(A41&lt;DATE(2027,4,6),"2026/27","2027/28"))))</f>
        <v/>
      </c>
      <c r="N41" s="13"/>
    </row>
    <row r="42" customFormat="false" ht="15" hidden="false" customHeight="false" outlineLevel="0" collapsed="false">
      <c r="A42" s="31"/>
      <c r="B42" s="13"/>
      <c r="C42" s="13"/>
      <c r="D42" s="32"/>
      <c r="E42" s="32"/>
      <c r="F42" s="14"/>
      <c r="G42" s="23"/>
      <c r="H42" s="16" t="str">
        <f aca="false">IF(F42="","",IF(G42&lt;&gt;"",G42,IF(E42="JPY",IF(ISNUMBER($L$1),ROUND(F42/$L$1,2),"レート未入力"),F42)))</f>
        <v/>
      </c>
      <c r="I42" s="33"/>
      <c r="J42" s="16" t="str">
        <f aca="false">IF(ISNUMBER(H42),ROUND(H42*IF(I42="",1,I42),2),"")</f>
        <v/>
      </c>
      <c r="K42" s="35"/>
      <c r="L42" s="22" t="str">
        <f aca="false">IF(A42="","",IF(A42&lt;DATE(2025,4,6),"2024/25",IF(A42&lt;DATE(2026,4,6),"2025/26",IF(A42&lt;DATE(2027,4,6),"2026/27","2027/28"))))</f>
        <v/>
      </c>
      <c r="N42" s="13"/>
    </row>
    <row r="43" customFormat="false" ht="15" hidden="false" customHeight="false" outlineLevel="0" collapsed="false">
      <c r="A43" s="31"/>
      <c r="B43" s="13"/>
      <c r="C43" s="13"/>
      <c r="D43" s="32"/>
      <c r="E43" s="32"/>
      <c r="F43" s="14"/>
      <c r="G43" s="23"/>
      <c r="H43" s="16" t="str">
        <f aca="false">IF(F43="","",IF(G43&lt;&gt;"",G43,IF(E43="JPY",IF(ISNUMBER($L$1),ROUND(F43/$L$1,2),"レート未入力"),F43)))</f>
        <v/>
      </c>
      <c r="I43" s="33"/>
      <c r="J43" s="16" t="str">
        <f aca="false">IF(ISNUMBER(H43),ROUND(H43*IF(I43="",1,I43),2),"")</f>
        <v/>
      </c>
      <c r="K43" s="35"/>
      <c r="L43" s="22" t="str">
        <f aca="false">IF(A43="","",IF(A43&lt;DATE(2025,4,6),"2024/25",IF(A43&lt;DATE(2026,4,6),"2025/26",IF(A43&lt;DATE(2027,4,6),"2026/27","2027/28"))))</f>
        <v/>
      </c>
      <c r="N43" s="13"/>
    </row>
    <row r="44" customFormat="false" ht="15" hidden="false" customHeight="false" outlineLevel="0" collapsed="false">
      <c r="A44" s="31"/>
      <c r="B44" s="13"/>
      <c r="C44" s="13"/>
      <c r="D44" s="32"/>
      <c r="E44" s="32"/>
      <c r="F44" s="14"/>
      <c r="G44" s="23"/>
      <c r="H44" s="16" t="str">
        <f aca="false">IF(F44="","",IF(G44&lt;&gt;"",G44,IF(E44="JPY",IF(ISNUMBER($L$1),ROUND(F44/$L$1,2),"レート未入力"),F44)))</f>
        <v/>
      </c>
      <c r="I44" s="33"/>
      <c r="J44" s="16" t="str">
        <f aca="false">IF(ISNUMBER(H44),ROUND(H44*IF(I44="",1,I44),2),"")</f>
        <v/>
      </c>
      <c r="K44" s="35"/>
      <c r="L44" s="22" t="str">
        <f aca="false">IF(A44="","",IF(A44&lt;DATE(2025,4,6),"2024/25",IF(A44&lt;DATE(2026,4,6),"2025/26",IF(A44&lt;DATE(2027,4,6),"2026/27","2027/28"))))</f>
        <v/>
      </c>
      <c r="N44" s="13"/>
    </row>
    <row r="45" customFormat="false" ht="15" hidden="false" customHeight="false" outlineLevel="0" collapsed="false">
      <c r="A45" s="31"/>
      <c r="B45" s="13"/>
      <c r="C45" s="13"/>
      <c r="D45" s="32"/>
      <c r="E45" s="32"/>
      <c r="F45" s="14"/>
      <c r="G45" s="23"/>
      <c r="H45" s="16" t="str">
        <f aca="false">IF(F45="","",IF(G45&lt;&gt;"",G45,IF(E45="JPY",IF(ISNUMBER($L$1),ROUND(F45/$L$1,2),"レート未入力"),F45)))</f>
        <v/>
      </c>
      <c r="I45" s="33"/>
      <c r="J45" s="16" t="str">
        <f aca="false">IF(ISNUMBER(H45),ROUND(H45*IF(I45="",1,I45),2),"")</f>
        <v/>
      </c>
      <c r="K45" s="35"/>
      <c r="L45" s="22" t="str">
        <f aca="false">IF(A45="","",IF(A45&lt;DATE(2025,4,6),"2024/25",IF(A45&lt;DATE(2026,4,6),"2025/26",IF(A45&lt;DATE(2027,4,6),"2026/27","2027/28"))))</f>
        <v/>
      </c>
      <c r="N45" s="13"/>
    </row>
    <row r="46" customFormat="false" ht="15" hidden="false" customHeight="false" outlineLevel="0" collapsed="false">
      <c r="A46" s="31"/>
      <c r="B46" s="13"/>
      <c r="C46" s="13"/>
      <c r="D46" s="32"/>
      <c r="E46" s="32"/>
      <c r="F46" s="14"/>
      <c r="G46" s="23"/>
      <c r="H46" s="16" t="str">
        <f aca="false">IF(F46="","",IF(G46&lt;&gt;"",G46,IF(E46="JPY",IF(ISNUMBER($L$1),ROUND(F46/$L$1,2),"レート未入力"),F46)))</f>
        <v/>
      </c>
      <c r="I46" s="33"/>
      <c r="J46" s="16" t="str">
        <f aca="false">IF(ISNUMBER(H46),ROUND(H46*IF(I46="",1,I46),2),"")</f>
        <v/>
      </c>
      <c r="K46" s="35"/>
      <c r="L46" s="22" t="str">
        <f aca="false">IF(A46="","",IF(A46&lt;DATE(2025,4,6),"2024/25",IF(A46&lt;DATE(2026,4,6),"2025/26",IF(A46&lt;DATE(2027,4,6),"2026/27","2027/28"))))</f>
        <v/>
      </c>
      <c r="N46" s="13"/>
    </row>
    <row r="47" customFormat="false" ht="15" hidden="false" customHeight="false" outlineLevel="0" collapsed="false">
      <c r="A47" s="31"/>
      <c r="B47" s="13"/>
      <c r="C47" s="13"/>
      <c r="D47" s="32"/>
      <c r="E47" s="32"/>
      <c r="F47" s="14"/>
      <c r="G47" s="23"/>
      <c r="H47" s="16" t="str">
        <f aca="false">IF(F47="","",IF(G47&lt;&gt;"",G47,IF(E47="JPY",IF(ISNUMBER($L$1),ROUND(F47/$L$1,2),"レート未入力"),F47)))</f>
        <v/>
      </c>
      <c r="I47" s="33"/>
      <c r="J47" s="16" t="str">
        <f aca="false">IF(ISNUMBER(H47),ROUND(H47*IF(I47="",1,I47),2),"")</f>
        <v/>
      </c>
      <c r="K47" s="35"/>
      <c r="L47" s="22" t="str">
        <f aca="false">IF(A47="","",IF(A47&lt;DATE(2025,4,6),"2024/25",IF(A47&lt;DATE(2026,4,6),"2025/26",IF(A47&lt;DATE(2027,4,6),"2026/27","2027/28"))))</f>
        <v/>
      </c>
      <c r="N47" s="13"/>
    </row>
    <row r="48" customFormat="false" ht="15" hidden="false" customHeight="false" outlineLevel="0" collapsed="false">
      <c r="A48" s="31"/>
      <c r="B48" s="13"/>
      <c r="C48" s="13"/>
      <c r="D48" s="32"/>
      <c r="E48" s="32"/>
      <c r="F48" s="14"/>
      <c r="G48" s="23"/>
      <c r="H48" s="16" t="str">
        <f aca="false">IF(F48="","",IF(G48&lt;&gt;"",G48,IF(E48="JPY",IF(ISNUMBER($L$1),ROUND(F48/$L$1,2),"レート未入力"),F48)))</f>
        <v/>
      </c>
      <c r="I48" s="33"/>
      <c r="J48" s="16" t="str">
        <f aca="false">IF(ISNUMBER(H48),ROUND(H48*IF(I48="",1,I48),2),"")</f>
        <v/>
      </c>
      <c r="K48" s="35"/>
      <c r="L48" s="22" t="str">
        <f aca="false">IF(A48="","",IF(A48&lt;DATE(2025,4,6),"2024/25",IF(A48&lt;DATE(2026,4,6),"2025/26",IF(A48&lt;DATE(2027,4,6),"2026/27","2027/28"))))</f>
        <v/>
      </c>
      <c r="N48" s="13"/>
    </row>
    <row r="49" customFormat="false" ht="15" hidden="false" customHeight="false" outlineLevel="0" collapsed="false">
      <c r="A49" s="31"/>
      <c r="B49" s="13"/>
      <c r="C49" s="13"/>
      <c r="D49" s="32"/>
      <c r="E49" s="32"/>
      <c r="F49" s="14"/>
      <c r="G49" s="23"/>
      <c r="H49" s="16" t="str">
        <f aca="false">IF(F49="","",IF(G49&lt;&gt;"",G49,IF(E49="JPY",IF(ISNUMBER($L$1),ROUND(F49/$L$1,2),"レート未入力"),F49)))</f>
        <v/>
      </c>
      <c r="I49" s="33"/>
      <c r="J49" s="16" t="str">
        <f aca="false">IF(ISNUMBER(H49),ROUND(H49*IF(I49="",1,I49),2),"")</f>
        <v/>
      </c>
      <c r="K49" s="35"/>
      <c r="L49" s="22" t="str">
        <f aca="false">IF(A49="","",IF(A49&lt;DATE(2025,4,6),"2024/25",IF(A49&lt;DATE(2026,4,6),"2025/26",IF(A49&lt;DATE(2027,4,6),"2026/27","2027/28"))))</f>
        <v/>
      </c>
      <c r="N49" s="13"/>
    </row>
    <row r="50" customFormat="false" ht="15" hidden="false" customHeight="false" outlineLevel="0" collapsed="false">
      <c r="A50" s="31"/>
      <c r="B50" s="13"/>
      <c r="C50" s="13"/>
      <c r="D50" s="32"/>
      <c r="E50" s="32"/>
      <c r="F50" s="14"/>
      <c r="G50" s="23"/>
      <c r="H50" s="16" t="str">
        <f aca="false">IF(F50="","",IF(G50&lt;&gt;"",G50,IF(E50="JPY",IF(ISNUMBER($L$1),ROUND(F50/$L$1,2),"レート未入力"),F50)))</f>
        <v/>
      </c>
      <c r="I50" s="33"/>
      <c r="J50" s="16" t="str">
        <f aca="false">IF(ISNUMBER(H50),ROUND(H50*IF(I50="",1,I50),2),"")</f>
        <v/>
      </c>
      <c r="K50" s="35"/>
      <c r="L50" s="22" t="str">
        <f aca="false">IF(A50="","",IF(A50&lt;DATE(2025,4,6),"2024/25",IF(A50&lt;DATE(2026,4,6),"2025/26",IF(A50&lt;DATE(2027,4,6),"2026/27","2027/28"))))</f>
        <v/>
      </c>
      <c r="N50" s="13"/>
    </row>
    <row r="51" customFormat="false" ht="15" hidden="false" customHeight="false" outlineLevel="0" collapsed="false">
      <c r="A51" s="31"/>
      <c r="B51" s="13"/>
      <c r="C51" s="13"/>
      <c r="D51" s="32"/>
      <c r="E51" s="32"/>
      <c r="F51" s="14"/>
      <c r="G51" s="23"/>
      <c r="H51" s="16" t="str">
        <f aca="false">IF(F51="","",IF(G51&lt;&gt;"",G51,IF(E51="JPY",IF(ISNUMBER($L$1),ROUND(F51/$L$1,2),"レート未入力"),F51)))</f>
        <v/>
      </c>
      <c r="I51" s="33"/>
      <c r="J51" s="16" t="str">
        <f aca="false">IF(ISNUMBER(H51),ROUND(H51*IF(I51="",1,I51),2),"")</f>
        <v/>
      </c>
      <c r="K51" s="35"/>
      <c r="L51" s="22" t="str">
        <f aca="false">IF(A51="","",IF(A51&lt;DATE(2025,4,6),"2024/25",IF(A51&lt;DATE(2026,4,6),"2025/26",IF(A51&lt;DATE(2027,4,6),"2026/27","2027/28"))))</f>
        <v/>
      </c>
      <c r="N51" s="13"/>
    </row>
    <row r="52" customFormat="false" ht="15" hidden="false" customHeight="false" outlineLevel="0" collapsed="false">
      <c r="A52" s="31"/>
      <c r="B52" s="13"/>
      <c r="C52" s="13"/>
      <c r="D52" s="32"/>
      <c r="E52" s="32"/>
      <c r="F52" s="14"/>
      <c r="G52" s="23"/>
      <c r="H52" s="16" t="str">
        <f aca="false">IF(F52="","",IF(G52&lt;&gt;"",G52,IF(E52="JPY",IF(ISNUMBER($L$1),ROUND(F52/$L$1,2),"レート未入力"),F52)))</f>
        <v/>
      </c>
      <c r="I52" s="33"/>
      <c r="J52" s="16" t="str">
        <f aca="false">IF(ISNUMBER(H52),ROUND(H52*IF(I52="",1,I52),2),"")</f>
        <v/>
      </c>
      <c r="K52" s="35"/>
      <c r="L52" s="22" t="str">
        <f aca="false">IF(A52="","",IF(A52&lt;DATE(2025,4,6),"2024/25",IF(A52&lt;DATE(2026,4,6),"2025/26",IF(A52&lt;DATE(2027,4,6),"2026/27","2027/28"))))</f>
        <v/>
      </c>
      <c r="N52" s="13"/>
    </row>
    <row r="53" customFormat="false" ht="15" hidden="false" customHeight="false" outlineLevel="0" collapsed="false">
      <c r="A53" s="31"/>
      <c r="B53" s="13"/>
      <c r="C53" s="13"/>
      <c r="D53" s="32"/>
      <c r="E53" s="32"/>
      <c r="F53" s="14"/>
      <c r="G53" s="23"/>
      <c r="H53" s="16" t="str">
        <f aca="false">IF(F53="","",IF(G53&lt;&gt;"",G53,IF(E53="JPY",IF(ISNUMBER($L$1),ROUND(F53/$L$1,2),"レート未入力"),F53)))</f>
        <v/>
      </c>
      <c r="I53" s="33"/>
      <c r="J53" s="16" t="str">
        <f aca="false">IF(ISNUMBER(H53),ROUND(H53*IF(I53="",1,I53),2),"")</f>
        <v/>
      </c>
      <c r="K53" s="35"/>
      <c r="L53" s="22" t="str">
        <f aca="false">IF(A53="","",IF(A53&lt;DATE(2025,4,6),"2024/25",IF(A53&lt;DATE(2026,4,6),"2025/26",IF(A53&lt;DATE(2027,4,6),"2026/27","2027/28"))))</f>
        <v/>
      </c>
      <c r="N53" s="13"/>
    </row>
    <row r="54" customFormat="false" ht="15" hidden="false" customHeight="false" outlineLevel="0" collapsed="false">
      <c r="A54" s="31"/>
      <c r="B54" s="13"/>
      <c r="C54" s="13"/>
      <c r="D54" s="32"/>
      <c r="E54" s="32"/>
      <c r="F54" s="14"/>
      <c r="G54" s="23"/>
      <c r="H54" s="16" t="str">
        <f aca="false">IF(F54="","",IF(G54&lt;&gt;"",G54,IF(E54="JPY",IF(ISNUMBER($L$1),ROUND(F54/$L$1,2),"レート未入力"),F54)))</f>
        <v/>
      </c>
      <c r="I54" s="33"/>
      <c r="J54" s="16" t="str">
        <f aca="false">IF(ISNUMBER(H54),ROUND(H54*IF(I54="",1,I54),2),"")</f>
        <v/>
      </c>
      <c r="K54" s="35"/>
      <c r="L54" s="22" t="str">
        <f aca="false">IF(A54="","",IF(A54&lt;DATE(2025,4,6),"2024/25",IF(A54&lt;DATE(2026,4,6),"2025/26",IF(A54&lt;DATE(2027,4,6),"2026/27","2027/28"))))</f>
        <v/>
      </c>
      <c r="N54" s="13"/>
    </row>
    <row r="55" customFormat="false" ht="15" hidden="false" customHeight="false" outlineLevel="0" collapsed="false">
      <c r="A55" s="31"/>
      <c r="B55" s="13"/>
      <c r="C55" s="13"/>
      <c r="D55" s="32"/>
      <c r="E55" s="32"/>
      <c r="F55" s="14"/>
      <c r="G55" s="23"/>
      <c r="H55" s="16" t="str">
        <f aca="false">IF(F55="","",IF(G55&lt;&gt;"",G55,IF(E55="JPY",IF(ISNUMBER($L$1),ROUND(F55/$L$1,2),"レート未入力"),F55)))</f>
        <v/>
      </c>
      <c r="I55" s="33"/>
      <c r="J55" s="16" t="str">
        <f aca="false">IF(ISNUMBER(H55),ROUND(H55*IF(I55="",1,I55),2),"")</f>
        <v/>
      </c>
      <c r="K55" s="35"/>
      <c r="L55" s="22" t="str">
        <f aca="false">IF(A55="","",IF(A55&lt;DATE(2025,4,6),"2024/25",IF(A55&lt;DATE(2026,4,6),"2025/26",IF(A55&lt;DATE(2027,4,6),"2026/27","2027/28"))))</f>
        <v/>
      </c>
      <c r="N55" s="13"/>
    </row>
    <row r="56" customFormat="false" ht="15" hidden="false" customHeight="false" outlineLevel="0" collapsed="false">
      <c r="A56" s="31"/>
      <c r="B56" s="13"/>
      <c r="C56" s="13"/>
      <c r="D56" s="32"/>
      <c r="E56" s="32"/>
      <c r="F56" s="14"/>
      <c r="G56" s="23"/>
      <c r="H56" s="16" t="str">
        <f aca="false">IF(F56="","",IF(G56&lt;&gt;"",G56,IF(E56="JPY",IF(ISNUMBER($L$1),ROUND(F56/$L$1,2),"レート未入力"),F56)))</f>
        <v/>
      </c>
      <c r="I56" s="33"/>
      <c r="J56" s="16" t="str">
        <f aca="false">IF(ISNUMBER(H56),ROUND(H56*IF(I56="",1,I56),2),"")</f>
        <v/>
      </c>
      <c r="K56" s="35"/>
      <c r="L56" s="22" t="str">
        <f aca="false">IF(A56="","",IF(A56&lt;DATE(2025,4,6),"2024/25",IF(A56&lt;DATE(2026,4,6),"2025/26",IF(A56&lt;DATE(2027,4,6),"2026/27","2027/28"))))</f>
        <v/>
      </c>
      <c r="N56" s="13"/>
    </row>
    <row r="57" customFormat="false" ht="15" hidden="false" customHeight="false" outlineLevel="0" collapsed="false">
      <c r="A57" s="31"/>
      <c r="B57" s="13"/>
      <c r="C57" s="13"/>
      <c r="D57" s="32"/>
      <c r="E57" s="32"/>
      <c r="F57" s="14"/>
      <c r="G57" s="23"/>
      <c r="H57" s="16" t="str">
        <f aca="false">IF(F57="","",IF(G57&lt;&gt;"",G57,IF(E57="JPY",IF(ISNUMBER($L$1),ROUND(F57/$L$1,2),"レート未入力"),F57)))</f>
        <v/>
      </c>
      <c r="I57" s="33"/>
      <c r="J57" s="16" t="str">
        <f aca="false">IF(ISNUMBER(H57),ROUND(H57*IF(I57="",1,I57),2),"")</f>
        <v/>
      </c>
      <c r="K57" s="35"/>
      <c r="L57" s="22" t="str">
        <f aca="false">IF(A57="","",IF(A57&lt;DATE(2025,4,6),"2024/25",IF(A57&lt;DATE(2026,4,6),"2025/26",IF(A57&lt;DATE(2027,4,6),"2026/27","2027/28"))))</f>
        <v/>
      </c>
      <c r="N57" s="13"/>
    </row>
    <row r="58" customFormat="false" ht="15" hidden="false" customHeight="false" outlineLevel="0" collapsed="false">
      <c r="A58" s="31"/>
      <c r="B58" s="13"/>
      <c r="C58" s="13"/>
      <c r="D58" s="32"/>
      <c r="E58" s="32"/>
      <c r="F58" s="14"/>
      <c r="G58" s="23"/>
      <c r="H58" s="16" t="str">
        <f aca="false">IF(F58="","",IF(G58&lt;&gt;"",G58,IF(E58="JPY",IF(ISNUMBER($L$1),ROUND(F58/$L$1,2),"レート未入力"),F58)))</f>
        <v/>
      </c>
      <c r="I58" s="33"/>
      <c r="J58" s="16" t="str">
        <f aca="false">IF(ISNUMBER(H58),ROUND(H58*IF(I58="",1,I58),2),"")</f>
        <v/>
      </c>
      <c r="K58" s="35"/>
      <c r="L58" s="22" t="str">
        <f aca="false">IF(A58="","",IF(A58&lt;DATE(2025,4,6),"2024/25",IF(A58&lt;DATE(2026,4,6),"2025/26",IF(A58&lt;DATE(2027,4,6),"2026/27","2027/28"))))</f>
        <v/>
      </c>
      <c r="N58" s="13"/>
    </row>
    <row r="59" customFormat="false" ht="15" hidden="false" customHeight="false" outlineLevel="0" collapsed="false">
      <c r="A59" s="31"/>
      <c r="B59" s="13"/>
      <c r="C59" s="13"/>
      <c r="D59" s="32"/>
      <c r="E59" s="32"/>
      <c r="F59" s="14"/>
      <c r="G59" s="23"/>
      <c r="H59" s="16" t="str">
        <f aca="false">IF(F59="","",IF(G59&lt;&gt;"",G59,IF(E59="JPY",IF(ISNUMBER($L$1),ROUND(F59/$L$1,2),"レート未入力"),F59)))</f>
        <v/>
      </c>
      <c r="I59" s="33"/>
      <c r="J59" s="16" t="str">
        <f aca="false">IF(ISNUMBER(H59),ROUND(H59*IF(I59="",1,I59),2),"")</f>
        <v/>
      </c>
      <c r="K59" s="35"/>
      <c r="L59" s="22" t="str">
        <f aca="false">IF(A59="","",IF(A59&lt;DATE(2025,4,6),"2024/25",IF(A59&lt;DATE(2026,4,6),"2025/26",IF(A59&lt;DATE(2027,4,6),"2026/27","2027/28"))))</f>
        <v/>
      </c>
      <c r="N59" s="13"/>
    </row>
    <row r="60" customFormat="false" ht="15" hidden="false" customHeight="false" outlineLevel="0" collapsed="false">
      <c r="A60" s="31"/>
      <c r="B60" s="13"/>
      <c r="C60" s="13"/>
      <c r="D60" s="32"/>
      <c r="E60" s="32"/>
      <c r="F60" s="14"/>
      <c r="G60" s="23"/>
      <c r="H60" s="16" t="str">
        <f aca="false">IF(F60="","",IF(G60&lt;&gt;"",G60,IF(E60="JPY",IF(ISNUMBER($L$1),ROUND(F60/$L$1,2),"レート未入力"),F60)))</f>
        <v/>
      </c>
      <c r="I60" s="33"/>
      <c r="J60" s="16" t="str">
        <f aca="false">IF(ISNUMBER(H60),ROUND(H60*IF(I60="",1,I60),2),"")</f>
        <v/>
      </c>
      <c r="K60" s="35"/>
      <c r="L60" s="22" t="str">
        <f aca="false">IF(A60="","",IF(A60&lt;DATE(2025,4,6),"2024/25",IF(A60&lt;DATE(2026,4,6),"2025/26",IF(A60&lt;DATE(2027,4,6),"2026/27","2027/28"))))</f>
        <v/>
      </c>
      <c r="N60" s="13"/>
    </row>
    <row r="61" customFormat="false" ht="15" hidden="false" customHeight="false" outlineLevel="0" collapsed="false">
      <c r="A61" s="31"/>
      <c r="B61" s="13"/>
      <c r="C61" s="13"/>
      <c r="D61" s="32"/>
      <c r="E61" s="32"/>
      <c r="F61" s="14"/>
      <c r="G61" s="23"/>
      <c r="H61" s="16" t="str">
        <f aca="false">IF(F61="","",IF(G61&lt;&gt;"",G61,IF(E61="JPY",IF(ISNUMBER($L$1),ROUND(F61/$L$1,2),"レート未入力"),F61)))</f>
        <v/>
      </c>
      <c r="I61" s="33"/>
      <c r="J61" s="16" t="str">
        <f aca="false">IF(ISNUMBER(H61),ROUND(H61*IF(I61="",1,I61),2),"")</f>
        <v/>
      </c>
      <c r="K61" s="35"/>
      <c r="L61" s="22" t="str">
        <f aca="false">IF(A61="","",IF(A61&lt;DATE(2025,4,6),"2024/25",IF(A61&lt;DATE(2026,4,6),"2025/26",IF(A61&lt;DATE(2027,4,6),"2026/27","2027/28"))))</f>
        <v/>
      </c>
      <c r="N61" s="13"/>
    </row>
    <row r="62" customFormat="false" ht="15" hidden="false" customHeight="false" outlineLevel="0" collapsed="false">
      <c r="A62" s="31"/>
      <c r="B62" s="13"/>
      <c r="C62" s="13"/>
      <c r="D62" s="32"/>
      <c r="E62" s="32"/>
      <c r="F62" s="14"/>
      <c r="G62" s="23"/>
      <c r="H62" s="16" t="str">
        <f aca="false">IF(F62="","",IF(G62&lt;&gt;"",G62,IF(E62="JPY",IF(ISNUMBER($L$1),ROUND(F62/$L$1,2),"レート未入力"),F62)))</f>
        <v/>
      </c>
      <c r="I62" s="33"/>
      <c r="J62" s="16" t="str">
        <f aca="false">IF(ISNUMBER(H62),ROUND(H62*IF(I62="",1,I62),2),"")</f>
        <v/>
      </c>
      <c r="K62" s="35"/>
      <c r="L62" s="22" t="str">
        <f aca="false">IF(A62="","",IF(A62&lt;DATE(2025,4,6),"2024/25",IF(A62&lt;DATE(2026,4,6),"2025/26",IF(A62&lt;DATE(2027,4,6),"2026/27","2027/28"))))</f>
        <v/>
      </c>
      <c r="N62" s="13"/>
    </row>
    <row r="63" customFormat="false" ht="15" hidden="false" customHeight="false" outlineLevel="0" collapsed="false">
      <c r="A63" s="31"/>
      <c r="B63" s="13"/>
      <c r="C63" s="13"/>
      <c r="D63" s="32"/>
      <c r="E63" s="32"/>
      <c r="F63" s="14"/>
      <c r="G63" s="23"/>
      <c r="H63" s="16" t="str">
        <f aca="false">IF(F63="","",IF(G63&lt;&gt;"",G63,IF(E63="JPY",IF(ISNUMBER($L$1),ROUND(F63/$L$1,2),"レート未入力"),F63)))</f>
        <v/>
      </c>
      <c r="I63" s="33"/>
      <c r="J63" s="16" t="str">
        <f aca="false">IF(ISNUMBER(H63),ROUND(H63*IF(I63="",1,I63),2),"")</f>
        <v/>
      </c>
      <c r="K63" s="35"/>
      <c r="L63" s="22" t="str">
        <f aca="false">IF(A63="","",IF(A63&lt;DATE(2025,4,6),"2024/25",IF(A63&lt;DATE(2026,4,6),"2025/26",IF(A63&lt;DATE(2027,4,6),"2026/27","2027/28"))))</f>
        <v/>
      </c>
      <c r="N63" s="13"/>
    </row>
    <row r="64" customFormat="false" ht="15" hidden="false" customHeight="false" outlineLevel="0" collapsed="false">
      <c r="A64" s="31"/>
      <c r="B64" s="13"/>
      <c r="C64" s="13"/>
      <c r="D64" s="32"/>
      <c r="E64" s="32"/>
      <c r="F64" s="14"/>
      <c r="G64" s="23"/>
      <c r="H64" s="16" t="str">
        <f aca="false">IF(F64="","",IF(G64&lt;&gt;"",G64,IF(E64="JPY",IF(ISNUMBER($L$1),ROUND(F64/$L$1,2),"レート未入力"),F64)))</f>
        <v/>
      </c>
      <c r="I64" s="33"/>
      <c r="J64" s="16" t="str">
        <f aca="false">IF(ISNUMBER(H64),ROUND(H64*IF(I64="",1,I64),2),"")</f>
        <v/>
      </c>
      <c r="K64" s="35"/>
      <c r="L64" s="22" t="str">
        <f aca="false">IF(A64="","",IF(A64&lt;DATE(2025,4,6),"2024/25",IF(A64&lt;DATE(2026,4,6),"2025/26",IF(A64&lt;DATE(2027,4,6),"2026/27","2027/28"))))</f>
        <v/>
      </c>
      <c r="N64" s="13"/>
    </row>
    <row r="65" customFormat="false" ht="15" hidden="false" customHeight="false" outlineLevel="0" collapsed="false">
      <c r="A65" s="31"/>
      <c r="B65" s="13"/>
      <c r="C65" s="13"/>
      <c r="D65" s="32"/>
      <c r="E65" s="32"/>
      <c r="F65" s="14"/>
      <c r="G65" s="23"/>
      <c r="H65" s="16" t="str">
        <f aca="false">IF(F65="","",IF(G65&lt;&gt;"",G65,IF(E65="JPY",IF(ISNUMBER($L$1),ROUND(F65/$L$1,2),"レート未入力"),F65)))</f>
        <v/>
      </c>
      <c r="I65" s="33"/>
      <c r="J65" s="16" t="str">
        <f aca="false">IF(ISNUMBER(H65),ROUND(H65*IF(I65="",1,I65),2),"")</f>
        <v/>
      </c>
      <c r="K65" s="35"/>
      <c r="L65" s="22" t="str">
        <f aca="false">IF(A65="","",IF(A65&lt;DATE(2025,4,6),"2024/25",IF(A65&lt;DATE(2026,4,6),"2025/26",IF(A65&lt;DATE(2027,4,6),"2026/27","2027/28"))))</f>
        <v/>
      </c>
      <c r="N65" s="13"/>
    </row>
    <row r="66" customFormat="false" ht="15" hidden="false" customHeight="false" outlineLevel="0" collapsed="false">
      <c r="A66" s="31"/>
      <c r="B66" s="13"/>
      <c r="C66" s="13"/>
      <c r="D66" s="32"/>
      <c r="E66" s="32"/>
      <c r="F66" s="14"/>
      <c r="G66" s="23"/>
      <c r="H66" s="16" t="str">
        <f aca="false">IF(F66="","",IF(G66&lt;&gt;"",G66,IF(E66="JPY",IF(ISNUMBER($L$1),ROUND(F66/$L$1,2),"レート未入力"),F66)))</f>
        <v/>
      </c>
      <c r="I66" s="33"/>
      <c r="J66" s="16" t="str">
        <f aca="false">IF(ISNUMBER(H66),ROUND(H66*IF(I66="",1,I66),2),"")</f>
        <v/>
      </c>
      <c r="K66" s="35"/>
      <c r="L66" s="22" t="str">
        <f aca="false">IF(A66="","",IF(A66&lt;DATE(2025,4,6),"2024/25",IF(A66&lt;DATE(2026,4,6),"2025/26",IF(A66&lt;DATE(2027,4,6),"2026/27","2027/28"))))</f>
        <v/>
      </c>
      <c r="N66" s="13"/>
    </row>
    <row r="67" customFormat="false" ht="15" hidden="false" customHeight="false" outlineLevel="0" collapsed="false">
      <c r="A67" s="31"/>
      <c r="B67" s="13"/>
      <c r="C67" s="13"/>
      <c r="D67" s="32"/>
      <c r="E67" s="32"/>
      <c r="F67" s="14"/>
      <c r="G67" s="23"/>
      <c r="H67" s="16" t="str">
        <f aca="false">IF(F67="","",IF(G67&lt;&gt;"",G67,IF(E67="JPY",IF(ISNUMBER($L$1),ROUND(F67/$L$1,2),"レート未入力"),F67)))</f>
        <v/>
      </c>
      <c r="I67" s="33"/>
      <c r="J67" s="16" t="str">
        <f aca="false">IF(ISNUMBER(H67),ROUND(H67*IF(I67="",1,I67),2),"")</f>
        <v/>
      </c>
      <c r="K67" s="35"/>
      <c r="L67" s="22" t="str">
        <f aca="false">IF(A67="","",IF(A67&lt;DATE(2025,4,6),"2024/25",IF(A67&lt;DATE(2026,4,6),"2025/26",IF(A67&lt;DATE(2027,4,6),"2026/27","2027/28"))))</f>
        <v/>
      </c>
      <c r="N67" s="13"/>
    </row>
    <row r="68" customFormat="false" ht="15" hidden="false" customHeight="false" outlineLevel="0" collapsed="false">
      <c r="A68" s="31"/>
      <c r="B68" s="13"/>
      <c r="C68" s="13"/>
      <c r="D68" s="32"/>
      <c r="E68" s="32"/>
      <c r="F68" s="14"/>
      <c r="G68" s="23"/>
      <c r="H68" s="16" t="str">
        <f aca="false">IF(F68="","",IF(G68&lt;&gt;"",G68,IF(E68="JPY",IF(ISNUMBER($L$1),ROUND(F68/$L$1,2),"レート未入力"),F68)))</f>
        <v/>
      </c>
      <c r="I68" s="33"/>
      <c r="J68" s="16" t="str">
        <f aca="false">IF(ISNUMBER(H68),ROUND(H68*IF(I68="",1,I68),2),"")</f>
        <v/>
      </c>
      <c r="K68" s="35"/>
      <c r="L68" s="22" t="str">
        <f aca="false">IF(A68="","",IF(A68&lt;DATE(2025,4,6),"2024/25",IF(A68&lt;DATE(2026,4,6),"2025/26",IF(A68&lt;DATE(2027,4,6),"2026/27","2027/28"))))</f>
        <v/>
      </c>
      <c r="N68" s="13"/>
    </row>
    <row r="69" customFormat="false" ht="15" hidden="false" customHeight="false" outlineLevel="0" collapsed="false">
      <c r="A69" s="31"/>
      <c r="B69" s="13"/>
      <c r="C69" s="13"/>
      <c r="D69" s="32"/>
      <c r="E69" s="32"/>
      <c r="F69" s="14"/>
      <c r="G69" s="23"/>
      <c r="H69" s="16" t="str">
        <f aca="false">IF(F69="","",IF(G69&lt;&gt;"",G69,IF(E69="JPY",IF(ISNUMBER($L$1),ROUND(F69/$L$1,2),"レート未入力"),F69)))</f>
        <v/>
      </c>
      <c r="I69" s="33"/>
      <c r="J69" s="16" t="str">
        <f aca="false">IF(ISNUMBER(H69),ROUND(H69*IF(I69="",1,I69),2),"")</f>
        <v/>
      </c>
      <c r="K69" s="35"/>
      <c r="L69" s="22" t="str">
        <f aca="false">IF(A69="","",IF(A69&lt;DATE(2025,4,6),"2024/25",IF(A69&lt;DATE(2026,4,6),"2025/26",IF(A69&lt;DATE(2027,4,6),"2026/27","2027/28"))))</f>
        <v/>
      </c>
      <c r="N69" s="13"/>
    </row>
    <row r="70" customFormat="false" ht="15" hidden="false" customHeight="false" outlineLevel="0" collapsed="false">
      <c r="A70" s="3" t="s">
        <v>196</v>
      </c>
      <c r="J70" s="18" t="n">
        <f aca="false">SUM(J30:J69)</f>
        <v>0</v>
      </c>
    </row>
    <row r="72" customFormat="false" ht="15" hidden="false" customHeight="false" outlineLevel="0" collapsed="false">
      <c r="A72" s="26" t="s">
        <v>197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customFormat="false" ht="15" hidden="false" customHeight="false" outlineLevel="0" collapsed="false">
      <c r="A73" s="17" t="s">
        <v>137</v>
      </c>
      <c r="D73" s="36" t="s">
        <v>16</v>
      </c>
      <c r="E73" s="36" t="s">
        <v>18</v>
      </c>
      <c r="F73" s="36"/>
    </row>
    <row r="74" customFormat="false" ht="15" hidden="false" customHeight="false" outlineLevel="0" collapsed="false">
      <c r="A74" s="17" t="s">
        <v>183</v>
      </c>
      <c r="D74" s="18" t="n">
        <f aca="false">SUMIFS($H$6:$H$25,$J$6:$J$25,"2025/26")</f>
        <v>0</v>
      </c>
      <c r="E74" s="18" t="n">
        <f aca="false">SUMIFS($H$6:$H$25,$J$6:$J$25,"2026/27")</f>
        <v>0</v>
      </c>
      <c r="F74" s="18"/>
    </row>
    <row r="75" customFormat="false" ht="15" hidden="false" customHeight="false" outlineLevel="0" collapsed="false">
      <c r="A75" s="21" t="s">
        <v>41</v>
      </c>
      <c r="D75" s="16" t="n">
        <f aca="false">SUMIFS($J$30:$J$69,$D$30:$D$69,$A75,$L$30:$L$69,"2025/26")</f>
        <v>0</v>
      </c>
      <c r="E75" s="16" t="n">
        <f aca="false">SUMIFS($J$30:$J$69,$D$30:$D$69,$A75,$L$30:$L$69,"2026/27")</f>
        <v>0</v>
      </c>
      <c r="F75" s="16"/>
    </row>
    <row r="76" customFormat="false" ht="15" hidden="false" customHeight="false" outlineLevel="0" collapsed="false">
      <c r="A76" s="21" t="s">
        <v>43</v>
      </c>
      <c r="D76" s="16" t="n">
        <f aca="false">SUMIFS($J$30:$J$69,$D$30:$D$69,$A76,$L$30:$L$69,"2025/26")</f>
        <v>0</v>
      </c>
      <c r="E76" s="16" t="n">
        <f aca="false">SUMIFS($J$30:$J$69,$D$30:$D$69,$A76,$L$30:$L$69,"2026/27")</f>
        <v>0</v>
      </c>
      <c r="F76" s="16"/>
    </row>
    <row r="77" customFormat="false" ht="15" hidden="false" customHeight="false" outlineLevel="0" collapsed="false">
      <c r="A77" s="21" t="s">
        <v>45</v>
      </c>
      <c r="D77" s="16" t="n">
        <f aca="false">SUMIFS($J$30:$J$69,$D$30:$D$69,$A77,$L$30:$L$69,"2025/26")</f>
        <v>0</v>
      </c>
      <c r="E77" s="16" t="n">
        <f aca="false">SUMIFS($J$30:$J$69,$D$30:$D$69,$A77,$L$30:$L$69,"2026/27")</f>
        <v>0</v>
      </c>
      <c r="F77" s="16"/>
    </row>
    <row r="78" customFormat="false" ht="15" hidden="false" customHeight="false" outlineLevel="0" collapsed="false">
      <c r="A78" s="21" t="s">
        <v>47</v>
      </c>
      <c r="D78" s="16" t="n">
        <f aca="false">SUMIFS($J$30:$J$69,$D$30:$D$69,$A78,$L$30:$L$69,"2025/26")</f>
        <v>0</v>
      </c>
      <c r="E78" s="16" t="n">
        <f aca="false">SUMIFS($J$30:$J$69,$D$30:$D$69,$A78,$L$30:$L$69,"2026/27")</f>
        <v>0</v>
      </c>
      <c r="F78" s="16"/>
    </row>
    <row r="79" customFormat="false" ht="15" hidden="false" customHeight="false" outlineLevel="0" collapsed="false">
      <c r="A79" s="21" t="s">
        <v>49</v>
      </c>
      <c r="D79" s="16" t="n">
        <f aca="false">SUMIFS($J$30:$J$69,$D$30:$D$69,$A79,$L$30:$L$69,"2025/26")</f>
        <v>0</v>
      </c>
      <c r="E79" s="16" t="n">
        <f aca="false">SUMIFS($J$30:$J$69,$D$30:$D$69,$A79,$L$30:$L$69,"2026/27")</f>
        <v>0</v>
      </c>
      <c r="F79" s="16"/>
    </row>
    <row r="80" customFormat="false" ht="15" hidden="false" customHeight="false" outlineLevel="0" collapsed="false">
      <c r="A80" s="21" t="s">
        <v>51</v>
      </c>
      <c r="D80" s="16" t="n">
        <f aca="false">SUMIFS($J$30:$J$69,$D$30:$D$69,$A80,$L$30:$L$69,"2025/26")</f>
        <v>0</v>
      </c>
      <c r="E80" s="16" t="n">
        <f aca="false">SUMIFS($J$30:$J$69,$D$30:$D$69,$A80,$L$30:$L$69,"2026/27")</f>
        <v>0</v>
      </c>
      <c r="F80" s="16"/>
    </row>
    <row r="81" customFormat="false" ht="15" hidden="false" customHeight="false" outlineLevel="0" collapsed="false">
      <c r="A81" s="21" t="s">
        <v>53</v>
      </c>
      <c r="D81" s="16" t="n">
        <f aca="false">SUMIFS($J$30:$J$69,$D$30:$D$69,$A81,$L$30:$L$69,"2025/26")</f>
        <v>0</v>
      </c>
      <c r="E81" s="16" t="n">
        <f aca="false">SUMIFS($J$30:$J$69,$D$30:$D$69,$A81,$L$30:$L$69,"2026/27")</f>
        <v>0</v>
      </c>
      <c r="F81" s="16"/>
    </row>
    <row r="82" customFormat="false" ht="15" hidden="false" customHeight="false" outlineLevel="0" collapsed="false">
      <c r="A82" s="21" t="s">
        <v>55</v>
      </c>
      <c r="D82" s="16" t="n">
        <f aca="false">SUMIFS($J$30:$J$69,$D$30:$D$69,$A82,$L$30:$L$69,"2025/26")</f>
        <v>0</v>
      </c>
      <c r="E82" s="16" t="n">
        <f aca="false">SUMIFS($J$30:$J$69,$D$30:$D$69,$A82,$L$30:$L$69,"2026/27")</f>
        <v>0</v>
      </c>
      <c r="F82" s="16"/>
    </row>
    <row r="83" customFormat="false" ht="15" hidden="false" customHeight="false" outlineLevel="0" collapsed="false">
      <c r="A83" s="21" t="s">
        <v>57</v>
      </c>
      <c r="D83" s="16" t="n">
        <f aca="false">SUMIFS($J$30:$J$69,$D$30:$D$69,$A83,$L$30:$L$69,"2025/26")</f>
        <v>0</v>
      </c>
      <c r="E83" s="16" t="n">
        <f aca="false">SUMIFS($J$30:$J$69,$D$30:$D$69,$A83,$L$30:$L$69,"2026/27")</f>
        <v>0</v>
      </c>
      <c r="F83" s="16"/>
    </row>
    <row r="84" customFormat="false" ht="15" hidden="false" customHeight="false" outlineLevel="0" collapsed="false">
      <c r="A84" s="21" t="s">
        <v>59</v>
      </c>
      <c r="D84" s="16" t="n">
        <f aca="false">SUMIFS($J$30:$J$69,$D$30:$D$69,$A84,$L$30:$L$69,"2025/26")</f>
        <v>0</v>
      </c>
      <c r="E84" s="16" t="n">
        <f aca="false">SUMIFS($J$30:$J$69,$D$30:$D$69,$A84,$L$30:$L$69,"2026/27")</f>
        <v>0</v>
      </c>
      <c r="F84" s="16"/>
    </row>
    <row r="85" customFormat="false" ht="15" hidden="false" customHeight="false" outlineLevel="0" collapsed="false">
      <c r="A85" s="21" t="s">
        <v>61</v>
      </c>
      <c r="D85" s="16" t="n">
        <f aca="false">SUMIFS($J$30:$J$69,$D$30:$D$69,$A85,$L$30:$L$69,"2025/26")</f>
        <v>0</v>
      </c>
      <c r="E85" s="16" t="n">
        <f aca="false">SUMIFS($J$30:$J$69,$D$30:$D$69,$A85,$L$30:$L$69,"2026/27")</f>
        <v>0</v>
      </c>
      <c r="F85" s="16"/>
    </row>
    <row r="86" customFormat="false" ht="15" hidden="false" customHeight="false" outlineLevel="0" collapsed="false">
      <c r="A86" s="21" t="s">
        <v>63</v>
      </c>
      <c r="D86" s="16" t="n">
        <f aca="false">SUMIFS($J$30:$J$69,$D$30:$D$69,$A86,$L$30:$L$69,"2025/26")</f>
        <v>0</v>
      </c>
      <c r="E86" s="16" t="n">
        <f aca="false">SUMIFS($J$30:$J$69,$D$30:$D$69,$A86,$L$30:$L$69,"2026/27")</f>
        <v>0</v>
      </c>
      <c r="F86" s="16"/>
    </row>
    <row r="87" customFormat="false" ht="15" hidden="false" customHeight="false" outlineLevel="0" collapsed="false">
      <c r="A87" s="21" t="s">
        <v>64</v>
      </c>
      <c r="D87" s="16" t="n">
        <f aca="false">SUMIFS($J$30:$J$69,$D$30:$D$69,$A87,$L$30:$L$69,"2025/26")</f>
        <v>0</v>
      </c>
      <c r="E87" s="16" t="n">
        <f aca="false">SUMIFS($J$30:$J$69,$D$30:$D$69,$A87,$L$30:$L$69,"2026/27")</f>
        <v>0</v>
      </c>
      <c r="F87" s="16"/>
    </row>
    <row r="88" customFormat="false" ht="15" hidden="false" customHeight="false" outlineLevel="0" collapsed="false">
      <c r="A88" s="17" t="s">
        <v>198</v>
      </c>
      <c r="D88" s="18" t="n">
        <f aca="false">SUM(D75:D86)</f>
        <v>0</v>
      </c>
      <c r="E88" s="18" t="n">
        <f aca="false">SUM(E75:E86)</f>
        <v>0</v>
      </c>
      <c r="F88" s="18"/>
    </row>
    <row r="89" customFormat="false" ht="15" hidden="false" customHeight="false" outlineLevel="0" collapsed="false">
      <c r="A89" s="17" t="s">
        <v>199</v>
      </c>
      <c r="D89" s="18" t="n">
        <f aca="false">D74-D88-D87</f>
        <v>0</v>
      </c>
      <c r="E89" s="18" t="n">
        <f aca="false">E74-E88-E87</f>
        <v>0</v>
      </c>
      <c r="F89" s="18"/>
    </row>
    <row r="90" customFormat="false" ht="15" hidden="false" customHeight="false" outlineLevel="0" collapsed="false">
      <c r="A90" s="37" t="s">
        <v>200</v>
      </c>
    </row>
    <row r="91" customFormat="false" ht="15" hidden="false" customHeight="false" outlineLevel="0" collapsed="false">
      <c r="A91" s="21" t="s">
        <v>201</v>
      </c>
      <c r="D91" s="16" t="n">
        <f aca="false">SUMIFS($J$30:$J$69,$D$30:$D$69,"")</f>
        <v>0</v>
      </c>
    </row>
  </sheetData>
  <mergeCells count="17"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</mergeCells>
  <dataValidations count="5">
    <dataValidation allowBlank="true" error="0%〜100%で入力してください" errorStyle="stop" operator="between" showDropDown="false" showErrorMessage="true" showInputMessage="false" sqref="I30:I69" type="decimal">
      <formula1>0</formula1>
      <formula2>1</formula2>
    </dataValidation>
    <dataValidation allowBlank="true" errorStyle="stop" operator="between" showDropDown="false" showErrorMessage="false" showInputMessage="false" sqref="E6:E25 E30:E69" type="list">
      <formula1>_list!$B$1:$B$2</formula1>
      <formula2>0</formula2>
    </dataValidation>
    <dataValidation allowBlank="true" errorStyle="stop" operator="between" showDropDown="false" showErrorMessage="false" showInputMessage="false" sqref="D30:D69" type="list">
      <formula1>_list!$A$1:$A$13</formula1>
      <formula2>0</formula2>
    </dataValidation>
    <dataValidation allowBlank="true" errorStyle="stop" operator="between" showDropDown="false" showErrorMessage="false" showInputMessage="false" sqref="D6:D25" type="list">
      <formula1>_list!$C$1:$C$7</formula1>
      <formula2>0</formula2>
    </dataValidation>
    <dataValidation allowBlank="true" error="日付で入力してください（例：2025/5/2）" errorStyle="stop" operator="between" showDropDown="false" showErrorMessage="true" showInputMessage="false" sqref="A6:A25 A30:A69" type="date">
      <formula1>DATE(2025,4,1)</formula1>
      <formula2>DATE(2027,12,31)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24"/>
  </cols>
  <sheetData>
    <row r="1" customFormat="false" ht="19.4" hidden="false" customHeight="false" outlineLevel="0" collapsed="false">
      <c r="A1" s="1" t="s">
        <v>209</v>
      </c>
      <c r="J1" s="3" t="s">
        <v>164</v>
      </c>
      <c r="L1" s="25" t="str">
        <f aca="false">IF(為替レート!$B$13="","未入力",為替レート!$B$13)</f>
        <v>未入力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26" t="s">
        <v>166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customFormat="false" ht="30" hidden="false" customHeight="true" outlineLevel="0" collapsed="false">
      <c r="A5" s="9" t="s">
        <v>167</v>
      </c>
      <c r="B5" s="9" t="s">
        <v>168</v>
      </c>
      <c r="C5" s="9" t="s">
        <v>169</v>
      </c>
      <c r="D5" s="9" t="s">
        <v>170</v>
      </c>
      <c r="E5" s="9" t="s">
        <v>171</v>
      </c>
      <c r="F5" s="9" t="s">
        <v>172</v>
      </c>
      <c r="G5" s="9" t="s">
        <v>173</v>
      </c>
      <c r="H5" s="9" t="s">
        <v>174</v>
      </c>
      <c r="I5" s="9" t="s">
        <v>175</v>
      </c>
      <c r="J5" s="9" t="s">
        <v>176</v>
      </c>
      <c r="K5" s="9"/>
      <c r="L5" s="9"/>
      <c r="M5" s="9"/>
      <c r="N5" s="9" t="s">
        <v>177</v>
      </c>
    </row>
    <row r="6" customFormat="false" ht="15" hidden="false" customHeight="false" outlineLevel="0" collapsed="false">
      <c r="A6" s="31"/>
      <c r="B6" s="13"/>
      <c r="C6" s="13"/>
      <c r="D6" s="32"/>
      <c r="E6" s="32"/>
      <c r="F6" s="14"/>
      <c r="G6" s="23"/>
      <c r="H6" s="16" t="str">
        <f aca="false">IF(F6="","",IF(G6&lt;&gt;"",G6,IF(E6="JPY",IF(ISNUMBER($L$1),ROUND(F6/$L$1,2),"レート未入力"),F6)))</f>
        <v/>
      </c>
      <c r="I6" s="13"/>
      <c r="J6" s="22" t="str">
        <f aca="false">IF(A6="","",IF(A6&lt;DATE(2025,4,6),"2024/25",IF(A6&lt;DATE(2026,4,6),"2025/26",IF(A6&lt;DATE(2027,4,6),"2026/27","2027/28"))))</f>
        <v/>
      </c>
      <c r="N6" s="13"/>
    </row>
    <row r="7" customFormat="false" ht="15" hidden="false" customHeight="false" outlineLevel="0" collapsed="false">
      <c r="A7" s="31"/>
      <c r="B7" s="13"/>
      <c r="C7" s="13"/>
      <c r="D7" s="32"/>
      <c r="E7" s="32"/>
      <c r="F7" s="14"/>
      <c r="G7" s="23"/>
      <c r="H7" s="16" t="str">
        <f aca="false">IF(F7="","",IF(G7&lt;&gt;"",G7,IF(E7="JPY",IF(ISNUMBER($L$1),ROUND(F7/$L$1,2),"レート未入力"),F7)))</f>
        <v/>
      </c>
      <c r="I7" s="13"/>
      <c r="J7" s="22" t="str">
        <f aca="false">IF(A7="","",IF(A7&lt;DATE(2025,4,6),"2024/25",IF(A7&lt;DATE(2026,4,6),"2025/26",IF(A7&lt;DATE(2027,4,6),"2026/27","2027/28"))))</f>
        <v/>
      </c>
      <c r="N7" s="13"/>
    </row>
    <row r="8" customFormat="false" ht="15" hidden="false" customHeight="false" outlineLevel="0" collapsed="false">
      <c r="A8" s="31"/>
      <c r="B8" s="13"/>
      <c r="C8" s="13"/>
      <c r="D8" s="32"/>
      <c r="E8" s="32"/>
      <c r="F8" s="14"/>
      <c r="G8" s="23"/>
      <c r="H8" s="16" t="str">
        <f aca="false">IF(F8="","",IF(G8&lt;&gt;"",G8,IF(E8="JPY",IF(ISNUMBER($L$1),ROUND(F8/$L$1,2),"レート未入力"),F8)))</f>
        <v/>
      </c>
      <c r="I8" s="13"/>
      <c r="J8" s="22" t="str">
        <f aca="false">IF(A8="","",IF(A8&lt;DATE(2025,4,6),"2024/25",IF(A8&lt;DATE(2026,4,6),"2025/26",IF(A8&lt;DATE(2027,4,6),"2026/27","2027/28"))))</f>
        <v/>
      </c>
      <c r="N8" s="13"/>
    </row>
    <row r="9" customFormat="false" ht="15" hidden="false" customHeight="false" outlineLevel="0" collapsed="false">
      <c r="A9" s="31"/>
      <c r="B9" s="13"/>
      <c r="C9" s="13"/>
      <c r="D9" s="32"/>
      <c r="E9" s="32"/>
      <c r="F9" s="14"/>
      <c r="G9" s="23"/>
      <c r="H9" s="16" t="str">
        <f aca="false">IF(F9="","",IF(G9&lt;&gt;"",G9,IF(E9="JPY",IF(ISNUMBER($L$1),ROUND(F9/$L$1,2),"レート未入力"),F9)))</f>
        <v/>
      </c>
      <c r="I9" s="13"/>
      <c r="J9" s="22" t="str">
        <f aca="false">IF(A9="","",IF(A9&lt;DATE(2025,4,6),"2024/25",IF(A9&lt;DATE(2026,4,6),"2025/26",IF(A9&lt;DATE(2027,4,6),"2026/27","2027/28"))))</f>
        <v/>
      </c>
      <c r="N9" s="13"/>
    </row>
    <row r="10" customFormat="false" ht="15" hidden="false" customHeight="false" outlineLevel="0" collapsed="false">
      <c r="A10" s="31"/>
      <c r="B10" s="13"/>
      <c r="C10" s="13"/>
      <c r="D10" s="32"/>
      <c r="E10" s="32"/>
      <c r="F10" s="14"/>
      <c r="G10" s="23"/>
      <c r="H10" s="16" t="str">
        <f aca="false">IF(F10="","",IF(G10&lt;&gt;"",G10,IF(E10="JPY",IF(ISNUMBER($L$1),ROUND(F10/$L$1,2),"レート未入力"),F10)))</f>
        <v/>
      </c>
      <c r="I10" s="13"/>
      <c r="J10" s="22" t="str">
        <f aca="false">IF(A10="","",IF(A10&lt;DATE(2025,4,6),"2024/25",IF(A10&lt;DATE(2026,4,6),"2025/26",IF(A10&lt;DATE(2027,4,6),"2026/27","2027/28"))))</f>
        <v/>
      </c>
      <c r="N10" s="13"/>
    </row>
    <row r="11" customFormat="false" ht="15" hidden="false" customHeight="false" outlineLevel="0" collapsed="false">
      <c r="A11" s="31"/>
      <c r="B11" s="13"/>
      <c r="C11" s="13"/>
      <c r="D11" s="32"/>
      <c r="E11" s="32"/>
      <c r="F11" s="14"/>
      <c r="G11" s="23"/>
      <c r="H11" s="16" t="str">
        <f aca="false">IF(F11="","",IF(G11&lt;&gt;"",G11,IF(E11="JPY",IF(ISNUMBER($L$1),ROUND(F11/$L$1,2),"レート未入力"),F11)))</f>
        <v/>
      </c>
      <c r="I11" s="13"/>
      <c r="J11" s="22" t="str">
        <f aca="false">IF(A11="","",IF(A11&lt;DATE(2025,4,6),"2024/25",IF(A11&lt;DATE(2026,4,6),"2025/26",IF(A11&lt;DATE(2027,4,6),"2026/27","2027/28"))))</f>
        <v/>
      </c>
      <c r="N11" s="13"/>
    </row>
    <row r="12" customFormat="false" ht="15" hidden="false" customHeight="false" outlineLevel="0" collapsed="false">
      <c r="A12" s="31"/>
      <c r="B12" s="13"/>
      <c r="C12" s="13"/>
      <c r="D12" s="32"/>
      <c r="E12" s="32"/>
      <c r="F12" s="14"/>
      <c r="G12" s="23"/>
      <c r="H12" s="16" t="str">
        <f aca="false">IF(F12="","",IF(G12&lt;&gt;"",G12,IF(E12="JPY",IF(ISNUMBER($L$1),ROUND(F12/$L$1,2),"レート未入力"),F12)))</f>
        <v/>
      </c>
      <c r="I12" s="13"/>
      <c r="J12" s="22" t="str">
        <f aca="false">IF(A12="","",IF(A12&lt;DATE(2025,4,6),"2024/25",IF(A12&lt;DATE(2026,4,6),"2025/26",IF(A12&lt;DATE(2027,4,6),"2026/27","2027/28"))))</f>
        <v/>
      </c>
      <c r="N12" s="13"/>
    </row>
    <row r="13" customFormat="false" ht="15" hidden="false" customHeight="false" outlineLevel="0" collapsed="false">
      <c r="A13" s="31"/>
      <c r="B13" s="13"/>
      <c r="C13" s="13"/>
      <c r="D13" s="32"/>
      <c r="E13" s="32"/>
      <c r="F13" s="14"/>
      <c r="G13" s="23"/>
      <c r="H13" s="16" t="str">
        <f aca="false">IF(F13="","",IF(G13&lt;&gt;"",G13,IF(E13="JPY",IF(ISNUMBER($L$1),ROUND(F13/$L$1,2),"レート未入力"),F13)))</f>
        <v/>
      </c>
      <c r="I13" s="13"/>
      <c r="J13" s="22" t="str">
        <f aca="false">IF(A13="","",IF(A13&lt;DATE(2025,4,6),"2024/25",IF(A13&lt;DATE(2026,4,6),"2025/26",IF(A13&lt;DATE(2027,4,6),"2026/27","2027/28"))))</f>
        <v/>
      </c>
      <c r="N13" s="13"/>
    </row>
    <row r="14" customFormat="false" ht="15" hidden="false" customHeight="false" outlineLevel="0" collapsed="false">
      <c r="A14" s="31"/>
      <c r="B14" s="13"/>
      <c r="C14" s="13"/>
      <c r="D14" s="32"/>
      <c r="E14" s="32"/>
      <c r="F14" s="14"/>
      <c r="G14" s="23"/>
      <c r="H14" s="16" t="str">
        <f aca="false">IF(F14="","",IF(G14&lt;&gt;"",G14,IF(E14="JPY",IF(ISNUMBER($L$1),ROUND(F14/$L$1,2),"レート未入力"),F14)))</f>
        <v/>
      </c>
      <c r="I14" s="13"/>
      <c r="J14" s="22" t="str">
        <f aca="false">IF(A14="","",IF(A14&lt;DATE(2025,4,6),"2024/25",IF(A14&lt;DATE(2026,4,6),"2025/26",IF(A14&lt;DATE(2027,4,6),"2026/27","2027/28"))))</f>
        <v/>
      </c>
      <c r="N14" s="13"/>
    </row>
    <row r="15" customFormat="false" ht="15" hidden="false" customHeight="false" outlineLevel="0" collapsed="false">
      <c r="A15" s="31"/>
      <c r="B15" s="13"/>
      <c r="C15" s="13"/>
      <c r="D15" s="32"/>
      <c r="E15" s="32"/>
      <c r="F15" s="14"/>
      <c r="G15" s="23"/>
      <c r="H15" s="16" t="str">
        <f aca="false">IF(F15="","",IF(G15&lt;&gt;"",G15,IF(E15="JPY",IF(ISNUMBER($L$1),ROUND(F15/$L$1,2),"レート未入力"),F15)))</f>
        <v/>
      </c>
      <c r="I15" s="13"/>
      <c r="J15" s="22" t="str">
        <f aca="false">IF(A15="","",IF(A15&lt;DATE(2025,4,6),"2024/25",IF(A15&lt;DATE(2026,4,6),"2025/26",IF(A15&lt;DATE(2027,4,6),"2026/27","2027/28"))))</f>
        <v/>
      </c>
      <c r="N15" s="13"/>
    </row>
    <row r="16" customFormat="false" ht="15" hidden="false" customHeight="false" outlineLevel="0" collapsed="false">
      <c r="A16" s="31"/>
      <c r="B16" s="13"/>
      <c r="C16" s="13"/>
      <c r="D16" s="32"/>
      <c r="E16" s="32"/>
      <c r="F16" s="14"/>
      <c r="G16" s="23"/>
      <c r="H16" s="16" t="str">
        <f aca="false">IF(F16="","",IF(G16&lt;&gt;"",G16,IF(E16="JPY",IF(ISNUMBER($L$1),ROUND(F16/$L$1,2),"レート未入力"),F16)))</f>
        <v/>
      </c>
      <c r="I16" s="13"/>
      <c r="J16" s="22" t="str">
        <f aca="false">IF(A16="","",IF(A16&lt;DATE(2025,4,6),"2024/25",IF(A16&lt;DATE(2026,4,6),"2025/26",IF(A16&lt;DATE(2027,4,6),"2026/27","2027/28"))))</f>
        <v/>
      </c>
      <c r="N16" s="13"/>
    </row>
    <row r="17" customFormat="false" ht="15" hidden="false" customHeight="false" outlineLevel="0" collapsed="false">
      <c r="A17" s="31"/>
      <c r="B17" s="13"/>
      <c r="C17" s="13"/>
      <c r="D17" s="32"/>
      <c r="E17" s="32"/>
      <c r="F17" s="14"/>
      <c r="G17" s="23"/>
      <c r="H17" s="16" t="str">
        <f aca="false">IF(F17="","",IF(G17&lt;&gt;"",G17,IF(E17="JPY",IF(ISNUMBER($L$1),ROUND(F17/$L$1,2),"レート未入力"),F17)))</f>
        <v/>
      </c>
      <c r="I17" s="13"/>
      <c r="J17" s="22" t="str">
        <f aca="false">IF(A17="","",IF(A17&lt;DATE(2025,4,6),"2024/25",IF(A17&lt;DATE(2026,4,6),"2025/26",IF(A17&lt;DATE(2027,4,6),"2026/27","2027/28"))))</f>
        <v/>
      </c>
      <c r="N17" s="13"/>
    </row>
    <row r="18" customFormat="false" ht="15" hidden="false" customHeight="false" outlineLevel="0" collapsed="false">
      <c r="A18" s="31"/>
      <c r="B18" s="13"/>
      <c r="C18" s="13"/>
      <c r="D18" s="32"/>
      <c r="E18" s="32"/>
      <c r="F18" s="14"/>
      <c r="G18" s="23"/>
      <c r="H18" s="16" t="str">
        <f aca="false">IF(F18="","",IF(G18&lt;&gt;"",G18,IF(E18="JPY",IF(ISNUMBER($L$1),ROUND(F18/$L$1,2),"レート未入力"),F18)))</f>
        <v/>
      </c>
      <c r="I18" s="13"/>
      <c r="J18" s="22" t="str">
        <f aca="false">IF(A18="","",IF(A18&lt;DATE(2025,4,6),"2024/25",IF(A18&lt;DATE(2026,4,6),"2025/26",IF(A18&lt;DATE(2027,4,6),"2026/27","2027/28"))))</f>
        <v/>
      </c>
      <c r="N18" s="13"/>
    </row>
    <row r="19" customFormat="false" ht="15" hidden="false" customHeight="false" outlineLevel="0" collapsed="false">
      <c r="A19" s="31"/>
      <c r="B19" s="13"/>
      <c r="C19" s="13"/>
      <c r="D19" s="32"/>
      <c r="E19" s="32"/>
      <c r="F19" s="14"/>
      <c r="G19" s="23"/>
      <c r="H19" s="16" t="str">
        <f aca="false">IF(F19="","",IF(G19&lt;&gt;"",G19,IF(E19="JPY",IF(ISNUMBER($L$1),ROUND(F19/$L$1,2),"レート未入力"),F19)))</f>
        <v/>
      </c>
      <c r="I19" s="13"/>
      <c r="J19" s="22" t="str">
        <f aca="false">IF(A19="","",IF(A19&lt;DATE(2025,4,6),"2024/25",IF(A19&lt;DATE(2026,4,6),"2025/26",IF(A19&lt;DATE(2027,4,6),"2026/27","2027/28"))))</f>
        <v/>
      </c>
      <c r="N19" s="13"/>
    </row>
    <row r="20" customFormat="false" ht="15" hidden="false" customHeight="false" outlineLevel="0" collapsed="false">
      <c r="A20" s="31"/>
      <c r="B20" s="13"/>
      <c r="C20" s="13"/>
      <c r="D20" s="32"/>
      <c r="E20" s="32"/>
      <c r="F20" s="14"/>
      <c r="G20" s="23"/>
      <c r="H20" s="16" t="str">
        <f aca="false">IF(F20="","",IF(G20&lt;&gt;"",G20,IF(E20="JPY",IF(ISNUMBER($L$1),ROUND(F20/$L$1,2),"レート未入力"),F20)))</f>
        <v/>
      </c>
      <c r="I20" s="13"/>
      <c r="J20" s="22" t="str">
        <f aca="false">IF(A20="","",IF(A20&lt;DATE(2025,4,6),"2024/25",IF(A20&lt;DATE(2026,4,6),"2025/26",IF(A20&lt;DATE(2027,4,6),"2026/27","2027/28"))))</f>
        <v/>
      </c>
      <c r="N20" s="13"/>
    </row>
    <row r="21" customFormat="false" ht="15" hidden="false" customHeight="false" outlineLevel="0" collapsed="false">
      <c r="A21" s="31"/>
      <c r="B21" s="13"/>
      <c r="C21" s="13"/>
      <c r="D21" s="32"/>
      <c r="E21" s="32"/>
      <c r="F21" s="14"/>
      <c r="G21" s="23"/>
      <c r="H21" s="16" t="str">
        <f aca="false">IF(F21="","",IF(G21&lt;&gt;"",G21,IF(E21="JPY",IF(ISNUMBER($L$1),ROUND(F21/$L$1,2),"レート未入力"),F21)))</f>
        <v/>
      </c>
      <c r="I21" s="13"/>
      <c r="J21" s="22" t="str">
        <f aca="false">IF(A21="","",IF(A21&lt;DATE(2025,4,6),"2024/25",IF(A21&lt;DATE(2026,4,6),"2025/26",IF(A21&lt;DATE(2027,4,6),"2026/27","2027/28"))))</f>
        <v/>
      </c>
      <c r="N21" s="13"/>
    </row>
    <row r="22" customFormat="false" ht="15" hidden="false" customHeight="false" outlineLevel="0" collapsed="false">
      <c r="A22" s="31"/>
      <c r="B22" s="13"/>
      <c r="C22" s="13"/>
      <c r="D22" s="32"/>
      <c r="E22" s="32"/>
      <c r="F22" s="14"/>
      <c r="G22" s="23"/>
      <c r="H22" s="16" t="str">
        <f aca="false">IF(F22="","",IF(G22&lt;&gt;"",G22,IF(E22="JPY",IF(ISNUMBER($L$1),ROUND(F22/$L$1,2),"レート未入力"),F22)))</f>
        <v/>
      </c>
      <c r="I22" s="13"/>
      <c r="J22" s="22" t="str">
        <f aca="false">IF(A22="","",IF(A22&lt;DATE(2025,4,6),"2024/25",IF(A22&lt;DATE(2026,4,6),"2025/26",IF(A22&lt;DATE(2027,4,6),"2026/27","2027/28"))))</f>
        <v/>
      </c>
      <c r="N22" s="13"/>
    </row>
    <row r="23" customFormat="false" ht="15" hidden="false" customHeight="false" outlineLevel="0" collapsed="false">
      <c r="A23" s="31"/>
      <c r="B23" s="13"/>
      <c r="C23" s="13"/>
      <c r="D23" s="32"/>
      <c r="E23" s="32"/>
      <c r="F23" s="14"/>
      <c r="G23" s="23"/>
      <c r="H23" s="16" t="str">
        <f aca="false">IF(F23="","",IF(G23&lt;&gt;"",G23,IF(E23="JPY",IF(ISNUMBER($L$1),ROUND(F23/$L$1,2),"レート未入力"),F23)))</f>
        <v/>
      </c>
      <c r="I23" s="13"/>
      <c r="J23" s="22" t="str">
        <f aca="false">IF(A23="","",IF(A23&lt;DATE(2025,4,6),"2024/25",IF(A23&lt;DATE(2026,4,6),"2025/26",IF(A23&lt;DATE(2027,4,6),"2026/27","2027/28"))))</f>
        <v/>
      </c>
      <c r="N23" s="13"/>
    </row>
    <row r="24" customFormat="false" ht="15" hidden="false" customHeight="false" outlineLevel="0" collapsed="false">
      <c r="A24" s="31"/>
      <c r="B24" s="13"/>
      <c r="C24" s="13"/>
      <c r="D24" s="32"/>
      <c r="E24" s="32"/>
      <c r="F24" s="14"/>
      <c r="G24" s="23"/>
      <c r="H24" s="16" t="str">
        <f aca="false">IF(F24="","",IF(G24&lt;&gt;"",G24,IF(E24="JPY",IF(ISNUMBER($L$1),ROUND(F24/$L$1,2),"レート未入力"),F24)))</f>
        <v/>
      </c>
      <c r="I24" s="13"/>
      <c r="J24" s="22" t="str">
        <f aca="false">IF(A24="","",IF(A24&lt;DATE(2025,4,6),"2024/25",IF(A24&lt;DATE(2026,4,6),"2025/26",IF(A24&lt;DATE(2027,4,6),"2026/27","2027/28"))))</f>
        <v/>
      </c>
      <c r="N24" s="13"/>
    </row>
    <row r="25" customFormat="false" ht="15" hidden="false" customHeight="false" outlineLevel="0" collapsed="false">
      <c r="A25" s="31"/>
      <c r="B25" s="13"/>
      <c r="C25" s="13"/>
      <c r="D25" s="32"/>
      <c r="E25" s="32"/>
      <c r="F25" s="14"/>
      <c r="G25" s="23"/>
      <c r="H25" s="16" t="str">
        <f aca="false">IF(F25="","",IF(G25&lt;&gt;"",G25,IF(E25="JPY",IF(ISNUMBER($L$1),ROUND(F25/$L$1,2),"レート未入力"),F25)))</f>
        <v/>
      </c>
      <c r="I25" s="13"/>
      <c r="J25" s="22" t="str">
        <f aca="false">IF(A25="","",IF(A25&lt;DATE(2025,4,6),"2024/25",IF(A25&lt;DATE(2026,4,6),"2025/26",IF(A25&lt;DATE(2027,4,6),"2026/27","2027/28"))))</f>
        <v/>
      </c>
      <c r="N25" s="13"/>
    </row>
    <row r="26" customFormat="false" ht="15" hidden="false" customHeight="false" outlineLevel="0" collapsed="false">
      <c r="A26" s="3" t="s">
        <v>183</v>
      </c>
      <c r="H26" s="18" t="n">
        <f aca="false">SUM(H6:H25)</f>
        <v>0</v>
      </c>
    </row>
    <row r="28" customFormat="false" ht="15" hidden="false" customHeight="false" outlineLevel="0" collapsed="false">
      <c r="A28" s="26" t="s">
        <v>184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</row>
    <row r="29" customFormat="false" ht="30" hidden="false" customHeight="true" outlineLevel="0" collapsed="false">
      <c r="A29" s="9" t="s">
        <v>167</v>
      </c>
      <c r="B29" s="9" t="s">
        <v>185</v>
      </c>
      <c r="C29" s="9" t="s">
        <v>169</v>
      </c>
      <c r="D29" s="9" t="s">
        <v>38</v>
      </c>
      <c r="E29" s="9" t="s">
        <v>171</v>
      </c>
      <c r="F29" s="9" t="s">
        <v>172</v>
      </c>
      <c r="G29" s="9" t="s">
        <v>173</v>
      </c>
      <c r="H29" s="10" t="s">
        <v>186</v>
      </c>
      <c r="I29" s="9" t="s">
        <v>187</v>
      </c>
      <c r="J29" s="9" t="s">
        <v>188</v>
      </c>
      <c r="K29" s="9" t="s">
        <v>189</v>
      </c>
      <c r="L29" s="9" t="s">
        <v>176</v>
      </c>
      <c r="M29" s="9"/>
      <c r="N29" s="9" t="s">
        <v>177</v>
      </c>
    </row>
    <row r="30" customFormat="false" ht="15" hidden="false" customHeight="false" outlineLevel="0" collapsed="false">
      <c r="A30" s="31"/>
      <c r="B30" s="13"/>
      <c r="C30" s="13"/>
      <c r="D30" s="32"/>
      <c r="E30" s="32"/>
      <c r="F30" s="14"/>
      <c r="G30" s="23"/>
      <c r="H30" s="16" t="str">
        <f aca="false">IF(F30="","",IF(G30&lt;&gt;"",G30,IF(E30="JPY",IF(ISNUMBER($L$1),ROUND(F30/$L$1,2),"レート未入力"),F30)))</f>
        <v/>
      </c>
      <c r="I30" s="33"/>
      <c r="J30" s="16" t="str">
        <f aca="false">IF(ISNUMBER(H30),ROUND(H30*IF(I30="",1,I30),2),"")</f>
        <v/>
      </c>
      <c r="K30" s="35"/>
      <c r="L30" s="22" t="str">
        <f aca="false">IF(A30="","",IF(A30&lt;DATE(2025,4,6),"2024/25",IF(A30&lt;DATE(2026,4,6),"2025/26",IF(A30&lt;DATE(2027,4,6),"2026/27","2027/28"))))</f>
        <v/>
      </c>
      <c r="N30" s="13"/>
    </row>
    <row r="31" customFormat="false" ht="15" hidden="false" customHeight="false" outlineLevel="0" collapsed="false">
      <c r="A31" s="31"/>
      <c r="B31" s="13"/>
      <c r="C31" s="13"/>
      <c r="D31" s="32"/>
      <c r="E31" s="32"/>
      <c r="F31" s="14"/>
      <c r="G31" s="23"/>
      <c r="H31" s="16" t="str">
        <f aca="false">IF(F31="","",IF(G31&lt;&gt;"",G31,IF(E31="JPY",IF(ISNUMBER($L$1),ROUND(F31/$L$1,2),"レート未入力"),F31)))</f>
        <v/>
      </c>
      <c r="I31" s="33"/>
      <c r="J31" s="16" t="str">
        <f aca="false">IF(ISNUMBER(H31),ROUND(H31*IF(I31="",1,I31),2),"")</f>
        <v/>
      </c>
      <c r="K31" s="35"/>
      <c r="L31" s="22" t="str">
        <f aca="false">IF(A31="","",IF(A31&lt;DATE(2025,4,6),"2024/25",IF(A31&lt;DATE(2026,4,6),"2025/26",IF(A31&lt;DATE(2027,4,6),"2026/27","2027/28"))))</f>
        <v/>
      </c>
      <c r="N31" s="13"/>
    </row>
    <row r="32" customFormat="false" ht="15" hidden="false" customHeight="false" outlineLevel="0" collapsed="false">
      <c r="A32" s="31"/>
      <c r="B32" s="13"/>
      <c r="C32" s="13"/>
      <c r="D32" s="32"/>
      <c r="E32" s="32"/>
      <c r="F32" s="14"/>
      <c r="G32" s="23"/>
      <c r="H32" s="16" t="str">
        <f aca="false">IF(F32="","",IF(G32&lt;&gt;"",G32,IF(E32="JPY",IF(ISNUMBER($L$1),ROUND(F32/$L$1,2),"レート未入力"),F32)))</f>
        <v/>
      </c>
      <c r="I32" s="33"/>
      <c r="J32" s="16" t="str">
        <f aca="false">IF(ISNUMBER(H32),ROUND(H32*IF(I32="",1,I32),2),"")</f>
        <v/>
      </c>
      <c r="K32" s="35"/>
      <c r="L32" s="22" t="str">
        <f aca="false">IF(A32="","",IF(A32&lt;DATE(2025,4,6),"2024/25",IF(A32&lt;DATE(2026,4,6),"2025/26",IF(A32&lt;DATE(2027,4,6),"2026/27","2027/28"))))</f>
        <v/>
      </c>
      <c r="N32" s="13"/>
    </row>
    <row r="33" customFormat="false" ht="15" hidden="false" customHeight="false" outlineLevel="0" collapsed="false">
      <c r="A33" s="31"/>
      <c r="B33" s="13"/>
      <c r="C33" s="13"/>
      <c r="D33" s="32"/>
      <c r="E33" s="32"/>
      <c r="F33" s="14"/>
      <c r="G33" s="23"/>
      <c r="H33" s="16" t="str">
        <f aca="false">IF(F33="","",IF(G33&lt;&gt;"",G33,IF(E33="JPY",IF(ISNUMBER($L$1),ROUND(F33/$L$1,2),"レート未入力"),F33)))</f>
        <v/>
      </c>
      <c r="I33" s="33"/>
      <c r="J33" s="16" t="str">
        <f aca="false">IF(ISNUMBER(H33),ROUND(H33*IF(I33="",1,I33),2),"")</f>
        <v/>
      </c>
      <c r="K33" s="35"/>
      <c r="L33" s="22" t="str">
        <f aca="false">IF(A33="","",IF(A33&lt;DATE(2025,4,6),"2024/25",IF(A33&lt;DATE(2026,4,6),"2025/26",IF(A33&lt;DATE(2027,4,6),"2026/27","2027/28"))))</f>
        <v/>
      </c>
      <c r="N33" s="13"/>
    </row>
    <row r="34" customFormat="false" ht="15" hidden="false" customHeight="false" outlineLevel="0" collapsed="false">
      <c r="A34" s="31"/>
      <c r="B34" s="13"/>
      <c r="C34" s="13"/>
      <c r="D34" s="32"/>
      <c r="E34" s="32"/>
      <c r="F34" s="14"/>
      <c r="G34" s="23"/>
      <c r="H34" s="16" t="str">
        <f aca="false">IF(F34="","",IF(G34&lt;&gt;"",G34,IF(E34="JPY",IF(ISNUMBER($L$1),ROUND(F34/$L$1,2),"レート未入力"),F34)))</f>
        <v/>
      </c>
      <c r="I34" s="33"/>
      <c r="J34" s="16" t="str">
        <f aca="false">IF(ISNUMBER(H34),ROUND(H34*IF(I34="",1,I34),2),"")</f>
        <v/>
      </c>
      <c r="K34" s="35"/>
      <c r="L34" s="22" t="str">
        <f aca="false">IF(A34="","",IF(A34&lt;DATE(2025,4,6),"2024/25",IF(A34&lt;DATE(2026,4,6),"2025/26",IF(A34&lt;DATE(2027,4,6),"2026/27","2027/28"))))</f>
        <v/>
      </c>
      <c r="N34" s="13"/>
    </row>
    <row r="35" customFormat="false" ht="15" hidden="false" customHeight="false" outlineLevel="0" collapsed="false">
      <c r="A35" s="31"/>
      <c r="B35" s="13"/>
      <c r="C35" s="13"/>
      <c r="D35" s="32"/>
      <c r="E35" s="32"/>
      <c r="F35" s="14"/>
      <c r="G35" s="23"/>
      <c r="H35" s="16" t="str">
        <f aca="false">IF(F35="","",IF(G35&lt;&gt;"",G35,IF(E35="JPY",IF(ISNUMBER($L$1),ROUND(F35/$L$1,2),"レート未入力"),F35)))</f>
        <v/>
      </c>
      <c r="I35" s="33"/>
      <c r="J35" s="16" t="str">
        <f aca="false">IF(ISNUMBER(H35),ROUND(H35*IF(I35="",1,I35),2),"")</f>
        <v/>
      </c>
      <c r="K35" s="35"/>
      <c r="L35" s="22" t="str">
        <f aca="false">IF(A35="","",IF(A35&lt;DATE(2025,4,6),"2024/25",IF(A35&lt;DATE(2026,4,6),"2025/26",IF(A35&lt;DATE(2027,4,6),"2026/27","2027/28"))))</f>
        <v/>
      </c>
      <c r="N35" s="13"/>
    </row>
    <row r="36" customFormat="false" ht="15" hidden="false" customHeight="false" outlineLevel="0" collapsed="false">
      <c r="A36" s="31"/>
      <c r="B36" s="13"/>
      <c r="C36" s="13"/>
      <c r="D36" s="32"/>
      <c r="E36" s="32"/>
      <c r="F36" s="14"/>
      <c r="G36" s="23"/>
      <c r="H36" s="16" t="str">
        <f aca="false">IF(F36="","",IF(G36&lt;&gt;"",G36,IF(E36="JPY",IF(ISNUMBER($L$1),ROUND(F36/$L$1,2),"レート未入力"),F36)))</f>
        <v/>
      </c>
      <c r="I36" s="33"/>
      <c r="J36" s="16" t="str">
        <f aca="false">IF(ISNUMBER(H36),ROUND(H36*IF(I36="",1,I36),2),"")</f>
        <v/>
      </c>
      <c r="K36" s="35"/>
      <c r="L36" s="22" t="str">
        <f aca="false">IF(A36="","",IF(A36&lt;DATE(2025,4,6),"2024/25",IF(A36&lt;DATE(2026,4,6),"2025/26",IF(A36&lt;DATE(2027,4,6),"2026/27","2027/28"))))</f>
        <v/>
      </c>
      <c r="N36" s="13"/>
    </row>
    <row r="37" customFormat="false" ht="15" hidden="false" customHeight="false" outlineLevel="0" collapsed="false">
      <c r="A37" s="31"/>
      <c r="B37" s="13"/>
      <c r="C37" s="13"/>
      <c r="D37" s="32"/>
      <c r="E37" s="32"/>
      <c r="F37" s="14"/>
      <c r="G37" s="23"/>
      <c r="H37" s="16" t="str">
        <f aca="false">IF(F37="","",IF(G37&lt;&gt;"",G37,IF(E37="JPY",IF(ISNUMBER($L$1),ROUND(F37/$L$1,2),"レート未入力"),F37)))</f>
        <v/>
      </c>
      <c r="I37" s="33"/>
      <c r="J37" s="16" t="str">
        <f aca="false">IF(ISNUMBER(H37),ROUND(H37*IF(I37="",1,I37),2),"")</f>
        <v/>
      </c>
      <c r="K37" s="35"/>
      <c r="L37" s="22" t="str">
        <f aca="false">IF(A37="","",IF(A37&lt;DATE(2025,4,6),"2024/25",IF(A37&lt;DATE(2026,4,6),"2025/26",IF(A37&lt;DATE(2027,4,6),"2026/27","2027/28"))))</f>
        <v/>
      </c>
      <c r="N37" s="13"/>
    </row>
    <row r="38" customFormat="false" ht="15" hidden="false" customHeight="false" outlineLevel="0" collapsed="false">
      <c r="A38" s="31"/>
      <c r="B38" s="13"/>
      <c r="C38" s="13"/>
      <c r="D38" s="32"/>
      <c r="E38" s="32"/>
      <c r="F38" s="14"/>
      <c r="G38" s="23"/>
      <c r="H38" s="16" t="str">
        <f aca="false">IF(F38="","",IF(G38&lt;&gt;"",G38,IF(E38="JPY",IF(ISNUMBER($L$1),ROUND(F38/$L$1,2),"レート未入力"),F38)))</f>
        <v/>
      </c>
      <c r="I38" s="33"/>
      <c r="J38" s="16" t="str">
        <f aca="false">IF(ISNUMBER(H38),ROUND(H38*IF(I38="",1,I38),2),"")</f>
        <v/>
      </c>
      <c r="K38" s="35"/>
      <c r="L38" s="22" t="str">
        <f aca="false">IF(A38="","",IF(A38&lt;DATE(2025,4,6),"2024/25",IF(A38&lt;DATE(2026,4,6),"2025/26",IF(A38&lt;DATE(2027,4,6),"2026/27","2027/28"))))</f>
        <v/>
      </c>
      <c r="N38" s="13"/>
    </row>
    <row r="39" customFormat="false" ht="15" hidden="false" customHeight="false" outlineLevel="0" collapsed="false">
      <c r="A39" s="31"/>
      <c r="B39" s="13"/>
      <c r="C39" s="13"/>
      <c r="D39" s="32"/>
      <c r="E39" s="32"/>
      <c r="F39" s="14"/>
      <c r="G39" s="23"/>
      <c r="H39" s="16" t="str">
        <f aca="false">IF(F39="","",IF(G39&lt;&gt;"",G39,IF(E39="JPY",IF(ISNUMBER($L$1),ROUND(F39/$L$1,2),"レート未入力"),F39)))</f>
        <v/>
      </c>
      <c r="I39" s="33"/>
      <c r="J39" s="16" t="str">
        <f aca="false">IF(ISNUMBER(H39),ROUND(H39*IF(I39="",1,I39),2),"")</f>
        <v/>
      </c>
      <c r="K39" s="35"/>
      <c r="L39" s="22" t="str">
        <f aca="false">IF(A39="","",IF(A39&lt;DATE(2025,4,6),"2024/25",IF(A39&lt;DATE(2026,4,6),"2025/26",IF(A39&lt;DATE(2027,4,6),"2026/27","2027/28"))))</f>
        <v/>
      </c>
      <c r="N39" s="13"/>
    </row>
    <row r="40" customFormat="false" ht="15" hidden="false" customHeight="false" outlineLevel="0" collapsed="false">
      <c r="A40" s="31"/>
      <c r="B40" s="13"/>
      <c r="C40" s="13"/>
      <c r="D40" s="32"/>
      <c r="E40" s="32"/>
      <c r="F40" s="14"/>
      <c r="G40" s="23"/>
      <c r="H40" s="16" t="str">
        <f aca="false">IF(F40="","",IF(G40&lt;&gt;"",G40,IF(E40="JPY",IF(ISNUMBER($L$1),ROUND(F40/$L$1,2),"レート未入力"),F40)))</f>
        <v/>
      </c>
      <c r="I40" s="33"/>
      <c r="J40" s="16" t="str">
        <f aca="false">IF(ISNUMBER(H40),ROUND(H40*IF(I40="",1,I40),2),"")</f>
        <v/>
      </c>
      <c r="K40" s="35"/>
      <c r="L40" s="22" t="str">
        <f aca="false">IF(A40="","",IF(A40&lt;DATE(2025,4,6),"2024/25",IF(A40&lt;DATE(2026,4,6),"2025/26",IF(A40&lt;DATE(2027,4,6),"2026/27","2027/28"))))</f>
        <v/>
      </c>
      <c r="N40" s="13"/>
    </row>
    <row r="41" customFormat="false" ht="15" hidden="false" customHeight="false" outlineLevel="0" collapsed="false">
      <c r="A41" s="31"/>
      <c r="B41" s="13"/>
      <c r="C41" s="13"/>
      <c r="D41" s="32"/>
      <c r="E41" s="32"/>
      <c r="F41" s="14"/>
      <c r="G41" s="23"/>
      <c r="H41" s="16" t="str">
        <f aca="false">IF(F41="","",IF(G41&lt;&gt;"",G41,IF(E41="JPY",IF(ISNUMBER($L$1),ROUND(F41/$L$1,2),"レート未入力"),F41)))</f>
        <v/>
      </c>
      <c r="I41" s="33"/>
      <c r="J41" s="16" t="str">
        <f aca="false">IF(ISNUMBER(H41),ROUND(H41*IF(I41="",1,I41),2),"")</f>
        <v/>
      </c>
      <c r="K41" s="35"/>
      <c r="L41" s="22" t="str">
        <f aca="false">IF(A41="","",IF(A41&lt;DATE(2025,4,6),"2024/25",IF(A41&lt;DATE(2026,4,6),"2025/26",IF(A41&lt;DATE(2027,4,6),"2026/27","2027/28"))))</f>
        <v/>
      </c>
      <c r="N41" s="13"/>
    </row>
    <row r="42" customFormat="false" ht="15" hidden="false" customHeight="false" outlineLevel="0" collapsed="false">
      <c r="A42" s="31"/>
      <c r="B42" s="13"/>
      <c r="C42" s="13"/>
      <c r="D42" s="32"/>
      <c r="E42" s="32"/>
      <c r="F42" s="14"/>
      <c r="G42" s="23"/>
      <c r="H42" s="16" t="str">
        <f aca="false">IF(F42="","",IF(G42&lt;&gt;"",G42,IF(E42="JPY",IF(ISNUMBER($L$1),ROUND(F42/$L$1,2),"レート未入力"),F42)))</f>
        <v/>
      </c>
      <c r="I42" s="33"/>
      <c r="J42" s="16" t="str">
        <f aca="false">IF(ISNUMBER(H42),ROUND(H42*IF(I42="",1,I42),2),"")</f>
        <v/>
      </c>
      <c r="K42" s="35"/>
      <c r="L42" s="22" t="str">
        <f aca="false">IF(A42="","",IF(A42&lt;DATE(2025,4,6),"2024/25",IF(A42&lt;DATE(2026,4,6),"2025/26",IF(A42&lt;DATE(2027,4,6),"2026/27","2027/28"))))</f>
        <v/>
      </c>
      <c r="N42" s="13"/>
    </row>
    <row r="43" customFormat="false" ht="15" hidden="false" customHeight="false" outlineLevel="0" collapsed="false">
      <c r="A43" s="31"/>
      <c r="B43" s="13"/>
      <c r="C43" s="13"/>
      <c r="D43" s="32"/>
      <c r="E43" s="32"/>
      <c r="F43" s="14"/>
      <c r="G43" s="23"/>
      <c r="H43" s="16" t="str">
        <f aca="false">IF(F43="","",IF(G43&lt;&gt;"",G43,IF(E43="JPY",IF(ISNUMBER($L$1),ROUND(F43/$L$1,2),"レート未入力"),F43)))</f>
        <v/>
      </c>
      <c r="I43" s="33"/>
      <c r="J43" s="16" t="str">
        <f aca="false">IF(ISNUMBER(H43),ROUND(H43*IF(I43="",1,I43),2),"")</f>
        <v/>
      </c>
      <c r="K43" s="35"/>
      <c r="L43" s="22" t="str">
        <f aca="false">IF(A43="","",IF(A43&lt;DATE(2025,4,6),"2024/25",IF(A43&lt;DATE(2026,4,6),"2025/26",IF(A43&lt;DATE(2027,4,6),"2026/27","2027/28"))))</f>
        <v/>
      </c>
      <c r="N43" s="13"/>
    </row>
    <row r="44" customFormat="false" ht="15" hidden="false" customHeight="false" outlineLevel="0" collapsed="false">
      <c r="A44" s="31"/>
      <c r="B44" s="13"/>
      <c r="C44" s="13"/>
      <c r="D44" s="32"/>
      <c r="E44" s="32"/>
      <c r="F44" s="14"/>
      <c r="G44" s="23"/>
      <c r="H44" s="16" t="str">
        <f aca="false">IF(F44="","",IF(G44&lt;&gt;"",G44,IF(E44="JPY",IF(ISNUMBER($L$1),ROUND(F44/$L$1,2),"レート未入力"),F44)))</f>
        <v/>
      </c>
      <c r="I44" s="33"/>
      <c r="J44" s="16" t="str">
        <f aca="false">IF(ISNUMBER(H44),ROUND(H44*IF(I44="",1,I44),2),"")</f>
        <v/>
      </c>
      <c r="K44" s="35"/>
      <c r="L44" s="22" t="str">
        <f aca="false">IF(A44="","",IF(A44&lt;DATE(2025,4,6),"2024/25",IF(A44&lt;DATE(2026,4,6),"2025/26",IF(A44&lt;DATE(2027,4,6),"2026/27","2027/28"))))</f>
        <v/>
      </c>
      <c r="N44" s="13"/>
    </row>
    <row r="45" customFormat="false" ht="15" hidden="false" customHeight="false" outlineLevel="0" collapsed="false">
      <c r="A45" s="31"/>
      <c r="B45" s="13"/>
      <c r="C45" s="13"/>
      <c r="D45" s="32"/>
      <c r="E45" s="32"/>
      <c r="F45" s="14"/>
      <c r="G45" s="23"/>
      <c r="H45" s="16" t="str">
        <f aca="false">IF(F45="","",IF(G45&lt;&gt;"",G45,IF(E45="JPY",IF(ISNUMBER($L$1),ROUND(F45/$L$1,2),"レート未入力"),F45)))</f>
        <v/>
      </c>
      <c r="I45" s="33"/>
      <c r="J45" s="16" t="str">
        <f aca="false">IF(ISNUMBER(H45),ROUND(H45*IF(I45="",1,I45),2),"")</f>
        <v/>
      </c>
      <c r="K45" s="35"/>
      <c r="L45" s="22" t="str">
        <f aca="false">IF(A45="","",IF(A45&lt;DATE(2025,4,6),"2024/25",IF(A45&lt;DATE(2026,4,6),"2025/26",IF(A45&lt;DATE(2027,4,6),"2026/27","2027/28"))))</f>
        <v/>
      </c>
      <c r="N45" s="13"/>
    </row>
    <row r="46" customFormat="false" ht="15" hidden="false" customHeight="false" outlineLevel="0" collapsed="false">
      <c r="A46" s="31"/>
      <c r="B46" s="13"/>
      <c r="C46" s="13"/>
      <c r="D46" s="32"/>
      <c r="E46" s="32"/>
      <c r="F46" s="14"/>
      <c r="G46" s="23"/>
      <c r="H46" s="16" t="str">
        <f aca="false">IF(F46="","",IF(G46&lt;&gt;"",G46,IF(E46="JPY",IF(ISNUMBER($L$1),ROUND(F46/$L$1,2),"レート未入力"),F46)))</f>
        <v/>
      </c>
      <c r="I46" s="33"/>
      <c r="J46" s="16" t="str">
        <f aca="false">IF(ISNUMBER(H46),ROUND(H46*IF(I46="",1,I46),2),"")</f>
        <v/>
      </c>
      <c r="K46" s="35"/>
      <c r="L46" s="22" t="str">
        <f aca="false">IF(A46="","",IF(A46&lt;DATE(2025,4,6),"2024/25",IF(A46&lt;DATE(2026,4,6),"2025/26",IF(A46&lt;DATE(2027,4,6),"2026/27","2027/28"))))</f>
        <v/>
      </c>
      <c r="N46" s="13"/>
    </row>
    <row r="47" customFormat="false" ht="15" hidden="false" customHeight="false" outlineLevel="0" collapsed="false">
      <c r="A47" s="31"/>
      <c r="B47" s="13"/>
      <c r="C47" s="13"/>
      <c r="D47" s="32"/>
      <c r="E47" s="32"/>
      <c r="F47" s="14"/>
      <c r="G47" s="23"/>
      <c r="H47" s="16" t="str">
        <f aca="false">IF(F47="","",IF(G47&lt;&gt;"",G47,IF(E47="JPY",IF(ISNUMBER($L$1),ROUND(F47/$L$1,2),"レート未入力"),F47)))</f>
        <v/>
      </c>
      <c r="I47" s="33"/>
      <c r="J47" s="16" t="str">
        <f aca="false">IF(ISNUMBER(H47),ROUND(H47*IF(I47="",1,I47),2),"")</f>
        <v/>
      </c>
      <c r="K47" s="35"/>
      <c r="L47" s="22" t="str">
        <f aca="false">IF(A47="","",IF(A47&lt;DATE(2025,4,6),"2024/25",IF(A47&lt;DATE(2026,4,6),"2025/26",IF(A47&lt;DATE(2027,4,6),"2026/27","2027/28"))))</f>
        <v/>
      </c>
      <c r="N47" s="13"/>
    </row>
    <row r="48" customFormat="false" ht="15" hidden="false" customHeight="false" outlineLevel="0" collapsed="false">
      <c r="A48" s="31"/>
      <c r="B48" s="13"/>
      <c r="C48" s="13"/>
      <c r="D48" s="32"/>
      <c r="E48" s="32"/>
      <c r="F48" s="14"/>
      <c r="G48" s="23"/>
      <c r="H48" s="16" t="str">
        <f aca="false">IF(F48="","",IF(G48&lt;&gt;"",G48,IF(E48="JPY",IF(ISNUMBER($L$1),ROUND(F48/$L$1,2),"レート未入力"),F48)))</f>
        <v/>
      </c>
      <c r="I48" s="33"/>
      <c r="J48" s="16" t="str">
        <f aca="false">IF(ISNUMBER(H48),ROUND(H48*IF(I48="",1,I48),2),"")</f>
        <v/>
      </c>
      <c r="K48" s="35"/>
      <c r="L48" s="22" t="str">
        <f aca="false">IF(A48="","",IF(A48&lt;DATE(2025,4,6),"2024/25",IF(A48&lt;DATE(2026,4,6),"2025/26",IF(A48&lt;DATE(2027,4,6),"2026/27","2027/28"))))</f>
        <v/>
      </c>
      <c r="N48" s="13"/>
    </row>
    <row r="49" customFormat="false" ht="15" hidden="false" customHeight="false" outlineLevel="0" collapsed="false">
      <c r="A49" s="31"/>
      <c r="B49" s="13"/>
      <c r="C49" s="13"/>
      <c r="D49" s="32"/>
      <c r="E49" s="32"/>
      <c r="F49" s="14"/>
      <c r="G49" s="23"/>
      <c r="H49" s="16" t="str">
        <f aca="false">IF(F49="","",IF(G49&lt;&gt;"",G49,IF(E49="JPY",IF(ISNUMBER($L$1),ROUND(F49/$L$1,2),"レート未入力"),F49)))</f>
        <v/>
      </c>
      <c r="I49" s="33"/>
      <c r="J49" s="16" t="str">
        <f aca="false">IF(ISNUMBER(H49),ROUND(H49*IF(I49="",1,I49),2),"")</f>
        <v/>
      </c>
      <c r="K49" s="35"/>
      <c r="L49" s="22" t="str">
        <f aca="false">IF(A49="","",IF(A49&lt;DATE(2025,4,6),"2024/25",IF(A49&lt;DATE(2026,4,6),"2025/26",IF(A49&lt;DATE(2027,4,6),"2026/27","2027/28"))))</f>
        <v/>
      </c>
      <c r="N49" s="13"/>
    </row>
    <row r="50" customFormat="false" ht="15" hidden="false" customHeight="false" outlineLevel="0" collapsed="false">
      <c r="A50" s="31"/>
      <c r="B50" s="13"/>
      <c r="C50" s="13"/>
      <c r="D50" s="32"/>
      <c r="E50" s="32"/>
      <c r="F50" s="14"/>
      <c r="G50" s="23"/>
      <c r="H50" s="16" t="str">
        <f aca="false">IF(F50="","",IF(G50&lt;&gt;"",G50,IF(E50="JPY",IF(ISNUMBER($L$1),ROUND(F50/$L$1,2),"レート未入力"),F50)))</f>
        <v/>
      </c>
      <c r="I50" s="33"/>
      <c r="J50" s="16" t="str">
        <f aca="false">IF(ISNUMBER(H50),ROUND(H50*IF(I50="",1,I50),2),"")</f>
        <v/>
      </c>
      <c r="K50" s="35"/>
      <c r="L50" s="22" t="str">
        <f aca="false">IF(A50="","",IF(A50&lt;DATE(2025,4,6),"2024/25",IF(A50&lt;DATE(2026,4,6),"2025/26",IF(A50&lt;DATE(2027,4,6),"2026/27","2027/28"))))</f>
        <v/>
      </c>
      <c r="N50" s="13"/>
    </row>
    <row r="51" customFormat="false" ht="15" hidden="false" customHeight="false" outlineLevel="0" collapsed="false">
      <c r="A51" s="31"/>
      <c r="B51" s="13"/>
      <c r="C51" s="13"/>
      <c r="D51" s="32"/>
      <c r="E51" s="32"/>
      <c r="F51" s="14"/>
      <c r="G51" s="23"/>
      <c r="H51" s="16" t="str">
        <f aca="false">IF(F51="","",IF(G51&lt;&gt;"",G51,IF(E51="JPY",IF(ISNUMBER($L$1),ROUND(F51/$L$1,2),"レート未入力"),F51)))</f>
        <v/>
      </c>
      <c r="I51" s="33"/>
      <c r="J51" s="16" t="str">
        <f aca="false">IF(ISNUMBER(H51),ROUND(H51*IF(I51="",1,I51),2),"")</f>
        <v/>
      </c>
      <c r="K51" s="35"/>
      <c r="L51" s="22" t="str">
        <f aca="false">IF(A51="","",IF(A51&lt;DATE(2025,4,6),"2024/25",IF(A51&lt;DATE(2026,4,6),"2025/26",IF(A51&lt;DATE(2027,4,6),"2026/27","2027/28"))))</f>
        <v/>
      </c>
      <c r="N51" s="13"/>
    </row>
    <row r="52" customFormat="false" ht="15" hidden="false" customHeight="false" outlineLevel="0" collapsed="false">
      <c r="A52" s="31"/>
      <c r="B52" s="13"/>
      <c r="C52" s="13"/>
      <c r="D52" s="32"/>
      <c r="E52" s="32"/>
      <c r="F52" s="14"/>
      <c r="G52" s="23"/>
      <c r="H52" s="16" t="str">
        <f aca="false">IF(F52="","",IF(G52&lt;&gt;"",G52,IF(E52="JPY",IF(ISNUMBER($L$1),ROUND(F52/$L$1,2),"レート未入力"),F52)))</f>
        <v/>
      </c>
      <c r="I52" s="33"/>
      <c r="J52" s="16" t="str">
        <f aca="false">IF(ISNUMBER(H52),ROUND(H52*IF(I52="",1,I52),2),"")</f>
        <v/>
      </c>
      <c r="K52" s="35"/>
      <c r="L52" s="22" t="str">
        <f aca="false">IF(A52="","",IF(A52&lt;DATE(2025,4,6),"2024/25",IF(A52&lt;DATE(2026,4,6),"2025/26",IF(A52&lt;DATE(2027,4,6),"2026/27","2027/28"))))</f>
        <v/>
      </c>
      <c r="N52" s="13"/>
    </row>
    <row r="53" customFormat="false" ht="15" hidden="false" customHeight="false" outlineLevel="0" collapsed="false">
      <c r="A53" s="31"/>
      <c r="B53" s="13"/>
      <c r="C53" s="13"/>
      <c r="D53" s="32"/>
      <c r="E53" s="32"/>
      <c r="F53" s="14"/>
      <c r="G53" s="23"/>
      <c r="H53" s="16" t="str">
        <f aca="false">IF(F53="","",IF(G53&lt;&gt;"",G53,IF(E53="JPY",IF(ISNUMBER($L$1),ROUND(F53/$L$1,2),"レート未入力"),F53)))</f>
        <v/>
      </c>
      <c r="I53" s="33"/>
      <c r="J53" s="16" t="str">
        <f aca="false">IF(ISNUMBER(H53),ROUND(H53*IF(I53="",1,I53),2),"")</f>
        <v/>
      </c>
      <c r="K53" s="35"/>
      <c r="L53" s="22" t="str">
        <f aca="false">IF(A53="","",IF(A53&lt;DATE(2025,4,6),"2024/25",IF(A53&lt;DATE(2026,4,6),"2025/26",IF(A53&lt;DATE(2027,4,6),"2026/27","2027/28"))))</f>
        <v/>
      </c>
      <c r="N53" s="13"/>
    </row>
    <row r="54" customFormat="false" ht="15" hidden="false" customHeight="false" outlineLevel="0" collapsed="false">
      <c r="A54" s="31"/>
      <c r="B54" s="13"/>
      <c r="C54" s="13"/>
      <c r="D54" s="32"/>
      <c r="E54" s="32"/>
      <c r="F54" s="14"/>
      <c r="G54" s="23"/>
      <c r="H54" s="16" t="str">
        <f aca="false">IF(F54="","",IF(G54&lt;&gt;"",G54,IF(E54="JPY",IF(ISNUMBER($L$1),ROUND(F54/$L$1,2),"レート未入力"),F54)))</f>
        <v/>
      </c>
      <c r="I54" s="33"/>
      <c r="J54" s="16" t="str">
        <f aca="false">IF(ISNUMBER(H54),ROUND(H54*IF(I54="",1,I54),2),"")</f>
        <v/>
      </c>
      <c r="K54" s="35"/>
      <c r="L54" s="22" t="str">
        <f aca="false">IF(A54="","",IF(A54&lt;DATE(2025,4,6),"2024/25",IF(A54&lt;DATE(2026,4,6),"2025/26",IF(A54&lt;DATE(2027,4,6),"2026/27","2027/28"))))</f>
        <v/>
      </c>
      <c r="N54" s="13"/>
    </row>
    <row r="55" customFormat="false" ht="15" hidden="false" customHeight="false" outlineLevel="0" collapsed="false">
      <c r="A55" s="31"/>
      <c r="B55" s="13"/>
      <c r="C55" s="13"/>
      <c r="D55" s="32"/>
      <c r="E55" s="32"/>
      <c r="F55" s="14"/>
      <c r="G55" s="23"/>
      <c r="H55" s="16" t="str">
        <f aca="false">IF(F55="","",IF(G55&lt;&gt;"",G55,IF(E55="JPY",IF(ISNUMBER($L$1),ROUND(F55/$L$1,2),"レート未入力"),F55)))</f>
        <v/>
      </c>
      <c r="I55" s="33"/>
      <c r="J55" s="16" t="str">
        <f aca="false">IF(ISNUMBER(H55),ROUND(H55*IF(I55="",1,I55),2),"")</f>
        <v/>
      </c>
      <c r="K55" s="35"/>
      <c r="L55" s="22" t="str">
        <f aca="false">IF(A55="","",IF(A55&lt;DATE(2025,4,6),"2024/25",IF(A55&lt;DATE(2026,4,6),"2025/26",IF(A55&lt;DATE(2027,4,6),"2026/27","2027/28"))))</f>
        <v/>
      </c>
      <c r="N55" s="13"/>
    </row>
    <row r="56" customFormat="false" ht="15" hidden="false" customHeight="false" outlineLevel="0" collapsed="false">
      <c r="A56" s="31"/>
      <c r="B56" s="13"/>
      <c r="C56" s="13"/>
      <c r="D56" s="32"/>
      <c r="E56" s="32"/>
      <c r="F56" s="14"/>
      <c r="G56" s="23"/>
      <c r="H56" s="16" t="str">
        <f aca="false">IF(F56="","",IF(G56&lt;&gt;"",G56,IF(E56="JPY",IF(ISNUMBER($L$1),ROUND(F56/$L$1,2),"レート未入力"),F56)))</f>
        <v/>
      </c>
      <c r="I56" s="33"/>
      <c r="J56" s="16" t="str">
        <f aca="false">IF(ISNUMBER(H56),ROUND(H56*IF(I56="",1,I56),2),"")</f>
        <v/>
      </c>
      <c r="K56" s="35"/>
      <c r="L56" s="22" t="str">
        <f aca="false">IF(A56="","",IF(A56&lt;DATE(2025,4,6),"2024/25",IF(A56&lt;DATE(2026,4,6),"2025/26",IF(A56&lt;DATE(2027,4,6),"2026/27","2027/28"))))</f>
        <v/>
      </c>
      <c r="N56" s="13"/>
    </row>
    <row r="57" customFormat="false" ht="15" hidden="false" customHeight="false" outlineLevel="0" collapsed="false">
      <c r="A57" s="31"/>
      <c r="B57" s="13"/>
      <c r="C57" s="13"/>
      <c r="D57" s="32"/>
      <c r="E57" s="32"/>
      <c r="F57" s="14"/>
      <c r="G57" s="23"/>
      <c r="H57" s="16" t="str">
        <f aca="false">IF(F57="","",IF(G57&lt;&gt;"",G57,IF(E57="JPY",IF(ISNUMBER($L$1),ROUND(F57/$L$1,2),"レート未入力"),F57)))</f>
        <v/>
      </c>
      <c r="I57" s="33"/>
      <c r="J57" s="16" t="str">
        <f aca="false">IF(ISNUMBER(H57),ROUND(H57*IF(I57="",1,I57),2),"")</f>
        <v/>
      </c>
      <c r="K57" s="35"/>
      <c r="L57" s="22" t="str">
        <f aca="false">IF(A57="","",IF(A57&lt;DATE(2025,4,6),"2024/25",IF(A57&lt;DATE(2026,4,6),"2025/26",IF(A57&lt;DATE(2027,4,6),"2026/27","2027/28"))))</f>
        <v/>
      </c>
      <c r="N57" s="13"/>
    </row>
    <row r="58" customFormat="false" ht="15" hidden="false" customHeight="false" outlineLevel="0" collapsed="false">
      <c r="A58" s="31"/>
      <c r="B58" s="13"/>
      <c r="C58" s="13"/>
      <c r="D58" s="32"/>
      <c r="E58" s="32"/>
      <c r="F58" s="14"/>
      <c r="G58" s="23"/>
      <c r="H58" s="16" t="str">
        <f aca="false">IF(F58="","",IF(G58&lt;&gt;"",G58,IF(E58="JPY",IF(ISNUMBER($L$1),ROUND(F58/$L$1,2),"レート未入力"),F58)))</f>
        <v/>
      </c>
      <c r="I58" s="33"/>
      <c r="J58" s="16" t="str">
        <f aca="false">IF(ISNUMBER(H58),ROUND(H58*IF(I58="",1,I58),2),"")</f>
        <v/>
      </c>
      <c r="K58" s="35"/>
      <c r="L58" s="22" t="str">
        <f aca="false">IF(A58="","",IF(A58&lt;DATE(2025,4,6),"2024/25",IF(A58&lt;DATE(2026,4,6),"2025/26",IF(A58&lt;DATE(2027,4,6),"2026/27","2027/28"))))</f>
        <v/>
      </c>
      <c r="N58" s="13"/>
    </row>
    <row r="59" customFormat="false" ht="15" hidden="false" customHeight="false" outlineLevel="0" collapsed="false">
      <c r="A59" s="31"/>
      <c r="B59" s="13"/>
      <c r="C59" s="13"/>
      <c r="D59" s="32"/>
      <c r="E59" s="32"/>
      <c r="F59" s="14"/>
      <c r="G59" s="23"/>
      <c r="H59" s="16" t="str">
        <f aca="false">IF(F59="","",IF(G59&lt;&gt;"",G59,IF(E59="JPY",IF(ISNUMBER($L$1),ROUND(F59/$L$1,2),"レート未入力"),F59)))</f>
        <v/>
      </c>
      <c r="I59" s="33"/>
      <c r="J59" s="16" t="str">
        <f aca="false">IF(ISNUMBER(H59),ROUND(H59*IF(I59="",1,I59),2),"")</f>
        <v/>
      </c>
      <c r="K59" s="35"/>
      <c r="L59" s="22" t="str">
        <f aca="false">IF(A59="","",IF(A59&lt;DATE(2025,4,6),"2024/25",IF(A59&lt;DATE(2026,4,6),"2025/26",IF(A59&lt;DATE(2027,4,6),"2026/27","2027/28"))))</f>
        <v/>
      </c>
      <c r="N59" s="13"/>
    </row>
    <row r="60" customFormat="false" ht="15" hidden="false" customHeight="false" outlineLevel="0" collapsed="false">
      <c r="A60" s="31"/>
      <c r="B60" s="13"/>
      <c r="C60" s="13"/>
      <c r="D60" s="32"/>
      <c r="E60" s="32"/>
      <c r="F60" s="14"/>
      <c r="G60" s="23"/>
      <c r="H60" s="16" t="str">
        <f aca="false">IF(F60="","",IF(G60&lt;&gt;"",G60,IF(E60="JPY",IF(ISNUMBER($L$1),ROUND(F60/$L$1,2),"レート未入力"),F60)))</f>
        <v/>
      </c>
      <c r="I60" s="33"/>
      <c r="J60" s="16" t="str">
        <f aca="false">IF(ISNUMBER(H60),ROUND(H60*IF(I60="",1,I60),2),"")</f>
        <v/>
      </c>
      <c r="K60" s="35"/>
      <c r="L60" s="22" t="str">
        <f aca="false">IF(A60="","",IF(A60&lt;DATE(2025,4,6),"2024/25",IF(A60&lt;DATE(2026,4,6),"2025/26",IF(A60&lt;DATE(2027,4,6),"2026/27","2027/28"))))</f>
        <v/>
      </c>
      <c r="N60" s="13"/>
    </row>
    <row r="61" customFormat="false" ht="15" hidden="false" customHeight="false" outlineLevel="0" collapsed="false">
      <c r="A61" s="31"/>
      <c r="B61" s="13"/>
      <c r="C61" s="13"/>
      <c r="D61" s="32"/>
      <c r="E61" s="32"/>
      <c r="F61" s="14"/>
      <c r="G61" s="23"/>
      <c r="H61" s="16" t="str">
        <f aca="false">IF(F61="","",IF(G61&lt;&gt;"",G61,IF(E61="JPY",IF(ISNUMBER($L$1),ROUND(F61/$L$1,2),"レート未入力"),F61)))</f>
        <v/>
      </c>
      <c r="I61" s="33"/>
      <c r="J61" s="16" t="str">
        <f aca="false">IF(ISNUMBER(H61),ROUND(H61*IF(I61="",1,I61),2),"")</f>
        <v/>
      </c>
      <c r="K61" s="35"/>
      <c r="L61" s="22" t="str">
        <f aca="false">IF(A61="","",IF(A61&lt;DATE(2025,4,6),"2024/25",IF(A61&lt;DATE(2026,4,6),"2025/26",IF(A61&lt;DATE(2027,4,6),"2026/27","2027/28"))))</f>
        <v/>
      </c>
      <c r="N61" s="13"/>
    </row>
    <row r="62" customFormat="false" ht="15" hidden="false" customHeight="false" outlineLevel="0" collapsed="false">
      <c r="A62" s="31"/>
      <c r="B62" s="13"/>
      <c r="C62" s="13"/>
      <c r="D62" s="32"/>
      <c r="E62" s="32"/>
      <c r="F62" s="14"/>
      <c r="G62" s="23"/>
      <c r="H62" s="16" t="str">
        <f aca="false">IF(F62="","",IF(G62&lt;&gt;"",G62,IF(E62="JPY",IF(ISNUMBER($L$1),ROUND(F62/$L$1,2),"レート未入力"),F62)))</f>
        <v/>
      </c>
      <c r="I62" s="33"/>
      <c r="J62" s="16" t="str">
        <f aca="false">IF(ISNUMBER(H62),ROUND(H62*IF(I62="",1,I62),2),"")</f>
        <v/>
      </c>
      <c r="K62" s="35"/>
      <c r="L62" s="22" t="str">
        <f aca="false">IF(A62="","",IF(A62&lt;DATE(2025,4,6),"2024/25",IF(A62&lt;DATE(2026,4,6),"2025/26",IF(A62&lt;DATE(2027,4,6),"2026/27","2027/28"))))</f>
        <v/>
      </c>
      <c r="N62" s="13"/>
    </row>
    <row r="63" customFormat="false" ht="15" hidden="false" customHeight="false" outlineLevel="0" collapsed="false">
      <c r="A63" s="31"/>
      <c r="B63" s="13"/>
      <c r="C63" s="13"/>
      <c r="D63" s="32"/>
      <c r="E63" s="32"/>
      <c r="F63" s="14"/>
      <c r="G63" s="23"/>
      <c r="H63" s="16" t="str">
        <f aca="false">IF(F63="","",IF(G63&lt;&gt;"",G63,IF(E63="JPY",IF(ISNUMBER($L$1),ROUND(F63/$L$1,2),"レート未入力"),F63)))</f>
        <v/>
      </c>
      <c r="I63" s="33"/>
      <c r="J63" s="16" t="str">
        <f aca="false">IF(ISNUMBER(H63),ROUND(H63*IF(I63="",1,I63),2),"")</f>
        <v/>
      </c>
      <c r="K63" s="35"/>
      <c r="L63" s="22" t="str">
        <f aca="false">IF(A63="","",IF(A63&lt;DATE(2025,4,6),"2024/25",IF(A63&lt;DATE(2026,4,6),"2025/26",IF(A63&lt;DATE(2027,4,6),"2026/27","2027/28"))))</f>
        <v/>
      </c>
      <c r="N63" s="13"/>
    </row>
    <row r="64" customFormat="false" ht="15" hidden="false" customHeight="false" outlineLevel="0" collapsed="false">
      <c r="A64" s="31"/>
      <c r="B64" s="13"/>
      <c r="C64" s="13"/>
      <c r="D64" s="32"/>
      <c r="E64" s="32"/>
      <c r="F64" s="14"/>
      <c r="G64" s="23"/>
      <c r="H64" s="16" t="str">
        <f aca="false">IF(F64="","",IF(G64&lt;&gt;"",G64,IF(E64="JPY",IF(ISNUMBER($L$1),ROUND(F64/$L$1,2),"レート未入力"),F64)))</f>
        <v/>
      </c>
      <c r="I64" s="33"/>
      <c r="J64" s="16" t="str">
        <f aca="false">IF(ISNUMBER(H64),ROUND(H64*IF(I64="",1,I64),2),"")</f>
        <v/>
      </c>
      <c r="K64" s="35"/>
      <c r="L64" s="22" t="str">
        <f aca="false">IF(A64="","",IF(A64&lt;DATE(2025,4,6),"2024/25",IF(A64&lt;DATE(2026,4,6),"2025/26",IF(A64&lt;DATE(2027,4,6),"2026/27","2027/28"))))</f>
        <v/>
      </c>
      <c r="N64" s="13"/>
    </row>
    <row r="65" customFormat="false" ht="15" hidden="false" customHeight="false" outlineLevel="0" collapsed="false">
      <c r="A65" s="31"/>
      <c r="B65" s="13"/>
      <c r="C65" s="13"/>
      <c r="D65" s="32"/>
      <c r="E65" s="32"/>
      <c r="F65" s="14"/>
      <c r="G65" s="23"/>
      <c r="H65" s="16" t="str">
        <f aca="false">IF(F65="","",IF(G65&lt;&gt;"",G65,IF(E65="JPY",IF(ISNUMBER($L$1),ROUND(F65/$L$1,2),"レート未入力"),F65)))</f>
        <v/>
      </c>
      <c r="I65" s="33"/>
      <c r="J65" s="16" t="str">
        <f aca="false">IF(ISNUMBER(H65),ROUND(H65*IF(I65="",1,I65),2),"")</f>
        <v/>
      </c>
      <c r="K65" s="35"/>
      <c r="L65" s="22" t="str">
        <f aca="false">IF(A65="","",IF(A65&lt;DATE(2025,4,6),"2024/25",IF(A65&lt;DATE(2026,4,6),"2025/26",IF(A65&lt;DATE(2027,4,6),"2026/27","2027/28"))))</f>
        <v/>
      </c>
      <c r="N65" s="13"/>
    </row>
    <row r="66" customFormat="false" ht="15" hidden="false" customHeight="false" outlineLevel="0" collapsed="false">
      <c r="A66" s="31"/>
      <c r="B66" s="13"/>
      <c r="C66" s="13"/>
      <c r="D66" s="32"/>
      <c r="E66" s="32"/>
      <c r="F66" s="14"/>
      <c r="G66" s="23"/>
      <c r="H66" s="16" t="str">
        <f aca="false">IF(F66="","",IF(G66&lt;&gt;"",G66,IF(E66="JPY",IF(ISNUMBER($L$1),ROUND(F66/$L$1,2),"レート未入力"),F66)))</f>
        <v/>
      </c>
      <c r="I66" s="33"/>
      <c r="J66" s="16" t="str">
        <f aca="false">IF(ISNUMBER(H66),ROUND(H66*IF(I66="",1,I66),2),"")</f>
        <v/>
      </c>
      <c r="K66" s="35"/>
      <c r="L66" s="22" t="str">
        <f aca="false">IF(A66="","",IF(A66&lt;DATE(2025,4,6),"2024/25",IF(A66&lt;DATE(2026,4,6),"2025/26",IF(A66&lt;DATE(2027,4,6),"2026/27","2027/28"))))</f>
        <v/>
      </c>
      <c r="N66" s="13"/>
    </row>
    <row r="67" customFormat="false" ht="15" hidden="false" customHeight="false" outlineLevel="0" collapsed="false">
      <c r="A67" s="31"/>
      <c r="B67" s="13"/>
      <c r="C67" s="13"/>
      <c r="D67" s="32"/>
      <c r="E67" s="32"/>
      <c r="F67" s="14"/>
      <c r="G67" s="23"/>
      <c r="H67" s="16" t="str">
        <f aca="false">IF(F67="","",IF(G67&lt;&gt;"",G67,IF(E67="JPY",IF(ISNUMBER($L$1),ROUND(F67/$L$1,2),"レート未入力"),F67)))</f>
        <v/>
      </c>
      <c r="I67" s="33"/>
      <c r="J67" s="16" t="str">
        <f aca="false">IF(ISNUMBER(H67),ROUND(H67*IF(I67="",1,I67),2),"")</f>
        <v/>
      </c>
      <c r="K67" s="35"/>
      <c r="L67" s="22" t="str">
        <f aca="false">IF(A67="","",IF(A67&lt;DATE(2025,4,6),"2024/25",IF(A67&lt;DATE(2026,4,6),"2025/26",IF(A67&lt;DATE(2027,4,6),"2026/27","2027/28"))))</f>
        <v/>
      </c>
      <c r="N67" s="13"/>
    </row>
    <row r="68" customFormat="false" ht="15" hidden="false" customHeight="false" outlineLevel="0" collapsed="false">
      <c r="A68" s="31"/>
      <c r="B68" s="13"/>
      <c r="C68" s="13"/>
      <c r="D68" s="32"/>
      <c r="E68" s="32"/>
      <c r="F68" s="14"/>
      <c r="G68" s="23"/>
      <c r="H68" s="16" t="str">
        <f aca="false">IF(F68="","",IF(G68&lt;&gt;"",G68,IF(E68="JPY",IF(ISNUMBER($L$1),ROUND(F68/$L$1,2),"レート未入力"),F68)))</f>
        <v/>
      </c>
      <c r="I68" s="33"/>
      <c r="J68" s="16" t="str">
        <f aca="false">IF(ISNUMBER(H68),ROUND(H68*IF(I68="",1,I68),2),"")</f>
        <v/>
      </c>
      <c r="K68" s="35"/>
      <c r="L68" s="22" t="str">
        <f aca="false">IF(A68="","",IF(A68&lt;DATE(2025,4,6),"2024/25",IF(A68&lt;DATE(2026,4,6),"2025/26",IF(A68&lt;DATE(2027,4,6),"2026/27","2027/28"))))</f>
        <v/>
      </c>
      <c r="N68" s="13"/>
    </row>
    <row r="69" customFormat="false" ht="15" hidden="false" customHeight="false" outlineLevel="0" collapsed="false">
      <c r="A69" s="31"/>
      <c r="B69" s="13"/>
      <c r="C69" s="13"/>
      <c r="D69" s="32"/>
      <c r="E69" s="32"/>
      <c r="F69" s="14"/>
      <c r="G69" s="23"/>
      <c r="H69" s="16" t="str">
        <f aca="false">IF(F69="","",IF(G69&lt;&gt;"",G69,IF(E69="JPY",IF(ISNUMBER($L$1),ROUND(F69/$L$1,2),"レート未入力"),F69)))</f>
        <v/>
      </c>
      <c r="I69" s="33"/>
      <c r="J69" s="16" t="str">
        <f aca="false">IF(ISNUMBER(H69),ROUND(H69*IF(I69="",1,I69),2),"")</f>
        <v/>
      </c>
      <c r="K69" s="35"/>
      <c r="L69" s="22" t="str">
        <f aca="false">IF(A69="","",IF(A69&lt;DATE(2025,4,6),"2024/25",IF(A69&lt;DATE(2026,4,6),"2025/26",IF(A69&lt;DATE(2027,4,6),"2026/27","2027/28"))))</f>
        <v/>
      </c>
      <c r="N69" s="13"/>
    </row>
    <row r="70" customFormat="false" ht="15" hidden="false" customHeight="false" outlineLevel="0" collapsed="false">
      <c r="A70" s="3" t="s">
        <v>196</v>
      </c>
      <c r="J70" s="18" t="n">
        <f aca="false">SUM(J30:J69)</f>
        <v>0</v>
      </c>
    </row>
    <row r="72" customFormat="false" ht="15" hidden="false" customHeight="false" outlineLevel="0" collapsed="false">
      <c r="A72" s="26" t="s">
        <v>197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customFormat="false" ht="15" hidden="false" customHeight="false" outlineLevel="0" collapsed="false">
      <c r="A73" s="17" t="s">
        <v>137</v>
      </c>
      <c r="D73" s="36" t="s">
        <v>16</v>
      </c>
      <c r="E73" s="36" t="s">
        <v>18</v>
      </c>
      <c r="F73" s="36"/>
    </row>
    <row r="74" customFormat="false" ht="15" hidden="false" customHeight="false" outlineLevel="0" collapsed="false">
      <c r="A74" s="17" t="s">
        <v>183</v>
      </c>
      <c r="D74" s="18" t="n">
        <f aca="false">SUMIFS($H$6:$H$25,$J$6:$J$25,"2025/26")</f>
        <v>0</v>
      </c>
      <c r="E74" s="18" t="n">
        <f aca="false">SUMIFS($H$6:$H$25,$J$6:$J$25,"2026/27")</f>
        <v>0</v>
      </c>
      <c r="F74" s="18"/>
    </row>
    <row r="75" customFormat="false" ht="15" hidden="false" customHeight="false" outlineLevel="0" collapsed="false">
      <c r="A75" s="21" t="s">
        <v>41</v>
      </c>
      <c r="D75" s="16" t="n">
        <f aca="false">SUMIFS($J$30:$J$69,$D$30:$D$69,$A75,$L$30:$L$69,"2025/26")</f>
        <v>0</v>
      </c>
      <c r="E75" s="16" t="n">
        <f aca="false">SUMIFS($J$30:$J$69,$D$30:$D$69,$A75,$L$30:$L$69,"2026/27")</f>
        <v>0</v>
      </c>
      <c r="F75" s="16"/>
    </row>
    <row r="76" customFormat="false" ht="15" hidden="false" customHeight="false" outlineLevel="0" collapsed="false">
      <c r="A76" s="21" t="s">
        <v>43</v>
      </c>
      <c r="D76" s="16" t="n">
        <f aca="false">SUMIFS($J$30:$J$69,$D$30:$D$69,$A76,$L$30:$L$69,"2025/26")</f>
        <v>0</v>
      </c>
      <c r="E76" s="16" t="n">
        <f aca="false">SUMIFS($J$30:$J$69,$D$30:$D$69,$A76,$L$30:$L$69,"2026/27")</f>
        <v>0</v>
      </c>
      <c r="F76" s="16"/>
    </row>
    <row r="77" customFormat="false" ht="15" hidden="false" customHeight="false" outlineLevel="0" collapsed="false">
      <c r="A77" s="21" t="s">
        <v>45</v>
      </c>
      <c r="D77" s="16" t="n">
        <f aca="false">SUMIFS($J$30:$J$69,$D$30:$D$69,$A77,$L$30:$L$69,"2025/26")</f>
        <v>0</v>
      </c>
      <c r="E77" s="16" t="n">
        <f aca="false">SUMIFS($J$30:$J$69,$D$30:$D$69,$A77,$L$30:$L$69,"2026/27")</f>
        <v>0</v>
      </c>
      <c r="F77" s="16"/>
    </row>
    <row r="78" customFormat="false" ht="15" hidden="false" customHeight="false" outlineLevel="0" collapsed="false">
      <c r="A78" s="21" t="s">
        <v>47</v>
      </c>
      <c r="D78" s="16" t="n">
        <f aca="false">SUMIFS($J$30:$J$69,$D$30:$D$69,$A78,$L$30:$L$69,"2025/26")</f>
        <v>0</v>
      </c>
      <c r="E78" s="16" t="n">
        <f aca="false">SUMIFS($J$30:$J$69,$D$30:$D$69,$A78,$L$30:$L$69,"2026/27")</f>
        <v>0</v>
      </c>
      <c r="F78" s="16"/>
    </row>
    <row r="79" customFormat="false" ht="15" hidden="false" customHeight="false" outlineLevel="0" collapsed="false">
      <c r="A79" s="21" t="s">
        <v>49</v>
      </c>
      <c r="D79" s="16" t="n">
        <f aca="false">SUMIFS($J$30:$J$69,$D$30:$D$69,$A79,$L$30:$L$69,"2025/26")</f>
        <v>0</v>
      </c>
      <c r="E79" s="16" t="n">
        <f aca="false">SUMIFS($J$30:$J$69,$D$30:$D$69,$A79,$L$30:$L$69,"2026/27")</f>
        <v>0</v>
      </c>
      <c r="F79" s="16"/>
    </row>
    <row r="80" customFormat="false" ht="15" hidden="false" customHeight="false" outlineLevel="0" collapsed="false">
      <c r="A80" s="21" t="s">
        <v>51</v>
      </c>
      <c r="D80" s="16" t="n">
        <f aca="false">SUMIFS($J$30:$J$69,$D$30:$D$69,$A80,$L$30:$L$69,"2025/26")</f>
        <v>0</v>
      </c>
      <c r="E80" s="16" t="n">
        <f aca="false">SUMIFS($J$30:$J$69,$D$30:$D$69,$A80,$L$30:$L$69,"2026/27")</f>
        <v>0</v>
      </c>
      <c r="F80" s="16"/>
    </row>
    <row r="81" customFormat="false" ht="15" hidden="false" customHeight="false" outlineLevel="0" collapsed="false">
      <c r="A81" s="21" t="s">
        <v>53</v>
      </c>
      <c r="D81" s="16" t="n">
        <f aca="false">SUMIFS($J$30:$J$69,$D$30:$D$69,$A81,$L$30:$L$69,"2025/26")</f>
        <v>0</v>
      </c>
      <c r="E81" s="16" t="n">
        <f aca="false">SUMIFS($J$30:$J$69,$D$30:$D$69,$A81,$L$30:$L$69,"2026/27")</f>
        <v>0</v>
      </c>
      <c r="F81" s="16"/>
    </row>
    <row r="82" customFormat="false" ht="15" hidden="false" customHeight="false" outlineLevel="0" collapsed="false">
      <c r="A82" s="21" t="s">
        <v>55</v>
      </c>
      <c r="D82" s="16" t="n">
        <f aca="false">SUMIFS($J$30:$J$69,$D$30:$D$69,$A82,$L$30:$L$69,"2025/26")</f>
        <v>0</v>
      </c>
      <c r="E82" s="16" t="n">
        <f aca="false">SUMIFS($J$30:$J$69,$D$30:$D$69,$A82,$L$30:$L$69,"2026/27")</f>
        <v>0</v>
      </c>
      <c r="F82" s="16"/>
    </row>
    <row r="83" customFormat="false" ht="15" hidden="false" customHeight="false" outlineLevel="0" collapsed="false">
      <c r="A83" s="21" t="s">
        <v>57</v>
      </c>
      <c r="D83" s="16" t="n">
        <f aca="false">SUMIFS($J$30:$J$69,$D$30:$D$69,$A83,$L$30:$L$69,"2025/26")</f>
        <v>0</v>
      </c>
      <c r="E83" s="16" t="n">
        <f aca="false">SUMIFS($J$30:$J$69,$D$30:$D$69,$A83,$L$30:$L$69,"2026/27")</f>
        <v>0</v>
      </c>
      <c r="F83" s="16"/>
    </row>
    <row r="84" customFormat="false" ht="15" hidden="false" customHeight="false" outlineLevel="0" collapsed="false">
      <c r="A84" s="21" t="s">
        <v>59</v>
      </c>
      <c r="D84" s="16" t="n">
        <f aca="false">SUMIFS($J$30:$J$69,$D$30:$D$69,$A84,$L$30:$L$69,"2025/26")</f>
        <v>0</v>
      </c>
      <c r="E84" s="16" t="n">
        <f aca="false">SUMIFS($J$30:$J$69,$D$30:$D$69,$A84,$L$30:$L$69,"2026/27")</f>
        <v>0</v>
      </c>
      <c r="F84" s="16"/>
    </row>
    <row r="85" customFormat="false" ht="15" hidden="false" customHeight="false" outlineLevel="0" collapsed="false">
      <c r="A85" s="21" t="s">
        <v>61</v>
      </c>
      <c r="D85" s="16" t="n">
        <f aca="false">SUMIFS($J$30:$J$69,$D$30:$D$69,$A85,$L$30:$L$69,"2025/26")</f>
        <v>0</v>
      </c>
      <c r="E85" s="16" t="n">
        <f aca="false">SUMIFS($J$30:$J$69,$D$30:$D$69,$A85,$L$30:$L$69,"2026/27")</f>
        <v>0</v>
      </c>
      <c r="F85" s="16"/>
    </row>
    <row r="86" customFormat="false" ht="15" hidden="false" customHeight="false" outlineLevel="0" collapsed="false">
      <c r="A86" s="21" t="s">
        <v>63</v>
      </c>
      <c r="D86" s="16" t="n">
        <f aca="false">SUMIFS($J$30:$J$69,$D$30:$D$69,$A86,$L$30:$L$69,"2025/26")</f>
        <v>0</v>
      </c>
      <c r="E86" s="16" t="n">
        <f aca="false">SUMIFS($J$30:$J$69,$D$30:$D$69,$A86,$L$30:$L$69,"2026/27")</f>
        <v>0</v>
      </c>
      <c r="F86" s="16"/>
    </row>
    <row r="87" customFormat="false" ht="15" hidden="false" customHeight="false" outlineLevel="0" collapsed="false">
      <c r="A87" s="21" t="s">
        <v>64</v>
      </c>
      <c r="D87" s="16" t="n">
        <f aca="false">SUMIFS($J$30:$J$69,$D$30:$D$69,$A87,$L$30:$L$69,"2025/26")</f>
        <v>0</v>
      </c>
      <c r="E87" s="16" t="n">
        <f aca="false">SUMIFS($J$30:$J$69,$D$30:$D$69,$A87,$L$30:$L$69,"2026/27")</f>
        <v>0</v>
      </c>
      <c r="F87" s="16"/>
    </row>
    <row r="88" customFormat="false" ht="15" hidden="false" customHeight="false" outlineLevel="0" collapsed="false">
      <c r="A88" s="17" t="s">
        <v>198</v>
      </c>
      <c r="D88" s="18" t="n">
        <f aca="false">SUM(D75:D86)</f>
        <v>0</v>
      </c>
      <c r="E88" s="18" t="n">
        <f aca="false">SUM(E75:E86)</f>
        <v>0</v>
      </c>
      <c r="F88" s="18"/>
    </row>
    <row r="89" customFormat="false" ht="15" hidden="false" customHeight="false" outlineLevel="0" collapsed="false">
      <c r="A89" s="17" t="s">
        <v>199</v>
      </c>
      <c r="D89" s="18" t="n">
        <f aca="false">D74-D88-D87</f>
        <v>0</v>
      </c>
      <c r="E89" s="18" t="n">
        <f aca="false">E74-E88-E87</f>
        <v>0</v>
      </c>
      <c r="F89" s="18"/>
    </row>
    <row r="90" customFormat="false" ht="15" hidden="false" customHeight="false" outlineLevel="0" collapsed="false">
      <c r="A90" s="37" t="s">
        <v>200</v>
      </c>
    </row>
    <row r="91" customFormat="false" ht="15" hidden="false" customHeight="false" outlineLevel="0" collapsed="false">
      <c r="A91" s="21" t="s">
        <v>201</v>
      </c>
      <c r="D91" s="16" t="n">
        <f aca="false">SUMIFS($J$30:$J$69,$D$30:$D$69,"")</f>
        <v>0</v>
      </c>
    </row>
  </sheetData>
  <mergeCells count="17"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</mergeCells>
  <dataValidations count="5">
    <dataValidation allowBlank="true" error="0%〜100%で入力してください" errorStyle="stop" operator="between" showDropDown="false" showErrorMessage="true" showInputMessage="false" sqref="I30:I69" type="decimal">
      <formula1>0</formula1>
      <formula2>1</formula2>
    </dataValidation>
    <dataValidation allowBlank="true" errorStyle="stop" operator="between" showDropDown="false" showErrorMessage="false" showInputMessage="false" sqref="E6:E25 E30:E69" type="list">
      <formula1>_list!$B$1:$B$2</formula1>
      <formula2>0</formula2>
    </dataValidation>
    <dataValidation allowBlank="true" errorStyle="stop" operator="between" showDropDown="false" showErrorMessage="false" showInputMessage="false" sqref="D30:D69" type="list">
      <formula1>_list!$A$1:$A$13</formula1>
      <formula2>0</formula2>
    </dataValidation>
    <dataValidation allowBlank="true" errorStyle="stop" operator="between" showDropDown="false" showErrorMessage="false" showInputMessage="false" sqref="D6:D25" type="list">
      <formula1>_list!$C$1:$C$7</formula1>
      <formula2>0</formula2>
    </dataValidation>
    <dataValidation allowBlank="true" error="日付で入力してください（例：2025/5/2）" errorStyle="stop" operator="between" showDropDown="false" showErrorMessage="true" showInputMessage="false" sqref="A6:A25 A30:A69" type="date">
      <formula1>DATE(2025,4,1)</formula1>
      <formula2>DATE(2027,12,31)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24"/>
  </cols>
  <sheetData>
    <row r="1" customFormat="false" ht="19.4" hidden="false" customHeight="false" outlineLevel="0" collapsed="false">
      <c r="A1" s="1" t="s">
        <v>210</v>
      </c>
      <c r="J1" s="3" t="s">
        <v>164</v>
      </c>
      <c r="L1" s="25" t="str">
        <f aca="false">IF(為替レート!$B$14="","未入力",為替レート!$B$14)</f>
        <v>未入力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26" t="s">
        <v>166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customFormat="false" ht="30" hidden="false" customHeight="true" outlineLevel="0" collapsed="false">
      <c r="A5" s="9" t="s">
        <v>167</v>
      </c>
      <c r="B5" s="9" t="s">
        <v>168</v>
      </c>
      <c r="C5" s="9" t="s">
        <v>169</v>
      </c>
      <c r="D5" s="9" t="s">
        <v>170</v>
      </c>
      <c r="E5" s="9" t="s">
        <v>171</v>
      </c>
      <c r="F5" s="9" t="s">
        <v>172</v>
      </c>
      <c r="G5" s="9" t="s">
        <v>173</v>
      </c>
      <c r="H5" s="9" t="s">
        <v>174</v>
      </c>
      <c r="I5" s="9" t="s">
        <v>175</v>
      </c>
      <c r="J5" s="9" t="s">
        <v>176</v>
      </c>
      <c r="K5" s="9"/>
      <c r="L5" s="9"/>
      <c r="M5" s="9"/>
      <c r="N5" s="9" t="s">
        <v>177</v>
      </c>
    </row>
    <row r="6" customFormat="false" ht="15" hidden="false" customHeight="false" outlineLevel="0" collapsed="false">
      <c r="A6" s="31"/>
      <c r="B6" s="13"/>
      <c r="C6" s="13"/>
      <c r="D6" s="32"/>
      <c r="E6" s="32"/>
      <c r="F6" s="14"/>
      <c r="G6" s="23"/>
      <c r="H6" s="16" t="str">
        <f aca="false">IF(F6="","",IF(G6&lt;&gt;"",G6,IF(E6="JPY",IF(ISNUMBER($L$1),ROUND(F6/$L$1,2),"レート未入力"),F6)))</f>
        <v/>
      </c>
      <c r="I6" s="13"/>
      <c r="J6" s="22" t="str">
        <f aca="false">IF(A6="","",IF(A6&lt;DATE(2025,4,6),"2024/25",IF(A6&lt;DATE(2026,4,6),"2025/26",IF(A6&lt;DATE(2027,4,6),"2026/27","2027/28"))))</f>
        <v/>
      </c>
      <c r="N6" s="13"/>
    </row>
    <row r="7" customFormat="false" ht="15" hidden="false" customHeight="false" outlineLevel="0" collapsed="false">
      <c r="A7" s="31"/>
      <c r="B7" s="13"/>
      <c r="C7" s="13"/>
      <c r="D7" s="32"/>
      <c r="E7" s="32"/>
      <c r="F7" s="14"/>
      <c r="G7" s="23"/>
      <c r="H7" s="16" t="str">
        <f aca="false">IF(F7="","",IF(G7&lt;&gt;"",G7,IF(E7="JPY",IF(ISNUMBER($L$1),ROUND(F7/$L$1,2),"レート未入力"),F7)))</f>
        <v/>
      </c>
      <c r="I7" s="13"/>
      <c r="J7" s="22" t="str">
        <f aca="false">IF(A7="","",IF(A7&lt;DATE(2025,4,6),"2024/25",IF(A7&lt;DATE(2026,4,6),"2025/26",IF(A7&lt;DATE(2027,4,6),"2026/27","2027/28"))))</f>
        <v/>
      </c>
      <c r="N7" s="13"/>
    </row>
    <row r="8" customFormat="false" ht="15" hidden="false" customHeight="false" outlineLevel="0" collapsed="false">
      <c r="A8" s="31"/>
      <c r="B8" s="13"/>
      <c r="C8" s="13"/>
      <c r="D8" s="32"/>
      <c r="E8" s="32"/>
      <c r="F8" s="14"/>
      <c r="G8" s="23"/>
      <c r="H8" s="16" t="str">
        <f aca="false">IF(F8="","",IF(G8&lt;&gt;"",G8,IF(E8="JPY",IF(ISNUMBER($L$1),ROUND(F8/$L$1,2),"レート未入力"),F8)))</f>
        <v/>
      </c>
      <c r="I8" s="13"/>
      <c r="J8" s="22" t="str">
        <f aca="false">IF(A8="","",IF(A8&lt;DATE(2025,4,6),"2024/25",IF(A8&lt;DATE(2026,4,6),"2025/26",IF(A8&lt;DATE(2027,4,6),"2026/27","2027/28"))))</f>
        <v/>
      </c>
      <c r="N8" s="13"/>
    </row>
    <row r="9" customFormat="false" ht="15" hidden="false" customHeight="false" outlineLevel="0" collapsed="false">
      <c r="A9" s="31"/>
      <c r="B9" s="13"/>
      <c r="C9" s="13"/>
      <c r="D9" s="32"/>
      <c r="E9" s="32"/>
      <c r="F9" s="14"/>
      <c r="G9" s="23"/>
      <c r="H9" s="16" t="str">
        <f aca="false">IF(F9="","",IF(G9&lt;&gt;"",G9,IF(E9="JPY",IF(ISNUMBER($L$1),ROUND(F9/$L$1,2),"レート未入力"),F9)))</f>
        <v/>
      </c>
      <c r="I9" s="13"/>
      <c r="J9" s="22" t="str">
        <f aca="false">IF(A9="","",IF(A9&lt;DATE(2025,4,6),"2024/25",IF(A9&lt;DATE(2026,4,6),"2025/26",IF(A9&lt;DATE(2027,4,6),"2026/27","2027/28"))))</f>
        <v/>
      </c>
      <c r="N9" s="13"/>
    </row>
    <row r="10" customFormat="false" ht="15" hidden="false" customHeight="false" outlineLevel="0" collapsed="false">
      <c r="A10" s="31"/>
      <c r="B10" s="13"/>
      <c r="C10" s="13"/>
      <c r="D10" s="32"/>
      <c r="E10" s="32"/>
      <c r="F10" s="14"/>
      <c r="G10" s="23"/>
      <c r="H10" s="16" t="str">
        <f aca="false">IF(F10="","",IF(G10&lt;&gt;"",G10,IF(E10="JPY",IF(ISNUMBER($L$1),ROUND(F10/$L$1,2),"レート未入力"),F10)))</f>
        <v/>
      </c>
      <c r="I10" s="13"/>
      <c r="J10" s="22" t="str">
        <f aca="false">IF(A10="","",IF(A10&lt;DATE(2025,4,6),"2024/25",IF(A10&lt;DATE(2026,4,6),"2025/26",IF(A10&lt;DATE(2027,4,6),"2026/27","2027/28"))))</f>
        <v/>
      </c>
      <c r="N10" s="13"/>
    </row>
    <row r="11" customFormat="false" ht="15" hidden="false" customHeight="false" outlineLevel="0" collapsed="false">
      <c r="A11" s="31"/>
      <c r="B11" s="13"/>
      <c r="C11" s="13"/>
      <c r="D11" s="32"/>
      <c r="E11" s="32"/>
      <c r="F11" s="14"/>
      <c r="G11" s="23"/>
      <c r="H11" s="16" t="str">
        <f aca="false">IF(F11="","",IF(G11&lt;&gt;"",G11,IF(E11="JPY",IF(ISNUMBER($L$1),ROUND(F11/$L$1,2),"レート未入力"),F11)))</f>
        <v/>
      </c>
      <c r="I11" s="13"/>
      <c r="J11" s="22" t="str">
        <f aca="false">IF(A11="","",IF(A11&lt;DATE(2025,4,6),"2024/25",IF(A11&lt;DATE(2026,4,6),"2025/26",IF(A11&lt;DATE(2027,4,6),"2026/27","2027/28"))))</f>
        <v/>
      </c>
      <c r="N11" s="13"/>
    </row>
    <row r="12" customFormat="false" ht="15" hidden="false" customHeight="false" outlineLevel="0" collapsed="false">
      <c r="A12" s="31"/>
      <c r="B12" s="13"/>
      <c r="C12" s="13"/>
      <c r="D12" s="32"/>
      <c r="E12" s="32"/>
      <c r="F12" s="14"/>
      <c r="G12" s="23"/>
      <c r="H12" s="16" t="str">
        <f aca="false">IF(F12="","",IF(G12&lt;&gt;"",G12,IF(E12="JPY",IF(ISNUMBER($L$1),ROUND(F12/$L$1,2),"レート未入力"),F12)))</f>
        <v/>
      </c>
      <c r="I12" s="13"/>
      <c r="J12" s="22" t="str">
        <f aca="false">IF(A12="","",IF(A12&lt;DATE(2025,4,6),"2024/25",IF(A12&lt;DATE(2026,4,6),"2025/26",IF(A12&lt;DATE(2027,4,6),"2026/27","2027/28"))))</f>
        <v/>
      </c>
      <c r="N12" s="13"/>
    </row>
    <row r="13" customFormat="false" ht="15" hidden="false" customHeight="false" outlineLevel="0" collapsed="false">
      <c r="A13" s="31"/>
      <c r="B13" s="13"/>
      <c r="C13" s="13"/>
      <c r="D13" s="32"/>
      <c r="E13" s="32"/>
      <c r="F13" s="14"/>
      <c r="G13" s="23"/>
      <c r="H13" s="16" t="str">
        <f aca="false">IF(F13="","",IF(G13&lt;&gt;"",G13,IF(E13="JPY",IF(ISNUMBER($L$1),ROUND(F13/$L$1,2),"レート未入力"),F13)))</f>
        <v/>
      </c>
      <c r="I13" s="13"/>
      <c r="J13" s="22" t="str">
        <f aca="false">IF(A13="","",IF(A13&lt;DATE(2025,4,6),"2024/25",IF(A13&lt;DATE(2026,4,6),"2025/26",IF(A13&lt;DATE(2027,4,6),"2026/27","2027/28"))))</f>
        <v/>
      </c>
      <c r="N13" s="13"/>
    </row>
    <row r="14" customFormat="false" ht="15" hidden="false" customHeight="false" outlineLevel="0" collapsed="false">
      <c r="A14" s="31"/>
      <c r="B14" s="13"/>
      <c r="C14" s="13"/>
      <c r="D14" s="32"/>
      <c r="E14" s="32"/>
      <c r="F14" s="14"/>
      <c r="G14" s="23"/>
      <c r="H14" s="16" t="str">
        <f aca="false">IF(F14="","",IF(G14&lt;&gt;"",G14,IF(E14="JPY",IF(ISNUMBER($L$1),ROUND(F14/$L$1,2),"レート未入力"),F14)))</f>
        <v/>
      </c>
      <c r="I14" s="13"/>
      <c r="J14" s="22" t="str">
        <f aca="false">IF(A14="","",IF(A14&lt;DATE(2025,4,6),"2024/25",IF(A14&lt;DATE(2026,4,6),"2025/26",IF(A14&lt;DATE(2027,4,6),"2026/27","2027/28"))))</f>
        <v/>
      </c>
      <c r="N14" s="13"/>
    </row>
    <row r="15" customFormat="false" ht="15" hidden="false" customHeight="false" outlineLevel="0" collapsed="false">
      <c r="A15" s="31"/>
      <c r="B15" s="13"/>
      <c r="C15" s="13"/>
      <c r="D15" s="32"/>
      <c r="E15" s="32"/>
      <c r="F15" s="14"/>
      <c r="G15" s="23"/>
      <c r="H15" s="16" t="str">
        <f aca="false">IF(F15="","",IF(G15&lt;&gt;"",G15,IF(E15="JPY",IF(ISNUMBER($L$1),ROUND(F15/$L$1,2),"レート未入力"),F15)))</f>
        <v/>
      </c>
      <c r="I15" s="13"/>
      <c r="J15" s="22" t="str">
        <f aca="false">IF(A15="","",IF(A15&lt;DATE(2025,4,6),"2024/25",IF(A15&lt;DATE(2026,4,6),"2025/26",IF(A15&lt;DATE(2027,4,6),"2026/27","2027/28"))))</f>
        <v/>
      </c>
      <c r="N15" s="13"/>
    </row>
    <row r="16" customFormat="false" ht="15" hidden="false" customHeight="false" outlineLevel="0" collapsed="false">
      <c r="A16" s="31"/>
      <c r="B16" s="13"/>
      <c r="C16" s="13"/>
      <c r="D16" s="32"/>
      <c r="E16" s="32"/>
      <c r="F16" s="14"/>
      <c r="G16" s="23"/>
      <c r="H16" s="16" t="str">
        <f aca="false">IF(F16="","",IF(G16&lt;&gt;"",G16,IF(E16="JPY",IF(ISNUMBER($L$1),ROUND(F16/$L$1,2),"レート未入力"),F16)))</f>
        <v/>
      </c>
      <c r="I16" s="13"/>
      <c r="J16" s="22" t="str">
        <f aca="false">IF(A16="","",IF(A16&lt;DATE(2025,4,6),"2024/25",IF(A16&lt;DATE(2026,4,6),"2025/26",IF(A16&lt;DATE(2027,4,6),"2026/27","2027/28"))))</f>
        <v/>
      </c>
      <c r="N16" s="13"/>
    </row>
    <row r="17" customFormat="false" ht="15" hidden="false" customHeight="false" outlineLevel="0" collapsed="false">
      <c r="A17" s="31"/>
      <c r="B17" s="13"/>
      <c r="C17" s="13"/>
      <c r="D17" s="32"/>
      <c r="E17" s="32"/>
      <c r="F17" s="14"/>
      <c r="G17" s="23"/>
      <c r="H17" s="16" t="str">
        <f aca="false">IF(F17="","",IF(G17&lt;&gt;"",G17,IF(E17="JPY",IF(ISNUMBER($L$1),ROUND(F17/$L$1,2),"レート未入力"),F17)))</f>
        <v/>
      </c>
      <c r="I17" s="13"/>
      <c r="J17" s="22" t="str">
        <f aca="false">IF(A17="","",IF(A17&lt;DATE(2025,4,6),"2024/25",IF(A17&lt;DATE(2026,4,6),"2025/26",IF(A17&lt;DATE(2027,4,6),"2026/27","2027/28"))))</f>
        <v/>
      </c>
      <c r="N17" s="13"/>
    </row>
    <row r="18" customFormat="false" ht="15" hidden="false" customHeight="false" outlineLevel="0" collapsed="false">
      <c r="A18" s="31"/>
      <c r="B18" s="13"/>
      <c r="C18" s="13"/>
      <c r="D18" s="32"/>
      <c r="E18" s="32"/>
      <c r="F18" s="14"/>
      <c r="G18" s="23"/>
      <c r="H18" s="16" t="str">
        <f aca="false">IF(F18="","",IF(G18&lt;&gt;"",G18,IF(E18="JPY",IF(ISNUMBER($L$1),ROUND(F18/$L$1,2),"レート未入力"),F18)))</f>
        <v/>
      </c>
      <c r="I18" s="13"/>
      <c r="J18" s="22" t="str">
        <f aca="false">IF(A18="","",IF(A18&lt;DATE(2025,4,6),"2024/25",IF(A18&lt;DATE(2026,4,6),"2025/26",IF(A18&lt;DATE(2027,4,6),"2026/27","2027/28"))))</f>
        <v/>
      </c>
      <c r="N18" s="13"/>
    </row>
    <row r="19" customFormat="false" ht="15" hidden="false" customHeight="false" outlineLevel="0" collapsed="false">
      <c r="A19" s="31"/>
      <c r="B19" s="13"/>
      <c r="C19" s="13"/>
      <c r="D19" s="32"/>
      <c r="E19" s="32"/>
      <c r="F19" s="14"/>
      <c r="G19" s="23"/>
      <c r="H19" s="16" t="str">
        <f aca="false">IF(F19="","",IF(G19&lt;&gt;"",G19,IF(E19="JPY",IF(ISNUMBER($L$1),ROUND(F19/$L$1,2),"レート未入力"),F19)))</f>
        <v/>
      </c>
      <c r="I19" s="13"/>
      <c r="J19" s="22" t="str">
        <f aca="false">IF(A19="","",IF(A19&lt;DATE(2025,4,6),"2024/25",IF(A19&lt;DATE(2026,4,6),"2025/26",IF(A19&lt;DATE(2027,4,6),"2026/27","2027/28"))))</f>
        <v/>
      </c>
      <c r="N19" s="13"/>
    </row>
    <row r="20" customFormat="false" ht="15" hidden="false" customHeight="false" outlineLevel="0" collapsed="false">
      <c r="A20" s="31"/>
      <c r="B20" s="13"/>
      <c r="C20" s="13"/>
      <c r="D20" s="32"/>
      <c r="E20" s="32"/>
      <c r="F20" s="14"/>
      <c r="G20" s="23"/>
      <c r="H20" s="16" t="str">
        <f aca="false">IF(F20="","",IF(G20&lt;&gt;"",G20,IF(E20="JPY",IF(ISNUMBER($L$1),ROUND(F20/$L$1,2),"レート未入力"),F20)))</f>
        <v/>
      </c>
      <c r="I20" s="13"/>
      <c r="J20" s="22" t="str">
        <f aca="false">IF(A20="","",IF(A20&lt;DATE(2025,4,6),"2024/25",IF(A20&lt;DATE(2026,4,6),"2025/26",IF(A20&lt;DATE(2027,4,6),"2026/27","2027/28"))))</f>
        <v/>
      </c>
      <c r="N20" s="13"/>
    </row>
    <row r="21" customFormat="false" ht="15" hidden="false" customHeight="false" outlineLevel="0" collapsed="false">
      <c r="A21" s="31"/>
      <c r="B21" s="13"/>
      <c r="C21" s="13"/>
      <c r="D21" s="32"/>
      <c r="E21" s="32"/>
      <c r="F21" s="14"/>
      <c r="G21" s="23"/>
      <c r="H21" s="16" t="str">
        <f aca="false">IF(F21="","",IF(G21&lt;&gt;"",G21,IF(E21="JPY",IF(ISNUMBER($L$1),ROUND(F21/$L$1,2),"レート未入力"),F21)))</f>
        <v/>
      </c>
      <c r="I21" s="13"/>
      <c r="J21" s="22" t="str">
        <f aca="false">IF(A21="","",IF(A21&lt;DATE(2025,4,6),"2024/25",IF(A21&lt;DATE(2026,4,6),"2025/26",IF(A21&lt;DATE(2027,4,6),"2026/27","2027/28"))))</f>
        <v/>
      </c>
      <c r="N21" s="13"/>
    </row>
    <row r="22" customFormat="false" ht="15" hidden="false" customHeight="false" outlineLevel="0" collapsed="false">
      <c r="A22" s="31"/>
      <c r="B22" s="13"/>
      <c r="C22" s="13"/>
      <c r="D22" s="32"/>
      <c r="E22" s="32"/>
      <c r="F22" s="14"/>
      <c r="G22" s="23"/>
      <c r="H22" s="16" t="str">
        <f aca="false">IF(F22="","",IF(G22&lt;&gt;"",G22,IF(E22="JPY",IF(ISNUMBER($L$1),ROUND(F22/$L$1,2),"レート未入力"),F22)))</f>
        <v/>
      </c>
      <c r="I22" s="13"/>
      <c r="J22" s="22" t="str">
        <f aca="false">IF(A22="","",IF(A22&lt;DATE(2025,4,6),"2024/25",IF(A22&lt;DATE(2026,4,6),"2025/26",IF(A22&lt;DATE(2027,4,6),"2026/27","2027/28"))))</f>
        <v/>
      </c>
      <c r="N22" s="13"/>
    </row>
    <row r="23" customFormat="false" ht="15" hidden="false" customHeight="false" outlineLevel="0" collapsed="false">
      <c r="A23" s="31"/>
      <c r="B23" s="13"/>
      <c r="C23" s="13"/>
      <c r="D23" s="32"/>
      <c r="E23" s="32"/>
      <c r="F23" s="14"/>
      <c r="G23" s="23"/>
      <c r="H23" s="16" t="str">
        <f aca="false">IF(F23="","",IF(G23&lt;&gt;"",G23,IF(E23="JPY",IF(ISNUMBER($L$1),ROUND(F23/$L$1,2),"レート未入力"),F23)))</f>
        <v/>
      </c>
      <c r="I23" s="13"/>
      <c r="J23" s="22" t="str">
        <f aca="false">IF(A23="","",IF(A23&lt;DATE(2025,4,6),"2024/25",IF(A23&lt;DATE(2026,4,6),"2025/26",IF(A23&lt;DATE(2027,4,6),"2026/27","2027/28"))))</f>
        <v/>
      </c>
      <c r="N23" s="13"/>
    </row>
    <row r="24" customFormat="false" ht="15" hidden="false" customHeight="false" outlineLevel="0" collapsed="false">
      <c r="A24" s="31"/>
      <c r="B24" s="13"/>
      <c r="C24" s="13"/>
      <c r="D24" s="32"/>
      <c r="E24" s="32"/>
      <c r="F24" s="14"/>
      <c r="G24" s="23"/>
      <c r="H24" s="16" t="str">
        <f aca="false">IF(F24="","",IF(G24&lt;&gt;"",G24,IF(E24="JPY",IF(ISNUMBER($L$1),ROUND(F24/$L$1,2),"レート未入力"),F24)))</f>
        <v/>
      </c>
      <c r="I24" s="13"/>
      <c r="J24" s="22" t="str">
        <f aca="false">IF(A24="","",IF(A24&lt;DATE(2025,4,6),"2024/25",IF(A24&lt;DATE(2026,4,6),"2025/26",IF(A24&lt;DATE(2027,4,6),"2026/27","2027/28"))))</f>
        <v/>
      </c>
      <c r="N24" s="13"/>
    </row>
    <row r="25" customFormat="false" ht="15" hidden="false" customHeight="false" outlineLevel="0" collapsed="false">
      <c r="A25" s="31"/>
      <c r="B25" s="13"/>
      <c r="C25" s="13"/>
      <c r="D25" s="32"/>
      <c r="E25" s="32"/>
      <c r="F25" s="14"/>
      <c r="G25" s="23"/>
      <c r="H25" s="16" t="str">
        <f aca="false">IF(F25="","",IF(G25&lt;&gt;"",G25,IF(E25="JPY",IF(ISNUMBER($L$1),ROUND(F25/$L$1,2),"レート未入力"),F25)))</f>
        <v/>
      </c>
      <c r="I25" s="13"/>
      <c r="J25" s="22" t="str">
        <f aca="false">IF(A25="","",IF(A25&lt;DATE(2025,4,6),"2024/25",IF(A25&lt;DATE(2026,4,6),"2025/26",IF(A25&lt;DATE(2027,4,6),"2026/27","2027/28"))))</f>
        <v/>
      </c>
      <c r="N25" s="13"/>
    </row>
    <row r="26" customFormat="false" ht="15" hidden="false" customHeight="false" outlineLevel="0" collapsed="false">
      <c r="A26" s="3" t="s">
        <v>183</v>
      </c>
      <c r="H26" s="18" t="n">
        <f aca="false">SUM(H6:H25)</f>
        <v>0</v>
      </c>
    </row>
    <row r="28" customFormat="false" ht="15" hidden="false" customHeight="false" outlineLevel="0" collapsed="false">
      <c r="A28" s="26" t="s">
        <v>184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</row>
    <row r="29" customFormat="false" ht="30" hidden="false" customHeight="true" outlineLevel="0" collapsed="false">
      <c r="A29" s="9" t="s">
        <v>167</v>
      </c>
      <c r="B29" s="9" t="s">
        <v>185</v>
      </c>
      <c r="C29" s="9" t="s">
        <v>169</v>
      </c>
      <c r="D29" s="9" t="s">
        <v>38</v>
      </c>
      <c r="E29" s="9" t="s">
        <v>171</v>
      </c>
      <c r="F29" s="9" t="s">
        <v>172</v>
      </c>
      <c r="G29" s="9" t="s">
        <v>173</v>
      </c>
      <c r="H29" s="10" t="s">
        <v>186</v>
      </c>
      <c r="I29" s="9" t="s">
        <v>187</v>
      </c>
      <c r="J29" s="9" t="s">
        <v>188</v>
      </c>
      <c r="K29" s="9" t="s">
        <v>189</v>
      </c>
      <c r="L29" s="9" t="s">
        <v>176</v>
      </c>
      <c r="M29" s="9"/>
      <c r="N29" s="9" t="s">
        <v>177</v>
      </c>
    </row>
    <row r="30" customFormat="false" ht="15" hidden="false" customHeight="false" outlineLevel="0" collapsed="false">
      <c r="A30" s="31"/>
      <c r="B30" s="13"/>
      <c r="C30" s="13"/>
      <c r="D30" s="32"/>
      <c r="E30" s="32"/>
      <c r="F30" s="14"/>
      <c r="G30" s="23"/>
      <c r="H30" s="16" t="str">
        <f aca="false">IF(F30="","",IF(G30&lt;&gt;"",G30,IF(E30="JPY",IF(ISNUMBER($L$1),ROUND(F30/$L$1,2),"レート未入力"),F30)))</f>
        <v/>
      </c>
      <c r="I30" s="33"/>
      <c r="J30" s="16" t="str">
        <f aca="false">IF(ISNUMBER(H30),ROUND(H30*IF(I30="",1,I30),2),"")</f>
        <v/>
      </c>
      <c r="K30" s="35"/>
      <c r="L30" s="22" t="str">
        <f aca="false">IF(A30="","",IF(A30&lt;DATE(2025,4,6),"2024/25",IF(A30&lt;DATE(2026,4,6),"2025/26",IF(A30&lt;DATE(2027,4,6),"2026/27","2027/28"))))</f>
        <v/>
      </c>
      <c r="N30" s="13"/>
    </row>
    <row r="31" customFormat="false" ht="15" hidden="false" customHeight="false" outlineLevel="0" collapsed="false">
      <c r="A31" s="31"/>
      <c r="B31" s="13"/>
      <c r="C31" s="13"/>
      <c r="D31" s="32"/>
      <c r="E31" s="32"/>
      <c r="F31" s="14"/>
      <c r="G31" s="23"/>
      <c r="H31" s="16" t="str">
        <f aca="false">IF(F31="","",IF(G31&lt;&gt;"",G31,IF(E31="JPY",IF(ISNUMBER($L$1),ROUND(F31/$L$1,2),"レート未入力"),F31)))</f>
        <v/>
      </c>
      <c r="I31" s="33"/>
      <c r="J31" s="16" t="str">
        <f aca="false">IF(ISNUMBER(H31),ROUND(H31*IF(I31="",1,I31),2),"")</f>
        <v/>
      </c>
      <c r="K31" s="35"/>
      <c r="L31" s="22" t="str">
        <f aca="false">IF(A31="","",IF(A31&lt;DATE(2025,4,6),"2024/25",IF(A31&lt;DATE(2026,4,6),"2025/26",IF(A31&lt;DATE(2027,4,6),"2026/27","2027/28"))))</f>
        <v/>
      </c>
      <c r="N31" s="13"/>
    </row>
    <row r="32" customFormat="false" ht="15" hidden="false" customHeight="false" outlineLevel="0" collapsed="false">
      <c r="A32" s="31"/>
      <c r="B32" s="13"/>
      <c r="C32" s="13"/>
      <c r="D32" s="32"/>
      <c r="E32" s="32"/>
      <c r="F32" s="14"/>
      <c r="G32" s="23"/>
      <c r="H32" s="16" t="str">
        <f aca="false">IF(F32="","",IF(G32&lt;&gt;"",G32,IF(E32="JPY",IF(ISNUMBER($L$1),ROUND(F32/$L$1,2),"レート未入力"),F32)))</f>
        <v/>
      </c>
      <c r="I32" s="33"/>
      <c r="J32" s="16" t="str">
        <f aca="false">IF(ISNUMBER(H32),ROUND(H32*IF(I32="",1,I32),2),"")</f>
        <v/>
      </c>
      <c r="K32" s="35"/>
      <c r="L32" s="22" t="str">
        <f aca="false">IF(A32="","",IF(A32&lt;DATE(2025,4,6),"2024/25",IF(A32&lt;DATE(2026,4,6),"2025/26",IF(A32&lt;DATE(2027,4,6),"2026/27","2027/28"))))</f>
        <v/>
      </c>
      <c r="N32" s="13"/>
    </row>
    <row r="33" customFormat="false" ht="15" hidden="false" customHeight="false" outlineLevel="0" collapsed="false">
      <c r="A33" s="31"/>
      <c r="B33" s="13"/>
      <c r="C33" s="13"/>
      <c r="D33" s="32"/>
      <c r="E33" s="32"/>
      <c r="F33" s="14"/>
      <c r="G33" s="23"/>
      <c r="H33" s="16" t="str">
        <f aca="false">IF(F33="","",IF(G33&lt;&gt;"",G33,IF(E33="JPY",IF(ISNUMBER($L$1),ROUND(F33/$L$1,2),"レート未入力"),F33)))</f>
        <v/>
      </c>
      <c r="I33" s="33"/>
      <c r="J33" s="16" t="str">
        <f aca="false">IF(ISNUMBER(H33),ROUND(H33*IF(I33="",1,I33),2),"")</f>
        <v/>
      </c>
      <c r="K33" s="35"/>
      <c r="L33" s="22" t="str">
        <f aca="false">IF(A33="","",IF(A33&lt;DATE(2025,4,6),"2024/25",IF(A33&lt;DATE(2026,4,6),"2025/26",IF(A33&lt;DATE(2027,4,6),"2026/27","2027/28"))))</f>
        <v/>
      </c>
      <c r="N33" s="13"/>
    </row>
    <row r="34" customFormat="false" ht="15" hidden="false" customHeight="false" outlineLevel="0" collapsed="false">
      <c r="A34" s="31"/>
      <c r="B34" s="13"/>
      <c r="C34" s="13"/>
      <c r="D34" s="32"/>
      <c r="E34" s="32"/>
      <c r="F34" s="14"/>
      <c r="G34" s="23"/>
      <c r="H34" s="16" t="str">
        <f aca="false">IF(F34="","",IF(G34&lt;&gt;"",G34,IF(E34="JPY",IF(ISNUMBER($L$1),ROUND(F34/$L$1,2),"レート未入力"),F34)))</f>
        <v/>
      </c>
      <c r="I34" s="33"/>
      <c r="J34" s="16" t="str">
        <f aca="false">IF(ISNUMBER(H34),ROUND(H34*IF(I34="",1,I34),2),"")</f>
        <v/>
      </c>
      <c r="K34" s="35"/>
      <c r="L34" s="22" t="str">
        <f aca="false">IF(A34="","",IF(A34&lt;DATE(2025,4,6),"2024/25",IF(A34&lt;DATE(2026,4,6),"2025/26",IF(A34&lt;DATE(2027,4,6),"2026/27","2027/28"))))</f>
        <v/>
      </c>
      <c r="N34" s="13"/>
    </row>
    <row r="35" customFormat="false" ht="15" hidden="false" customHeight="false" outlineLevel="0" collapsed="false">
      <c r="A35" s="31"/>
      <c r="B35" s="13"/>
      <c r="C35" s="13"/>
      <c r="D35" s="32"/>
      <c r="E35" s="32"/>
      <c r="F35" s="14"/>
      <c r="G35" s="23"/>
      <c r="H35" s="16" t="str">
        <f aca="false">IF(F35="","",IF(G35&lt;&gt;"",G35,IF(E35="JPY",IF(ISNUMBER($L$1),ROUND(F35/$L$1,2),"レート未入力"),F35)))</f>
        <v/>
      </c>
      <c r="I35" s="33"/>
      <c r="J35" s="16" t="str">
        <f aca="false">IF(ISNUMBER(H35),ROUND(H35*IF(I35="",1,I35),2),"")</f>
        <v/>
      </c>
      <c r="K35" s="35"/>
      <c r="L35" s="22" t="str">
        <f aca="false">IF(A35="","",IF(A35&lt;DATE(2025,4,6),"2024/25",IF(A35&lt;DATE(2026,4,6),"2025/26",IF(A35&lt;DATE(2027,4,6),"2026/27","2027/28"))))</f>
        <v/>
      </c>
      <c r="N35" s="13"/>
    </row>
    <row r="36" customFormat="false" ht="15" hidden="false" customHeight="false" outlineLevel="0" collapsed="false">
      <c r="A36" s="31"/>
      <c r="B36" s="13"/>
      <c r="C36" s="13"/>
      <c r="D36" s="32"/>
      <c r="E36" s="32"/>
      <c r="F36" s="14"/>
      <c r="G36" s="23"/>
      <c r="H36" s="16" t="str">
        <f aca="false">IF(F36="","",IF(G36&lt;&gt;"",G36,IF(E36="JPY",IF(ISNUMBER($L$1),ROUND(F36/$L$1,2),"レート未入力"),F36)))</f>
        <v/>
      </c>
      <c r="I36" s="33"/>
      <c r="J36" s="16" t="str">
        <f aca="false">IF(ISNUMBER(H36),ROUND(H36*IF(I36="",1,I36),2),"")</f>
        <v/>
      </c>
      <c r="K36" s="35"/>
      <c r="L36" s="22" t="str">
        <f aca="false">IF(A36="","",IF(A36&lt;DATE(2025,4,6),"2024/25",IF(A36&lt;DATE(2026,4,6),"2025/26",IF(A36&lt;DATE(2027,4,6),"2026/27","2027/28"))))</f>
        <v/>
      </c>
      <c r="N36" s="13"/>
    </row>
    <row r="37" customFormat="false" ht="15" hidden="false" customHeight="false" outlineLevel="0" collapsed="false">
      <c r="A37" s="31"/>
      <c r="B37" s="13"/>
      <c r="C37" s="13"/>
      <c r="D37" s="32"/>
      <c r="E37" s="32"/>
      <c r="F37" s="14"/>
      <c r="G37" s="23"/>
      <c r="H37" s="16" t="str">
        <f aca="false">IF(F37="","",IF(G37&lt;&gt;"",G37,IF(E37="JPY",IF(ISNUMBER($L$1),ROUND(F37/$L$1,2),"レート未入力"),F37)))</f>
        <v/>
      </c>
      <c r="I37" s="33"/>
      <c r="J37" s="16" t="str">
        <f aca="false">IF(ISNUMBER(H37),ROUND(H37*IF(I37="",1,I37),2),"")</f>
        <v/>
      </c>
      <c r="K37" s="35"/>
      <c r="L37" s="22" t="str">
        <f aca="false">IF(A37="","",IF(A37&lt;DATE(2025,4,6),"2024/25",IF(A37&lt;DATE(2026,4,6),"2025/26",IF(A37&lt;DATE(2027,4,6),"2026/27","2027/28"))))</f>
        <v/>
      </c>
      <c r="N37" s="13"/>
    </row>
    <row r="38" customFormat="false" ht="15" hidden="false" customHeight="false" outlineLevel="0" collapsed="false">
      <c r="A38" s="31"/>
      <c r="B38" s="13"/>
      <c r="C38" s="13"/>
      <c r="D38" s="32"/>
      <c r="E38" s="32"/>
      <c r="F38" s="14"/>
      <c r="G38" s="23"/>
      <c r="H38" s="16" t="str">
        <f aca="false">IF(F38="","",IF(G38&lt;&gt;"",G38,IF(E38="JPY",IF(ISNUMBER($L$1),ROUND(F38/$L$1,2),"レート未入力"),F38)))</f>
        <v/>
      </c>
      <c r="I38" s="33"/>
      <c r="J38" s="16" t="str">
        <f aca="false">IF(ISNUMBER(H38),ROUND(H38*IF(I38="",1,I38),2),"")</f>
        <v/>
      </c>
      <c r="K38" s="35"/>
      <c r="L38" s="22" t="str">
        <f aca="false">IF(A38="","",IF(A38&lt;DATE(2025,4,6),"2024/25",IF(A38&lt;DATE(2026,4,6),"2025/26",IF(A38&lt;DATE(2027,4,6),"2026/27","2027/28"))))</f>
        <v/>
      </c>
      <c r="N38" s="13"/>
    </row>
    <row r="39" customFormat="false" ht="15" hidden="false" customHeight="false" outlineLevel="0" collapsed="false">
      <c r="A39" s="31"/>
      <c r="B39" s="13"/>
      <c r="C39" s="13"/>
      <c r="D39" s="32"/>
      <c r="E39" s="32"/>
      <c r="F39" s="14"/>
      <c r="G39" s="23"/>
      <c r="H39" s="16" t="str">
        <f aca="false">IF(F39="","",IF(G39&lt;&gt;"",G39,IF(E39="JPY",IF(ISNUMBER($L$1),ROUND(F39/$L$1,2),"レート未入力"),F39)))</f>
        <v/>
      </c>
      <c r="I39" s="33"/>
      <c r="J39" s="16" t="str">
        <f aca="false">IF(ISNUMBER(H39),ROUND(H39*IF(I39="",1,I39),2),"")</f>
        <v/>
      </c>
      <c r="K39" s="35"/>
      <c r="L39" s="22" t="str">
        <f aca="false">IF(A39="","",IF(A39&lt;DATE(2025,4,6),"2024/25",IF(A39&lt;DATE(2026,4,6),"2025/26",IF(A39&lt;DATE(2027,4,6),"2026/27","2027/28"))))</f>
        <v/>
      </c>
      <c r="N39" s="13"/>
    </row>
    <row r="40" customFormat="false" ht="15" hidden="false" customHeight="false" outlineLevel="0" collapsed="false">
      <c r="A40" s="31"/>
      <c r="B40" s="13"/>
      <c r="C40" s="13"/>
      <c r="D40" s="32"/>
      <c r="E40" s="32"/>
      <c r="F40" s="14"/>
      <c r="G40" s="23"/>
      <c r="H40" s="16" t="str">
        <f aca="false">IF(F40="","",IF(G40&lt;&gt;"",G40,IF(E40="JPY",IF(ISNUMBER($L$1),ROUND(F40/$L$1,2),"レート未入力"),F40)))</f>
        <v/>
      </c>
      <c r="I40" s="33"/>
      <c r="J40" s="16" t="str">
        <f aca="false">IF(ISNUMBER(H40),ROUND(H40*IF(I40="",1,I40),2),"")</f>
        <v/>
      </c>
      <c r="K40" s="35"/>
      <c r="L40" s="22" t="str">
        <f aca="false">IF(A40="","",IF(A40&lt;DATE(2025,4,6),"2024/25",IF(A40&lt;DATE(2026,4,6),"2025/26",IF(A40&lt;DATE(2027,4,6),"2026/27","2027/28"))))</f>
        <v/>
      </c>
      <c r="N40" s="13"/>
    </row>
    <row r="41" customFormat="false" ht="15" hidden="false" customHeight="false" outlineLevel="0" collapsed="false">
      <c r="A41" s="31"/>
      <c r="B41" s="13"/>
      <c r="C41" s="13"/>
      <c r="D41" s="32"/>
      <c r="E41" s="32"/>
      <c r="F41" s="14"/>
      <c r="G41" s="23"/>
      <c r="H41" s="16" t="str">
        <f aca="false">IF(F41="","",IF(G41&lt;&gt;"",G41,IF(E41="JPY",IF(ISNUMBER($L$1),ROUND(F41/$L$1,2),"レート未入力"),F41)))</f>
        <v/>
      </c>
      <c r="I41" s="33"/>
      <c r="J41" s="16" t="str">
        <f aca="false">IF(ISNUMBER(H41),ROUND(H41*IF(I41="",1,I41),2),"")</f>
        <v/>
      </c>
      <c r="K41" s="35"/>
      <c r="L41" s="22" t="str">
        <f aca="false">IF(A41="","",IF(A41&lt;DATE(2025,4,6),"2024/25",IF(A41&lt;DATE(2026,4,6),"2025/26",IF(A41&lt;DATE(2027,4,6),"2026/27","2027/28"))))</f>
        <v/>
      </c>
      <c r="N41" s="13"/>
    </row>
    <row r="42" customFormat="false" ht="15" hidden="false" customHeight="false" outlineLevel="0" collapsed="false">
      <c r="A42" s="31"/>
      <c r="B42" s="13"/>
      <c r="C42" s="13"/>
      <c r="D42" s="32"/>
      <c r="E42" s="32"/>
      <c r="F42" s="14"/>
      <c r="G42" s="23"/>
      <c r="H42" s="16" t="str">
        <f aca="false">IF(F42="","",IF(G42&lt;&gt;"",G42,IF(E42="JPY",IF(ISNUMBER($L$1),ROUND(F42/$L$1,2),"レート未入力"),F42)))</f>
        <v/>
      </c>
      <c r="I42" s="33"/>
      <c r="J42" s="16" t="str">
        <f aca="false">IF(ISNUMBER(H42),ROUND(H42*IF(I42="",1,I42),2),"")</f>
        <v/>
      </c>
      <c r="K42" s="35"/>
      <c r="L42" s="22" t="str">
        <f aca="false">IF(A42="","",IF(A42&lt;DATE(2025,4,6),"2024/25",IF(A42&lt;DATE(2026,4,6),"2025/26",IF(A42&lt;DATE(2027,4,6),"2026/27","2027/28"))))</f>
        <v/>
      </c>
      <c r="N42" s="13"/>
    </row>
    <row r="43" customFormat="false" ht="15" hidden="false" customHeight="false" outlineLevel="0" collapsed="false">
      <c r="A43" s="31"/>
      <c r="B43" s="13"/>
      <c r="C43" s="13"/>
      <c r="D43" s="32"/>
      <c r="E43" s="32"/>
      <c r="F43" s="14"/>
      <c r="G43" s="23"/>
      <c r="H43" s="16" t="str">
        <f aca="false">IF(F43="","",IF(G43&lt;&gt;"",G43,IF(E43="JPY",IF(ISNUMBER($L$1),ROUND(F43/$L$1,2),"レート未入力"),F43)))</f>
        <v/>
      </c>
      <c r="I43" s="33"/>
      <c r="J43" s="16" t="str">
        <f aca="false">IF(ISNUMBER(H43),ROUND(H43*IF(I43="",1,I43),2),"")</f>
        <v/>
      </c>
      <c r="K43" s="35"/>
      <c r="L43" s="22" t="str">
        <f aca="false">IF(A43="","",IF(A43&lt;DATE(2025,4,6),"2024/25",IF(A43&lt;DATE(2026,4,6),"2025/26",IF(A43&lt;DATE(2027,4,6),"2026/27","2027/28"))))</f>
        <v/>
      </c>
      <c r="N43" s="13"/>
    </row>
    <row r="44" customFormat="false" ht="15" hidden="false" customHeight="false" outlineLevel="0" collapsed="false">
      <c r="A44" s="31"/>
      <c r="B44" s="13"/>
      <c r="C44" s="13"/>
      <c r="D44" s="32"/>
      <c r="E44" s="32"/>
      <c r="F44" s="14"/>
      <c r="G44" s="23"/>
      <c r="H44" s="16" t="str">
        <f aca="false">IF(F44="","",IF(G44&lt;&gt;"",G44,IF(E44="JPY",IF(ISNUMBER($L$1),ROUND(F44/$L$1,2),"レート未入力"),F44)))</f>
        <v/>
      </c>
      <c r="I44" s="33"/>
      <c r="J44" s="16" t="str">
        <f aca="false">IF(ISNUMBER(H44),ROUND(H44*IF(I44="",1,I44),2),"")</f>
        <v/>
      </c>
      <c r="K44" s="35"/>
      <c r="L44" s="22" t="str">
        <f aca="false">IF(A44="","",IF(A44&lt;DATE(2025,4,6),"2024/25",IF(A44&lt;DATE(2026,4,6),"2025/26",IF(A44&lt;DATE(2027,4,6),"2026/27","2027/28"))))</f>
        <v/>
      </c>
      <c r="N44" s="13"/>
    </row>
    <row r="45" customFormat="false" ht="15" hidden="false" customHeight="false" outlineLevel="0" collapsed="false">
      <c r="A45" s="31"/>
      <c r="B45" s="13"/>
      <c r="C45" s="13"/>
      <c r="D45" s="32"/>
      <c r="E45" s="32"/>
      <c r="F45" s="14"/>
      <c r="G45" s="23"/>
      <c r="H45" s="16" t="str">
        <f aca="false">IF(F45="","",IF(G45&lt;&gt;"",G45,IF(E45="JPY",IF(ISNUMBER($L$1),ROUND(F45/$L$1,2),"レート未入力"),F45)))</f>
        <v/>
      </c>
      <c r="I45" s="33"/>
      <c r="J45" s="16" t="str">
        <f aca="false">IF(ISNUMBER(H45),ROUND(H45*IF(I45="",1,I45),2),"")</f>
        <v/>
      </c>
      <c r="K45" s="35"/>
      <c r="L45" s="22" t="str">
        <f aca="false">IF(A45="","",IF(A45&lt;DATE(2025,4,6),"2024/25",IF(A45&lt;DATE(2026,4,6),"2025/26",IF(A45&lt;DATE(2027,4,6),"2026/27","2027/28"))))</f>
        <v/>
      </c>
      <c r="N45" s="13"/>
    </row>
    <row r="46" customFormat="false" ht="15" hidden="false" customHeight="false" outlineLevel="0" collapsed="false">
      <c r="A46" s="31"/>
      <c r="B46" s="13"/>
      <c r="C46" s="13"/>
      <c r="D46" s="32"/>
      <c r="E46" s="32"/>
      <c r="F46" s="14"/>
      <c r="G46" s="23"/>
      <c r="H46" s="16" t="str">
        <f aca="false">IF(F46="","",IF(G46&lt;&gt;"",G46,IF(E46="JPY",IF(ISNUMBER($L$1),ROUND(F46/$L$1,2),"レート未入力"),F46)))</f>
        <v/>
      </c>
      <c r="I46" s="33"/>
      <c r="J46" s="16" t="str">
        <f aca="false">IF(ISNUMBER(H46),ROUND(H46*IF(I46="",1,I46),2),"")</f>
        <v/>
      </c>
      <c r="K46" s="35"/>
      <c r="L46" s="22" t="str">
        <f aca="false">IF(A46="","",IF(A46&lt;DATE(2025,4,6),"2024/25",IF(A46&lt;DATE(2026,4,6),"2025/26",IF(A46&lt;DATE(2027,4,6),"2026/27","2027/28"))))</f>
        <v/>
      </c>
      <c r="N46" s="13"/>
    </row>
    <row r="47" customFormat="false" ht="15" hidden="false" customHeight="false" outlineLevel="0" collapsed="false">
      <c r="A47" s="31"/>
      <c r="B47" s="13"/>
      <c r="C47" s="13"/>
      <c r="D47" s="32"/>
      <c r="E47" s="32"/>
      <c r="F47" s="14"/>
      <c r="G47" s="23"/>
      <c r="H47" s="16" t="str">
        <f aca="false">IF(F47="","",IF(G47&lt;&gt;"",G47,IF(E47="JPY",IF(ISNUMBER($L$1),ROUND(F47/$L$1,2),"レート未入力"),F47)))</f>
        <v/>
      </c>
      <c r="I47" s="33"/>
      <c r="J47" s="16" t="str">
        <f aca="false">IF(ISNUMBER(H47),ROUND(H47*IF(I47="",1,I47),2),"")</f>
        <v/>
      </c>
      <c r="K47" s="35"/>
      <c r="L47" s="22" t="str">
        <f aca="false">IF(A47="","",IF(A47&lt;DATE(2025,4,6),"2024/25",IF(A47&lt;DATE(2026,4,6),"2025/26",IF(A47&lt;DATE(2027,4,6),"2026/27","2027/28"))))</f>
        <v/>
      </c>
      <c r="N47" s="13"/>
    </row>
    <row r="48" customFormat="false" ht="15" hidden="false" customHeight="false" outlineLevel="0" collapsed="false">
      <c r="A48" s="31"/>
      <c r="B48" s="13"/>
      <c r="C48" s="13"/>
      <c r="D48" s="32"/>
      <c r="E48" s="32"/>
      <c r="F48" s="14"/>
      <c r="G48" s="23"/>
      <c r="H48" s="16" t="str">
        <f aca="false">IF(F48="","",IF(G48&lt;&gt;"",G48,IF(E48="JPY",IF(ISNUMBER($L$1),ROUND(F48/$L$1,2),"レート未入力"),F48)))</f>
        <v/>
      </c>
      <c r="I48" s="33"/>
      <c r="J48" s="16" t="str">
        <f aca="false">IF(ISNUMBER(H48),ROUND(H48*IF(I48="",1,I48),2),"")</f>
        <v/>
      </c>
      <c r="K48" s="35"/>
      <c r="L48" s="22" t="str">
        <f aca="false">IF(A48="","",IF(A48&lt;DATE(2025,4,6),"2024/25",IF(A48&lt;DATE(2026,4,6),"2025/26",IF(A48&lt;DATE(2027,4,6),"2026/27","2027/28"))))</f>
        <v/>
      </c>
      <c r="N48" s="13"/>
    </row>
    <row r="49" customFormat="false" ht="15" hidden="false" customHeight="false" outlineLevel="0" collapsed="false">
      <c r="A49" s="31"/>
      <c r="B49" s="13"/>
      <c r="C49" s="13"/>
      <c r="D49" s="32"/>
      <c r="E49" s="32"/>
      <c r="F49" s="14"/>
      <c r="G49" s="23"/>
      <c r="H49" s="16" t="str">
        <f aca="false">IF(F49="","",IF(G49&lt;&gt;"",G49,IF(E49="JPY",IF(ISNUMBER($L$1),ROUND(F49/$L$1,2),"レート未入力"),F49)))</f>
        <v/>
      </c>
      <c r="I49" s="33"/>
      <c r="J49" s="16" t="str">
        <f aca="false">IF(ISNUMBER(H49),ROUND(H49*IF(I49="",1,I49),2),"")</f>
        <v/>
      </c>
      <c r="K49" s="35"/>
      <c r="L49" s="22" t="str">
        <f aca="false">IF(A49="","",IF(A49&lt;DATE(2025,4,6),"2024/25",IF(A49&lt;DATE(2026,4,6),"2025/26",IF(A49&lt;DATE(2027,4,6),"2026/27","2027/28"))))</f>
        <v/>
      </c>
      <c r="N49" s="13"/>
    </row>
    <row r="50" customFormat="false" ht="15" hidden="false" customHeight="false" outlineLevel="0" collapsed="false">
      <c r="A50" s="31"/>
      <c r="B50" s="13"/>
      <c r="C50" s="13"/>
      <c r="D50" s="32"/>
      <c r="E50" s="32"/>
      <c r="F50" s="14"/>
      <c r="G50" s="23"/>
      <c r="H50" s="16" t="str">
        <f aca="false">IF(F50="","",IF(G50&lt;&gt;"",G50,IF(E50="JPY",IF(ISNUMBER($L$1),ROUND(F50/$L$1,2),"レート未入力"),F50)))</f>
        <v/>
      </c>
      <c r="I50" s="33"/>
      <c r="J50" s="16" t="str">
        <f aca="false">IF(ISNUMBER(H50),ROUND(H50*IF(I50="",1,I50),2),"")</f>
        <v/>
      </c>
      <c r="K50" s="35"/>
      <c r="L50" s="22" t="str">
        <f aca="false">IF(A50="","",IF(A50&lt;DATE(2025,4,6),"2024/25",IF(A50&lt;DATE(2026,4,6),"2025/26",IF(A50&lt;DATE(2027,4,6),"2026/27","2027/28"))))</f>
        <v/>
      </c>
      <c r="N50" s="13"/>
    </row>
    <row r="51" customFormat="false" ht="15" hidden="false" customHeight="false" outlineLevel="0" collapsed="false">
      <c r="A51" s="31"/>
      <c r="B51" s="13"/>
      <c r="C51" s="13"/>
      <c r="D51" s="32"/>
      <c r="E51" s="32"/>
      <c r="F51" s="14"/>
      <c r="G51" s="23"/>
      <c r="H51" s="16" t="str">
        <f aca="false">IF(F51="","",IF(G51&lt;&gt;"",G51,IF(E51="JPY",IF(ISNUMBER($L$1),ROUND(F51/$L$1,2),"レート未入力"),F51)))</f>
        <v/>
      </c>
      <c r="I51" s="33"/>
      <c r="J51" s="16" t="str">
        <f aca="false">IF(ISNUMBER(H51),ROUND(H51*IF(I51="",1,I51),2),"")</f>
        <v/>
      </c>
      <c r="K51" s="35"/>
      <c r="L51" s="22" t="str">
        <f aca="false">IF(A51="","",IF(A51&lt;DATE(2025,4,6),"2024/25",IF(A51&lt;DATE(2026,4,6),"2025/26",IF(A51&lt;DATE(2027,4,6),"2026/27","2027/28"))))</f>
        <v/>
      </c>
      <c r="N51" s="13"/>
    </row>
    <row r="52" customFormat="false" ht="15" hidden="false" customHeight="false" outlineLevel="0" collapsed="false">
      <c r="A52" s="31"/>
      <c r="B52" s="13"/>
      <c r="C52" s="13"/>
      <c r="D52" s="32"/>
      <c r="E52" s="32"/>
      <c r="F52" s="14"/>
      <c r="G52" s="23"/>
      <c r="H52" s="16" t="str">
        <f aca="false">IF(F52="","",IF(G52&lt;&gt;"",G52,IF(E52="JPY",IF(ISNUMBER($L$1),ROUND(F52/$L$1,2),"レート未入力"),F52)))</f>
        <v/>
      </c>
      <c r="I52" s="33"/>
      <c r="J52" s="16" t="str">
        <f aca="false">IF(ISNUMBER(H52),ROUND(H52*IF(I52="",1,I52),2),"")</f>
        <v/>
      </c>
      <c r="K52" s="35"/>
      <c r="L52" s="22" t="str">
        <f aca="false">IF(A52="","",IF(A52&lt;DATE(2025,4,6),"2024/25",IF(A52&lt;DATE(2026,4,6),"2025/26",IF(A52&lt;DATE(2027,4,6),"2026/27","2027/28"))))</f>
        <v/>
      </c>
      <c r="N52" s="13"/>
    </row>
    <row r="53" customFormat="false" ht="15" hidden="false" customHeight="false" outlineLevel="0" collapsed="false">
      <c r="A53" s="31"/>
      <c r="B53" s="13"/>
      <c r="C53" s="13"/>
      <c r="D53" s="32"/>
      <c r="E53" s="32"/>
      <c r="F53" s="14"/>
      <c r="G53" s="23"/>
      <c r="H53" s="16" t="str">
        <f aca="false">IF(F53="","",IF(G53&lt;&gt;"",G53,IF(E53="JPY",IF(ISNUMBER($L$1),ROUND(F53/$L$1,2),"レート未入力"),F53)))</f>
        <v/>
      </c>
      <c r="I53" s="33"/>
      <c r="J53" s="16" t="str">
        <f aca="false">IF(ISNUMBER(H53),ROUND(H53*IF(I53="",1,I53),2),"")</f>
        <v/>
      </c>
      <c r="K53" s="35"/>
      <c r="L53" s="22" t="str">
        <f aca="false">IF(A53="","",IF(A53&lt;DATE(2025,4,6),"2024/25",IF(A53&lt;DATE(2026,4,6),"2025/26",IF(A53&lt;DATE(2027,4,6),"2026/27","2027/28"))))</f>
        <v/>
      </c>
      <c r="N53" s="13"/>
    </row>
    <row r="54" customFormat="false" ht="15" hidden="false" customHeight="false" outlineLevel="0" collapsed="false">
      <c r="A54" s="31"/>
      <c r="B54" s="13"/>
      <c r="C54" s="13"/>
      <c r="D54" s="32"/>
      <c r="E54" s="32"/>
      <c r="F54" s="14"/>
      <c r="G54" s="23"/>
      <c r="H54" s="16" t="str">
        <f aca="false">IF(F54="","",IF(G54&lt;&gt;"",G54,IF(E54="JPY",IF(ISNUMBER($L$1),ROUND(F54/$L$1,2),"レート未入力"),F54)))</f>
        <v/>
      </c>
      <c r="I54" s="33"/>
      <c r="J54" s="16" t="str">
        <f aca="false">IF(ISNUMBER(H54),ROUND(H54*IF(I54="",1,I54),2),"")</f>
        <v/>
      </c>
      <c r="K54" s="35"/>
      <c r="L54" s="22" t="str">
        <f aca="false">IF(A54="","",IF(A54&lt;DATE(2025,4,6),"2024/25",IF(A54&lt;DATE(2026,4,6),"2025/26",IF(A54&lt;DATE(2027,4,6),"2026/27","2027/28"))))</f>
        <v/>
      </c>
      <c r="N54" s="13"/>
    </row>
    <row r="55" customFormat="false" ht="15" hidden="false" customHeight="false" outlineLevel="0" collapsed="false">
      <c r="A55" s="31"/>
      <c r="B55" s="13"/>
      <c r="C55" s="13"/>
      <c r="D55" s="32"/>
      <c r="E55" s="32"/>
      <c r="F55" s="14"/>
      <c r="G55" s="23"/>
      <c r="H55" s="16" t="str">
        <f aca="false">IF(F55="","",IF(G55&lt;&gt;"",G55,IF(E55="JPY",IF(ISNUMBER($L$1),ROUND(F55/$L$1,2),"レート未入力"),F55)))</f>
        <v/>
      </c>
      <c r="I55" s="33"/>
      <c r="J55" s="16" t="str">
        <f aca="false">IF(ISNUMBER(H55),ROUND(H55*IF(I55="",1,I55),2),"")</f>
        <v/>
      </c>
      <c r="K55" s="35"/>
      <c r="L55" s="22" t="str">
        <f aca="false">IF(A55="","",IF(A55&lt;DATE(2025,4,6),"2024/25",IF(A55&lt;DATE(2026,4,6),"2025/26",IF(A55&lt;DATE(2027,4,6),"2026/27","2027/28"))))</f>
        <v/>
      </c>
      <c r="N55" s="13"/>
    </row>
    <row r="56" customFormat="false" ht="15" hidden="false" customHeight="false" outlineLevel="0" collapsed="false">
      <c r="A56" s="31"/>
      <c r="B56" s="13"/>
      <c r="C56" s="13"/>
      <c r="D56" s="32"/>
      <c r="E56" s="32"/>
      <c r="F56" s="14"/>
      <c r="G56" s="23"/>
      <c r="H56" s="16" t="str">
        <f aca="false">IF(F56="","",IF(G56&lt;&gt;"",G56,IF(E56="JPY",IF(ISNUMBER($L$1),ROUND(F56/$L$1,2),"レート未入力"),F56)))</f>
        <v/>
      </c>
      <c r="I56" s="33"/>
      <c r="J56" s="16" t="str">
        <f aca="false">IF(ISNUMBER(H56),ROUND(H56*IF(I56="",1,I56),2),"")</f>
        <v/>
      </c>
      <c r="K56" s="35"/>
      <c r="L56" s="22" t="str">
        <f aca="false">IF(A56="","",IF(A56&lt;DATE(2025,4,6),"2024/25",IF(A56&lt;DATE(2026,4,6),"2025/26",IF(A56&lt;DATE(2027,4,6),"2026/27","2027/28"))))</f>
        <v/>
      </c>
      <c r="N56" s="13"/>
    </row>
    <row r="57" customFormat="false" ht="15" hidden="false" customHeight="false" outlineLevel="0" collapsed="false">
      <c r="A57" s="31"/>
      <c r="B57" s="13"/>
      <c r="C57" s="13"/>
      <c r="D57" s="32"/>
      <c r="E57" s="32"/>
      <c r="F57" s="14"/>
      <c r="G57" s="23"/>
      <c r="H57" s="16" t="str">
        <f aca="false">IF(F57="","",IF(G57&lt;&gt;"",G57,IF(E57="JPY",IF(ISNUMBER($L$1),ROUND(F57/$L$1,2),"レート未入力"),F57)))</f>
        <v/>
      </c>
      <c r="I57" s="33"/>
      <c r="J57" s="16" t="str">
        <f aca="false">IF(ISNUMBER(H57),ROUND(H57*IF(I57="",1,I57),2),"")</f>
        <v/>
      </c>
      <c r="K57" s="35"/>
      <c r="L57" s="22" t="str">
        <f aca="false">IF(A57="","",IF(A57&lt;DATE(2025,4,6),"2024/25",IF(A57&lt;DATE(2026,4,6),"2025/26",IF(A57&lt;DATE(2027,4,6),"2026/27","2027/28"))))</f>
        <v/>
      </c>
      <c r="N57" s="13"/>
    </row>
    <row r="58" customFormat="false" ht="15" hidden="false" customHeight="false" outlineLevel="0" collapsed="false">
      <c r="A58" s="31"/>
      <c r="B58" s="13"/>
      <c r="C58" s="13"/>
      <c r="D58" s="32"/>
      <c r="E58" s="32"/>
      <c r="F58" s="14"/>
      <c r="G58" s="23"/>
      <c r="H58" s="16" t="str">
        <f aca="false">IF(F58="","",IF(G58&lt;&gt;"",G58,IF(E58="JPY",IF(ISNUMBER($L$1),ROUND(F58/$L$1,2),"レート未入力"),F58)))</f>
        <v/>
      </c>
      <c r="I58" s="33"/>
      <c r="J58" s="16" t="str">
        <f aca="false">IF(ISNUMBER(H58),ROUND(H58*IF(I58="",1,I58),2),"")</f>
        <v/>
      </c>
      <c r="K58" s="35"/>
      <c r="L58" s="22" t="str">
        <f aca="false">IF(A58="","",IF(A58&lt;DATE(2025,4,6),"2024/25",IF(A58&lt;DATE(2026,4,6),"2025/26",IF(A58&lt;DATE(2027,4,6),"2026/27","2027/28"))))</f>
        <v/>
      </c>
      <c r="N58" s="13"/>
    </row>
    <row r="59" customFormat="false" ht="15" hidden="false" customHeight="false" outlineLevel="0" collapsed="false">
      <c r="A59" s="31"/>
      <c r="B59" s="13"/>
      <c r="C59" s="13"/>
      <c r="D59" s="32"/>
      <c r="E59" s="32"/>
      <c r="F59" s="14"/>
      <c r="G59" s="23"/>
      <c r="H59" s="16" t="str">
        <f aca="false">IF(F59="","",IF(G59&lt;&gt;"",G59,IF(E59="JPY",IF(ISNUMBER($L$1),ROUND(F59/$L$1,2),"レート未入力"),F59)))</f>
        <v/>
      </c>
      <c r="I59" s="33"/>
      <c r="J59" s="16" t="str">
        <f aca="false">IF(ISNUMBER(H59),ROUND(H59*IF(I59="",1,I59),2),"")</f>
        <v/>
      </c>
      <c r="K59" s="35"/>
      <c r="L59" s="22" t="str">
        <f aca="false">IF(A59="","",IF(A59&lt;DATE(2025,4,6),"2024/25",IF(A59&lt;DATE(2026,4,6),"2025/26",IF(A59&lt;DATE(2027,4,6),"2026/27","2027/28"))))</f>
        <v/>
      </c>
      <c r="N59" s="13"/>
    </row>
    <row r="60" customFormat="false" ht="15" hidden="false" customHeight="false" outlineLevel="0" collapsed="false">
      <c r="A60" s="31"/>
      <c r="B60" s="13"/>
      <c r="C60" s="13"/>
      <c r="D60" s="32"/>
      <c r="E60" s="32"/>
      <c r="F60" s="14"/>
      <c r="G60" s="23"/>
      <c r="H60" s="16" t="str">
        <f aca="false">IF(F60="","",IF(G60&lt;&gt;"",G60,IF(E60="JPY",IF(ISNUMBER($L$1),ROUND(F60/$L$1,2),"レート未入力"),F60)))</f>
        <v/>
      </c>
      <c r="I60" s="33"/>
      <c r="J60" s="16" t="str">
        <f aca="false">IF(ISNUMBER(H60),ROUND(H60*IF(I60="",1,I60),2),"")</f>
        <v/>
      </c>
      <c r="K60" s="35"/>
      <c r="L60" s="22" t="str">
        <f aca="false">IF(A60="","",IF(A60&lt;DATE(2025,4,6),"2024/25",IF(A60&lt;DATE(2026,4,6),"2025/26",IF(A60&lt;DATE(2027,4,6),"2026/27","2027/28"))))</f>
        <v/>
      </c>
      <c r="N60" s="13"/>
    </row>
    <row r="61" customFormat="false" ht="15" hidden="false" customHeight="false" outlineLevel="0" collapsed="false">
      <c r="A61" s="31"/>
      <c r="B61" s="13"/>
      <c r="C61" s="13"/>
      <c r="D61" s="32"/>
      <c r="E61" s="32"/>
      <c r="F61" s="14"/>
      <c r="G61" s="23"/>
      <c r="H61" s="16" t="str">
        <f aca="false">IF(F61="","",IF(G61&lt;&gt;"",G61,IF(E61="JPY",IF(ISNUMBER($L$1),ROUND(F61/$L$1,2),"レート未入力"),F61)))</f>
        <v/>
      </c>
      <c r="I61" s="33"/>
      <c r="J61" s="16" t="str">
        <f aca="false">IF(ISNUMBER(H61),ROUND(H61*IF(I61="",1,I61),2),"")</f>
        <v/>
      </c>
      <c r="K61" s="35"/>
      <c r="L61" s="22" t="str">
        <f aca="false">IF(A61="","",IF(A61&lt;DATE(2025,4,6),"2024/25",IF(A61&lt;DATE(2026,4,6),"2025/26",IF(A61&lt;DATE(2027,4,6),"2026/27","2027/28"))))</f>
        <v/>
      </c>
      <c r="N61" s="13"/>
    </row>
    <row r="62" customFormat="false" ht="15" hidden="false" customHeight="false" outlineLevel="0" collapsed="false">
      <c r="A62" s="31"/>
      <c r="B62" s="13"/>
      <c r="C62" s="13"/>
      <c r="D62" s="32"/>
      <c r="E62" s="32"/>
      <c r="F62" s="14"/>
      <c r="G62" s="23"/>
      <c r="H62" s="16" t="str">
        <f aca="false">IF(F62="","",IF(G62&lt;&gt;"",G62,IF(E62="JPY",IF(ISNUMBER($L$1),ROUND(F62/$L$1,2),"レート未入力"),F62)))</f>
        <v/>
      </c>
      <c r="I62" s="33"/>
      <c r="J62" s="16" t="str">
        <f aca="false">IF(ISNUMBER(H62),ROUND(H62*IF(I62="",1,I62),2),"")</f>
        <v/>
      </c>
      <c r="K62" s="35"/>
      <c r="L62" s="22" t="str">
        <f aca="false">IF(A62="","",IF(A62&lt;DATE(2025,4,6),"2024/25",IF(A62&lt;DATE(2026,4,6),"2025/26",IF(A62&lt;DATE(2027,4,6),"2026/27","2027/28"))))</f>
        <v/>
      </c>
      <c r="N62" s="13"/>
    </row>
    <row r="63" customFormat="false" ht="15" hidden="false" customHeight="false" outlineLevel="0" collapsed="false">
      <c r="A63" s="31"/>
      <c r="B63" s="13"/>
      <c r="C63" s="13"/>
      <c r="D63" s="32"/>
      <c r="E63" s="32"/>
      <c r="F63" s="14"/>
      <c r="G63" s="23"/>
      <c r="H63" s="16" t="str">
        <f aca="false">IF(F63="","",IF(G63&lt;&gt;"",G63,IF(E63="JPY",IF(ISNUMBER($L$1),ROUND(F63/$L$1,2),"レート未入力"),F63)))</f>
        <v/>
      </c>
      <c r="I63" s="33"/>
      <c r="J63" s="16" t="str">
        <f aca="false">IF(ISNUMBER(H63),ROUND(H63*IF(I63="",1,I63),2),"")</f>
        <v/>
      </c>
      <c r="K63" s="35"/>
      <c r="L63" s="22" t="str">
        <f aca="false">IF(A63="","",IF(A63&lt;DATE(2025,4,6),"2024/25",IF(A63&lt;DATE(2026,4,6),"2025/26",IF(A63&lt;DATE(2027,4,6),"2026/27","2027/28"))))</f>
        <v/>
      </c>
      <c r="N63" s="13"/>
    </row>
    <row r="64" customFormat="false" ht="15" hidden="false" customHeight="false" outlineLevel="0" collapsed="false">
      <c r="A64" s="31"/>
      <c r="B64" s="13"/>
      <c r="C64" s="13"/>
      <c r="D64" s="32"/>
      <c r="E64" s="32"/>
      <c r="F64" s="14"/>
      <c r="G64" s="23"/>
      <c r="H64" s="16" t="str">
        <f aca="false">IF(F64="","",IF(G64&lt;&gt;"",G64,IF(E64="JPY",IF(ISNUMBER($L$1),ROUND(F64/$L$1,2),"レート未入力"),F64)))</f>
        <v/>
      </c>
      <c r="I64" s="33"/>
      <c r="J64" s="16" t="str">
        <f aca="false">IF(ISNUMBER(H64),ROUND(H64*IF(I64="",1,I64),2),"")</f>
        <v/>
      </c>
      <c r="K64" s="35"/>
      <c r="L64" s="22" t="str">
        <f aca="false">IF(A64="","",IF(A64&lt;DATE(2025,4,6),"2024/25",IF(A64&lt;DATE(2026,4,6),"2025/26",IF(A64&lt;DATE(2027,4,6),"2026/27","2027/28"))))</f>
        <v/>
      </c>
      <c r="N64" s="13"/>
    </row>
    <row r="65" customFormat="false" ht="15" hidden="false" customHeight="false" outlineLevel="0" collapsed="false">
      <c r="A65" s="31"/>
      <c r="B65" s="13"/>
      <c r="C65" s="13"/>
      <c r="D65" s="32"/>
      <c r="E65" s="32"/>
      <c r="F65" s="14"/>
      <c r="G65" s="23"/>
      <c r="H65" s="16" t="str">
        <f aca="false">IF(F65="","",IF(G65&lt;&gt;"",G65,IF(E65="JPY",IF(ISNUMBER($L$1),ROUND(F65/$L$1,2),"レート未入力"),F65)))</f>
        <v/>
      </c>
      <c r="I65" s="33"/>
      <c r="J65" s="16" t="str">
        <f aca="false">IF(ISNUMBER(H65),ROUND(H65*IF(I65="",1,I65),2),"")</f>
        <v/>
      </c>
      <c r="K65" s="35"/>
      <c r="L65" s="22" t="str">
        <f aca="false">IF(A65="","",IF(A65&lt;DATE(2025,4,6),"2024/25",IF(A65&lt;DATE(2026,4,6),"2025/26",IF(A65&lt;DATE(2027,4,6),"2026/27","2027/28"))))</f>
        <v/>
      </c>
      <c r="N65" s="13"/>
    </row>
    <row r="66" customFormat="false" ht="15" hidden="false" customHeight="false" outlineLevel="0" collapsed="false">
      <c r="A66" s="31"/>
      <c r="B66" s="13"/>
      <c r="C66" s="13"/>
      <c r="D66" s="32"/>
      <c r="E66" s="32"/>
      <c r="F66" s="14"/>
      <c r="G66" s="23"/>
      <c r="H66" s="16" t="str">
        <f aca="false">IF(F66="","",IF(G66&lt;&gt;"",G66,IF(E66="JPY",IF(ISNUMBER($L$1),ROUND(F66/$L$1,2),"レート未入力"),F66)))</f>
        <v/>
      </c>
      <c r="I66" s="33"/>
      <c r="J66" s="16" t="str">
        <f aca="false">IF(ISNUMBER(H66),ROUND(H66*IF(I66="",1,I66),2),"")</f>
        <v/>
      </c>
      <c r="K66" s="35"/>
      <c r="L66" s="22" t="str">
        <f aca="false">IF(A66="","",IF(A66&lt;DATE(2025,4,6),"2024/25",IF(A66&lt;DATE(2026,4,6),"2025/26",IF(A66&lt;DATE(2027,4,6),"2026/27","2027/28"))))</f>
        <v/>
      </c>
      <c r="N66" s="13"/>
    </row>
    <row r="67" customFormat="false" ht="15" hidden="false" customHeight="false" outlineLevel="0" collapsed="false">
      <c r="A67" s="31"/>
      <c r="B67" s="13"/>
      <c r="C67" s="13"/>
      <c r="D67" s="32"/>
      <c r="E67" s="32"/>
      <c r="F67" s="14"/>
      <c r="G67" s="23"/>
      <c r="H67" s="16" t="str">
        <f aca="false">IF(F67="","",IF(G67&lt;&gt;"",G67,IF(E67="JPY",IF(ISNUMBER($L$1),ROUND(F67/$L$1,2),"レート未入力"),F67)))</f>
        <v/>
      </c>
      <c r="I67" s="33"/>
      <c r="J67" s="16" t="str">
        <f aca="false">IF(ISNUMBER(H67),ROUND(H67*IF(I67="",1,I67),2),"")</f>
        <v/>
      </c>
      <c r="K67" s="35"/>
      <c r="L67" s="22" t="str">
        <f aca="false">IF(A67="","",IF(A67&lt;DATE(2025,4,6),"2024/25",IF(A67&lt;DATE(2026,4,6),"2025/26",IF(A67&lt;DATE(2027,4,6),"2026/27","2027/28"))))</f>
        <v/>
      </c>
      <c r="N67" s="13"/>
    </row>
    <row r="68" customFormat="false" ht="15" hidden="false" customHeight="false" outlineLevel="0" collapsed="false">
      <c r="A68" s="31"/>
      <c r="B68" s="13"/>
      <c r="C68" s="13"/>
      <c r="D68" s="32"/>
      <c r="E68" s="32"/>
      <c r="F68" s="14"/>
      <c r="G68" s="23"/>
      <c r="H68" s="16" t="str">
        <f aca="false">IF(F68="","",IF(G68&lt;&gt;"",G68,IF(E68="JPY",IF(ISNUMBER($L$1),ROUND(F68/$L$1,2),"レート未入力"),F68)))</f>
        <v/>
      </c>
      <c r="I68" s="33"/>
      <c r="J68" s="16" t="str">
        <f aca="false">IF(ISNUMBER(H68),ROUND(H68*IF(I68="",1,I68),2),"")</f>
        <v/>
      </c>
      <c r="K68" s="35"/>
      <c r="L68" s="22" t="str">
        <f aca="false">IF(A68="","",IF(A68&lt;DATE(2025,4,6),"2024/25",IF(A68&lt;DATE(2026,4,6),"2025/26",IF(A68&lt;DATE(2027,4,6),"2026/27","2027/28"))))</f>
        <v/>
      </c>
      <c r="N68" s="13"/>
    </row>
    <row r="69" customFormat="false" ht="15" hidden="false" customHeight="false" outlineLevel="0" collapsed="false">
      <c r="A69" s="31"/>
      <c r="B69" s="13"/>
      <c r="C69" s="13"/>
      <c r="D69" s="32"/>
      <c r="E69" s="32"/>
      <c r="F69" s="14"/>
      <c r="G69" s="23"/>
      <c r="H69" s="16" t="str">
        <f aca="false">IF(F69="","",IF(G69&lt;&gt;"",G69,IF(E69="JPY",IF(ISNUMBER($L$1),ROUND(F69/$L$1,2),"レート未入力"),F69)))</f>
        <v/>
      </c>
      <c r="I69" s="33"/>
      <c r="J69" s="16" t="str">
        <f aca="false">IF(ISNUMBER(H69),ROUND(H69*IF(I69="",1,I69),2),"")</f>
        <v/>
      </c>
      <c r="K69" s="35"/>
      <c r="L69" s="22" t="str">
        <f aca="false">IF(A69="","",IF(A69&lt;DATE(2025,4,6),"2024/25",IF(A69&lt;DATE(2026,4,6),"2025/26",IF(A69&lt;DATE(2027,4,6),"2026/27","2027/28"))))</f>
        <v/>
      </c>
      <c r="N69" s="13"/>
    </row>
    <row r="70" customFormat="false" ht="15" hidden="false" customHeight="false" outlineLevel="0" collapsed="false">
      <c r="A70" s="3" t="s">
        <v>196</v>
      </c>
      <c r="J70" s="18" t="n">
        <f aca="false">SUM(J30:J69)</f>
        <v>0</v>
      </c>
    </row>
    <row r="72" customFormat="false" ht="15" hidden="false" customHeight="false" outlineLevel="0" collapsed="false">
      <c r="A72" s="26" t="s">
        <v>197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customFormat="false" ht="15" hidden="false" customHeight="false" outlineLevel="0" collapsed="false">
      <c r="A73" s="17" t="s">
        <v>137</v>
      </c>
      <c r="D73" s="36" t="s">
        <v>16</v>
      </c>
      <c r="E73" s="36" t="s">
        <v>18</v>
      </c>
      <c r="F73" s="36"/>
    </row>
    <row r="74" customFormat="false" ht="15" hidden="false" customHeight="false" outlineLevel="0" collapsed="false">
      <c r="A74" s="17" t="s">
        <v>183</v>
      </c>
      <c r="D74" s="18" t="n">
        <f aca="false">SUMIFS($H$6:$H$25,$J$6:$J$25,"2025/26")</f>
        <v>0</v>
      </c>
      <c r="E74" s="18" t="n">
        <f aca="false">SUMIFS($H$6:$H$25,$J$6:$J$25,"2026/27")</f>
        <v>0</v>
      </c>
      <c r="F74" s="18"/>
    </row>
    <row r="75" customFormat="false" ht="15" hidden="false" customHeight="false" outlineLevel="0" collapsed="false">
      <c r="A75" s="21" t="s">
        <v>41</v>
      </c>
      <c r="D75" s="16" t="n">
        <f aca="false">SUMIFS($J$30:$J$69,$D$30:$D$69,$A75,$L$30:$L$69,"2025/26")</f>
        <v>0</v>
      </c>
      <c r="E75" s="16" t="n">
        <f aca="false">SUMIFS($J$30:$J$69,$D$30:$D$69,$A75,$L$30:$L$69,"2026/27")</f>
        <v>0</v>
      </c>
      <c r="F75" s="16"/>
    </row>
    <row r="76" customFormat="false" ht="15" hidden="false" customHeight="false" outlineLevel="0" collapsed="false">
      <c r="A76" s="21" t="s">
        <v>43</v>
      </c>
      <c r="D76" s="16" t="n">
        <f aca="false">SUMIFS($J$30:$J$69,$D$30:$D$69,$A76,$L$30:$L$69,"2025/26")</f>
        <v>0</v>
      </c>
      <c r="E76" s="16" t="n">
        <f aca="false">SUMIFS($J$30:$J$69,$D$30:$D$69,$A76,$L$30:$L$69,"2026/27")</f>
        <v>0</v>
      </c>
      <c r="F76" s="16"/>
    </row>
    <row r="77" customFormat="false" ht="15" hidden="false" customHeight="false" outlineLevel="0" collapsed="false">
      <c r="A77" s="21" t="s">
        <v>45</v>
      </c>
      <c r="D77" s="16" t="n">
        <f aca="false">SUMIFS($J$30:$J$69,$D$30:$D$69,$A77,$L$30:$L$69,"2025/26")</f>
        <v>0</v>
      </c>
      <c r="E77" s="16" t="n">
        <f aca="false">SUMIFS($J$30:$J$69,$D$30:$D$69,$A77,$L$30:$L$69,"2026/27")</f>
        <v>0</v>
      </c>
      <c r="F77" s="16"/>
    </row>
    <row r="78" customFormat="false" ht="15" hidden="false" customHeight="false" outlineLevel="0" collapsed="false">
      <c r="A78" s="21" t="s">
        <v>47</v>
      </c>
      <c r="D78" s="16" t="n">
        <f aca="false">SUMIFS($J$30:$J$69,$D$30:$D$69,$A78,$L$30:$L$69,"2025/26")</f>
        <v>0</v>
      </c>
      <c r="E78" s="16" t="n">
        <f aca="false">SUMIFS($J$30:$J$69,$D$30:$D$69,$A78,$L$30:$L$69,"2026/27")</f>
        <v>0</v>
      </c>
      <c r="F78" s="16"/>
    </row>
    <row r="79" customFormat="false" ht="15" hidden="false" customHeight="false" outlineLevel="0" collapsed="false">
      <c r="A79" s="21" t="s">
        <v>49</v>
      </c>
      <c r="D79" s="16" t="n">
        <f aca="false">SUMIFS($J$30:$J$69,$D$30:$D$69,$A79,$L$30:$L$69,"2025/26")</f>
        <v>0</v>
      </c>
      <c r="E79" s="16" t="n">
        <f aca="false">SUMIFS($J$30:$J$69,$D$30:$D$69,$A79,$L$30:$L$69,"2026/27")</f>
        <v>0</v>
      </c>
      <c r="F79" s="16"/>
    </row>
    <row r="80" customFormat="false" ht="15" hidden="false" customHeight="false" outlineLevel="0" collapsed="false">
      <c r="A80" s="21" t="s">
        <v>51</v>
      </c>
      <c r="D80" s="16" t="n">
        <f aca="false">SUMIFS($J$30:$J$69,$D$30:$D$69,$A80,$L$30:$L$69,"2025/26")</f>
        <v>0</v>
      </c>
      <c r="E80" s="16" t="n">
        <f aca="false">SUMIFS($J$30:$J$69,$D$30:$D$69,$A80,$L$30:$L$69,"2026/27")</f>
        <v>0</v>
      </c>
      <c r="F80" s="16"/>
    </row>
    <row r="81" customFormat="false" ht="15" hidden="false" customHeight="false" outlineLevel="0" collapsed="false">
      <c r="A81" s="21" t="s">
        <v>53</v>
      </c>
      <c r="D81" s="16" t="n">
        <f aca="false">SUMIFS($J$30:$J$69,$D$30:$D$69,$A81,$L$30:$L$69,"2025/26")</f>
        <v>0</v>
      </c>
      <c r="E81" s="16" t="n">
        <f aca="false">SUMIFS($J$30:$J$69,$D$30:$D$69,$A81,$L$30:$L$69,"2026/27")</f>
        <v>0</v>
      </c>
      <c r="F81" s="16"/>
    </row>
    <row r="82" customFormat="false" ht="15" hidden="false" customHeight="false" outlineLevel="0" collapsed="false">
      <c r="A82" s="21" t="s">
        <v>55</v>
      </c>
      <c r="D82" s="16" t="n">
        <f aca="false">SUMIFS($J$30:$J$69,$D$30:$D$69,$A82,$L$30:$L$69,"2025/26")</f>
        <v>0</v>
      </c>
      <c r="E82" s="16" t="n">
        <f aca="false">SUMIFS($J$30:$J$69,$D$30:$D$69,$A82,$L$30:$L$69,"2026/27")</f>
        <v>0</v>
      </c>
      <c r="F82" s="16"/>
    </row>
    <row r="83" customFormat="false" ht="15" hidden="false" customHeight="false" outlineLevel="0" collapsed="false">
      <c r="A83" s="21" t="s">
        <v>57</v>
      </c>
      <c r="D83" s="16" t="n">
        <f aca="false">SUMIFS($J$30:$J$69,$D$30:$D$69,$A83,$L$30:$L$69,"2025/26")</f>
        <v>0</v>
      </c>
      <c r="E83" s="16" t="n">
        <f aca="false">SUMIFS($J$30:$J$69,$D$30:$D$69,$A83,$L$30:$L$69,"2026/27")</f>
        <v>0</v>
      </c>
      <c r="F83" s="16"/>
    </row>
    <row r="84" customFormat="false" ht="15" hidden="false" customHeight="false" outlineLevel="0" collapsed="false">
      <c r="A84" s="21" t="s">
        <v>59</v>
      </c>
      <c r="D84" s="16" t="n">
        <f aca="false">SUMIFS($J$30:$J$69,$D$30:$D$69,$A84,$L$30:$L$69,"2025/26")</f>
        <v>0</v>
      </c>
      <c r="E84" s="16" t="n">
        <f aca="false">SUMIFS($J$30:$J$69,$D$30:$D$69,$A84,$L$30:$L$69,"2026/27")</f>
        <v>0</v>
      </c>
      <c r="F84" s="16"/>
    </row>
    <row r="85" customFormat="false" ht="15" hidden="false" customHeight="false" outlineLevel="0" collapsed="false">
      <c r="A85" s="21" t="s">
        <v>61</v>
      </c>
      <c r="D85" s="16" t="n">
        <f aca="false">SUMIFS($J$30:$J$69,$D$30:$D$69,$A85,$L$30:$L$69,"2025/26")</f>
        <v>0</v>
      </c>
      <c r="E85" s="16" t="n">
        <f aca="false">SUMIFS($J$30:$J$69,$D$30:$D$69,$A85,$L$30:$L$69,"2026/27")</f>
        <v>0</v>
      </c>
      <c r="F85" s="16"/>
    </row>
    <row r="86" customFormat="false" ht="15" hidden="false" customHeight="false" outlineLevel="0" collapsed="false">
      <c r="A86" s="21" t="s">
        <v>63</v>
      </c>
      <c r="D86" s="16" t="n">
        <f aca="false">SUMIFS($J$30:$J$69,$D$30:$D$69,$A86,$L$30:$L$69,"2025/26")</f>
        <v>0</v>
      </c>
      <c r="E86" s="16" t="n">
        <f aca="false">SUMIFS($J$30:$J$69,$D$30:$D$69,$A86,$L$30:$L$69,"2026/27")</f>
        <v>0</v>
      </c>
      <c r="F86" s="16"/>
    </row>
    <row r="87" customFormat="false" ht="15" hidden="false" customHeight="false" outlineLevel="0" collapsed="false">
      <c r="A87" s="21" t="s">
        <v>64</v>
      </c>
      <c r="D87" s="16" t="n">
        <f aca="false">SUMIFS($J$30:$J$69,$D$30:$D$69,$A87,$L$30:$L$69,"2025/26")</f>
        <v>0</v>
      </c>
      <c r="E87" s="16" t="n">
        <f aca="false">SUMIFS($J$30:$J$69,$D$30:$D$69,$A87,$L$30:$L$69,"2026/27")</f>
        <v>0</v>
      </c>
      <c r="F87" s="16"/>
    </row>
    <row r="88" customFormat="false" ht="15" hidden="false" customHeight="false" outlineLevel="0" collapsed="false">
      <c r="A88" s="17" t="s">
        <v>198</v>
      </c>
      <c r="D88" s="18" t="n">
        <f aca="false">SUM(D75:D86)</f>
        <v>0</v>
      </c>
      <c r="E88" s="18" t="n">
        <f aca="false">SUM(E75:E86)</f>
        <v>0</v>
      </c>
      <c r="F88" s="18"/>
    </row>
    <row r="89" customFormat="false" ht="15" hidden="false" customHeight="false" outlineLevel="0" collapsed="false">
      <c r="A89" s="17" t="s">
        <v>199</v>
      </c>
      <c r="D89" s="18" t="n">
        <f aca="false">D74-D88-D87</f>
        <v>0</v>
      </c>
      <c r="E89" s="18" t="n">
        <f aca="false">E74-E88-E87</f>
        <v>0</v>
      </c>
      <c r="F89" s="18"/>
    </row>
    <row r="90" customFormat="false" ht="15" hidden="false" customHeight="false" outlineLevel="0" collapsed="false">
      <c r="A90" s="37" t="s">
        <v>200</v>
      </c>
    </row>
    <row r="91" customFormat="false" ht="15" hidden="false" customHeight="false" outlineLevel="0" collapsed="false">
      <c r="A91" s="21" t="s">
        <v>201</v>
      </c>
      <c r="D91" s="16" t="n">
        <f aca="false">SUMIFS($J$30:$J$69,$D$30:$D$69,"")</f>
        <v>0</v>
      </c>
    </row>
  </sheetData>
  <mergeCells count="17"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</mergeCells>
  <dataValidations count="5">
    <dataValidation allowBlank="true" error="0%〜100%で入力してください" errorStyle="stop" operator="between" showDropDown="false" showErrorMessage="true" showInputMessage="false" sqref="I30:I69" type="decimal">
      <formula1>0</formula1>
      <formula2>1</formula2>
    </dataValidation>
    <dataValidation allowBlank="true" errorStyle="stop" operator="between" showDropDown="false" showErrorMessage="false" showInputMessage="false" sqref="E6:E25 E30:E69" type="list">
      <formula1>_list!$B$1:$B$2</formula1>
      <formula2>0</formula2>
    </dataValidation>
    <dataValidation allowBlank="true" errorStyle="stop" operator="between" showDropDown="false" showErrorMessage="false" showInputMessage="false" sqref="D30:D69" type="list">
      <formula1>_list!$A$1:$A$13</formula1>
      <formula2>0</formula2>
    </dataValidation>
    <dataValidation allowBlank="true" errorStyle="stop" operator="between" showDropDown="false" showErrorMessage="false" showInputMessage="false" sqref="D6:D25" type="list">
      <formula1>_list!$C$1:$C$7</formula1>
      <formula2>0</formula2>
    </dataValidation>
    <dataValidation allowBlank="true" error="日付で入力してください（例：2025/5/2）" errorStyle="stop" operator="between" showDropDown="false" showErrorMessage="true" showInputMessage="false" sqref="A6:A25 A30:A69" type="date">
      <formula1>DATE(2025,4,1)</formula1>
      <formula2>DATE(2027,12,31)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24"/>
  </cols>
  <sheetData>
    <row r="1" customFormat="false" ht="19.4" hidden="false" customHeight="false" outlineLevel="0" collapsed="false">
      <c r="A1" s="1" t="s">
        <v>211</v>
      </c>
      <c r="J1" s="3" t="s">
        <v>164</v>
      </c>
      <c r="L1" s="25" t="str">
        <f aca="false">IF(為替レート!$B$15="","未入力",為替レート!$B$15)</f>
        <v>未入力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26" t="s">
        <v>166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customFormat="false" ht="30" hidden="false" customHeight="true" outlineLevel="0" collapsed="false">
      <c r="A5" s="9" t="s">
        <v>167</v>
      </c>
      <c r="B5" s="9" t="s">
        <v>168</v>
      </c>
      <c r="C5" s="9" t="s">
        <v>169</v>
      </c>
      <c r="D5" s="9" t="s">
        <v>170</v>
      </c>
      <c r="E5" s="9" t="s">
        <v>171</v>
      </c>
      <c r="F5" s="9" t="s">
        <v>172</v>
      </c>
      <c r="G5" s="9" t="s">
        <v>173</v>
      </c>
      <c r="H5" s="9" t="s">
        <v>174</v>
      </c>
      <c r="I5" s="9" t="s">
        <v>175</v>
      </c>
      <c r="J5" s="9" t="s">
        <v>176</v>
      </c>
      <c r="K5" s="9"/>
      <c r="L5" s="9"/>
      <c r="M5" s="9"/>
      <c r="N5" s="9" t="s">
        <v>177</v>
      </c>
    </row>
    <row r="6" customFormat="false" ht="15" hidden="false" customHeight="false" outlineLevel="0" collapsed="false">
      <c r="A6" s="31"/>
      <c r="B6" s="13"/>
      <c r="C6" s="13"/>
      <c r="D6" s="32"/>
      <c r="E6" s="32"/>
      <c r="F6" s="14"/>
      <c r="G6" s="23"/>
      <c r="H6" s="16" t="str">
        <f aca="false">IF(F6="","",IF(G6&lt;&gt;"",G6,IF(E6="JPY",IF(ISNUMBER($L$1),ROUND(F6/$L$1,2),"レート未入力"),F6)))</f>
        <v/>
      </c>
      <c r="I6" s="13"/>
      <c r="J6" s="22" t="str">
        <f aca="false">IF(A6="","",IF(A6&lt;DATE(2025,4,6),"2024/25",IF(A6&lt;DATE(2026,4,6),"2025/26",IF(A6&lt;DATE(2027,4,6),"2026/27","2027/28"))))</f>
        <v/>
      </c>
      <c r="N6" s="13"/>
    </row>
    <row r="7" customFormat="false" ht="15" hidden="false" customHeight="false" outlineLevel="0" collapsed="false">
      <c r="A7" s="31"/>
      <c r="B7" s="13"/>
      <c r="C7" s="13"/>
      <c r="D7" s="32"/>
      <c r="E7" s="32"/>
      <c r="F7" s="14"/>
      <c r="G7" s="23"/>
      <c r="H7" s="16" t="str">
        <f aca="false">IF(F7="","",IF(G7&lt;&gt;"",G7,IF(E7="JPY",IF(ISNUMBER($L$1),ROUND(F7/$L$1,2),"レート未入力"),F7)))</f>
        <v/>
      </c>
      <c r="I7" s="13"/>
      <c r="J7" s="22" t="str">
        <f aca="false">IF(A7="","",IF(A7&lt;DATE(2025,4,6),"2024/25",IF(A7&lt;DATE(2026,4,6),"2025/26",IF(A7&lt;DATE(2027,4,6),"2026/27","2027/28"))))</f>
        <v/>
      </c>
      <c r="N7" s="13"/>
    </row>
    <row r="8" customFormat="false" ht="15" hidden="false" customHeight="false" outlineLevel="0" collapsed="false">
      <c r="A8" s="31"/>
      <c r="B8" s="13"/>
      <c r="C8" s="13"/>
      <c r="D8" s="32"/>
      <c r="E8" s="32"/>
      <c r="F8" s="14"/>
      <c r="G8" s="23"/>
      <c r="H8" s="16" t="str">
        <f aca="false">IF(F8="","",IF(G8&lt;&gt;"",G8,IF(E8="JPY",IF(ISNUMBER($L$1),ROUND(F8/$L$1,2),"レート未入力"),F8)))</f>
        <v/>
      </c>
      <c r="I8" s="13"/>
      <c r="J8" s="22" t="str">
        <f aca="false">IF(A8="","",IF(A8&lt;DATE(2025,4,6),"2024/25",IF(A8&lt;DATE(2026,4,6),"2025/26",IF(A8&lt;DATE(2027,4,6),"2026/27","2027/28"))))</f>
        <v/>
      </c>
      <c r="N8" s="13"/>
    </row>
    <row r="9" customFormat="false" ht="15" hidden="false" customHeight="false" outlineLevel="0" collapsed="false">
      <c r="A9" s="31"/>
      <c r="B9" s="13"/>
      <c r="C9" s="13"/>
      <c r="D9" s="32"/>
      <c r="E9" s="32"/>
      <c r="F9" s="14"/>
      <c r="G9" s="23"/>
      <c r="H9" s="16" t="str">
        <f aca="false">IF(F9="","",IF(G9&lt;&gt;"",G9,IF(E9="JPY",IF(ISNUMBER($L$1),ROUND(F9/$L$1,2),"レート未入力"),F9)))</f>
        <v/>
      </c>
      <c r="I9" s="13"/>
      <c r="J9" s="22" t="str">
        <f aca="false">IF(A9="","",IF(A9&lt;DATE(2025,4,6),"2024/25",IF(A9&lt;DATE(2026,4,6),"2025/26",IF(A9&lt;DATE(2027,4,6),"2026/27","2027/28"))))</f>
        <v/>
      </c>
      <c r="N9" s="13"/>
    </row>
    <row r="10" customFormat="false" ht="15" hidden="false" customHeight="false" outlineLevel="0" collapsed="false">
      <c r="A10" s="31"/>
      <c r="B10" s="13"/>
      <c r="C10" s="13"/>
      <c r="D10" s="32"/>
      <c r="E10" s="32"/>
      <c r="F10" s="14"/>
      <c r="G10" s="23"/>
      <c r="H10" s="16" t="str">
        <f aca="false">IF(F10="","",IF(G10&lt;&gt;"",G10,IF(E10="JPY",IF(ISNUMBER($L$1),ROUND(F10/$L$1,2),"レート未入力"),F10)))</f>
        <v/>
      </c>
      <c r="I10" s="13"/>
      <c r="J10" s="22" t="str">
        <f aca="false">IF(A10="","",IF(A10&lt;DATE(2025,4,6),"2024/25",IF(A10&lt;DATE(2026,4,6),"2025/26",IF(A10&lt;DATE(2027,4,6),"2026/27","2027/28"))))</f>
        <v/>
      </c>
      <c r="N10" s="13"/>
    </row>
    <row r="11" customFormat="false" ht="15" hidden="false" customHeight="false" outlineLevel="0" collapsed="false">
      <c r="A11" s="31"/>
      <c r="B11" s="13"/>
      <c r="C11" s="13"/>
      <c r="D11" s="32"/>
      <c r="E11" s="32"/>
      <c r="F11" s="14"/>
      <c r="G11" s="23"/>
      <c r="H11" s="16" t="str">
        <f aca="false">IF(F11="","",IF(G11&lt;&gt;"",G11,IF(E11="JPY",IF(ISNUMBER($L$1),ROUND(F11/$L$1,2),"レート未入力"),F11)))</f>
        <v/>
      </c>
      <c r="I11" s="13"/>
      <c r="J11" s="22" t="str">
        <f aca="false">IF(A11="","",IF(A11&lt;DATE(2025,4,6),"2024/25",IF(A11&lt;DATE(2026,4,6),"2025/26",IF(A11&lt;DATE(2027,4,6),"2026/27","2027/28"))))</f>
        <v/>
      </c>
      <c r="N11" s="13"/>
    </row>
    <row r="12" customFormat="false" ht="15" hidden="false" customHeight="false" outlineLevel="0" collapsed="false">
      <c r="A12" s="31"/>
      <c r="B12" s="13"/>
      <c r="C12" s="13"/>
      <c r="D12" s="32"/>
      <c r="E12" s="32"/>
      <c r="F12" s="14"/>
      <c r="G12" s="23"/>
      <c r="H12" s="16" t="str">
        <f aca="false">IF(F12="","",IF(G12&lt;&gt;"",G12,IF(E12="JPY",IF(ISNUMBER($L$1),ROUND(F12/$L$1,2),"レート未入力"),F12)))</f>
        <v/>
      </c>
      <c r="I12" s="13"/>
      <c r="J12" s="22" t="str">
        <f aca="false">IF(A12="","",IF(A12&lt;DATE(2025,4,6),"2024/25",IF(A12&lt;DATE(2026,4,6),"2025/26",IF(A12&lt;DATE(2027,4,6),"2026/27","2027/28"))))</f>
        <v/>
      </c>
      <c r="N12" s="13"/>
    </row>
    <row r="13" customFormat="false" ht="15" hidden="false" customHeight="false" outlineLevel="0" collapsed="false">
      <c r="A13" s="31"/>
      <c r="B13" s="13"/>
      <c r="C13" s="13"/>
      <c r="D13" s="32"/>
      <c r="E13" s="32"/>
      <c r="F13" s="14"/>
      <c r="G13" s="23"/>
      <c r="H13" s="16" t="str">
        <f aca="false">IF(F13="","",IF(G13&lt;&gt;"",G13,IF(E13="JPY",IF(ISNUMBER($L$1),ROUND(F13/$L$1,2),"レート未入力"),F13)))</f>
        <v/>
      </c>
      <c r="I13" s="13"/>
      <c r="J13" s="22" t="str">
        <f aca="false">IF(A13="","",IF(A13&lt;DATE(2025,4,6),"2024/25",IF(A13&lt;DATE(2026,4,6),"2025/26",IF(A13&lt;DATE(2027,4,6),"2026/27","2027/28"))))</f>
        <v/>
      </c>
      <c r="N13" s="13"/>
    </row>
    <row r="14" customFormat="false" ht="15" hidden="false" customHeight="false" outlineLevel="0" collapsed="false">
      <c r="A14" s="31"/>
      <c r="B14" s="13"/>
      <c r="C14" s="13"/>
      <c r="D14" s="32"/>
      <c r="E14" s="32"/>
      <c r="F14" s="14"/>
      <c r="G14" s="23"/>
      <c r="H14" s="16" t="str">
        <f aca="false">IF(F14="","",IF(G14&lt;&gt;"",G14,IF(E14="JPY",IF(ISNUMBER($L$1),ROUND(F14/$L$1,2),"レート未入力"),F14)))</f>
        <v/>
      </c>
      <c r="I14" s="13"/>
      <c r="J14" s="22" t="str">
        <f aca="false">IF(A14="","",IF(A14&lt;DATE(2025,4,6),"2024/25",IF(A14&lt;DATE(2026,4,6),"2025/26",IF(A14&lt;DATE(2027,4,6),"2026/27","2027/28"))))</f>
        <v/>
      </c>
      <c r="N14" s="13"/>
    </row>
    <row r="15" customFormat="false" ht="15" hidden="false" customHeight="false" outlineLevel="0" collapsed="false">
      <c r="A15" s="31"/>
      <c r="B15" s="13"/>
      <c r="C15" s="13"/>
      <c r="D15" s="32"/>
      <c r="E15" s="32"/>
      <c r="F15" s="14"/>
      <c r="G15" s="23"/>
      <c r="H15" s="16" t="str">
        <f aca="false">IF(F15="","",IF(G15&lt;&gt;"",G15,IF(E15="JPY",IF(ISNUMBER($L$1),ROUND(F15/$L$1,2),"レート未入力"),F15)))</f>
        <v/>
      </c>
      <c r="I15" s="13"/>
      <c r="J15" s="22" t="str">
        <f aca="false">IF(A15="","",IF(A15&lt;DATE(2025,4,6),"2024/25",IF(A15&lt;DATE(2026,4,6),"2025/26",IF(A15&lt;DATE(2027,4,6),"2026/27","2027/28"))))</f>
        <v/>
      </c>
      <c r="N15" s="13"/>
    </row>
    <row r="16" customFormat="false" ht="15" hidden="false" customHeight="false" outlineLevel="0" collapsed="false">
      <c r="A16" s="31"/>
      <c r="B16" s="13"/>
      <c r="C16" s="13"/>
      <c r="D16" s="32"/>
      <c r="E16" s="32"/>
      <c r="F16" s="14"/>
      <c r="G16" s="23"/>
      <c r="H16" s="16" t="str">
        <f aca="false">IF(F16="","",IF(G16&lt;&gt;"",G16,IF(E16="JPY",IF(ISNUMBER($L$1),ROUND(F16/$L$1,2),"レート未入力"),F16)))</f>
        <v/>
      </c>
      <c r="I16" s="13"/>
      <c r="J16" s="22" t="str">
        <f aca="false">IF(A16="","",IF(A16&lt;DATE(2025,4,6),"2024/25",IF(A16&lt;DATE(2026,4,6),"2025/26",IF(A16&lt;DATE(2027,4,6),"2026/27","2027/28"))))</f>
        <v/>
      </c>
      <c r="N16" s="13"/>
    </row>
    <row r="17" customFormat="false" ht="15" hidden="false" customHeight="false" outlineLevel="0" collapsed="false">
      <c r="A17" s="31"/>
      <c r="B17" s="13"/>
      <c r="C17" s="13"/>
      <c r="D17" s="32"/>
      <c r="E17" s="32"/>
      <c r="F17" s="14"/>
      <c r="G17" s="23"/>
      <c r="H17" s="16" t="str">
        <f aca="false">IF(F17="","",IF(G17&lt;&gt;"",G17,IF(E17="JPY",IF(ISNUMBER($L$1),ROUND(F17/$L$1,2),"レート未入力"),F17)))</f>
        <v/>
      </c>
      <c r="I17" s="13"/>
      <c r="J17" s="22" t="str">
        <f aca="false">IF(A17="","",IF(A17&lt;DATE(2025,4,6),"2024/25",IF(A17&lt;DATE(2026,4,6),"2025/26",IF(A17&lt;DATE(2027,4,6),"2026/27","2027/28"))))</f>
        <v/>
      </c>
      <c r="N17" s="13"/>
    </row>
    <row r="18" customFormat="false" ht="15" hidden="false" customHeight="false" outlineLevel="0" collapsed="false">
      <c r="A18" s="31"/>
      <c r="B18" s="13"/>
      <c r="C18" s="13"/>
      <c r="D18" s="32"/>
      <c r="E18" s="32"/>
      <c r="F18" s="14"/>
      <c r="G18" s="23"/>
      <c r="H18" s="16" t="str">
        <f aca="false">IF(F18="","",IF(G18&lt;&gt;"",G18,IF(E18="JPY",IF(ISNUMBER($L$1),ROUND(F18/$L$1,2),"レート未入力"),F18)))</f>
        <v/>
      </c>
      <c r="I18" s="13"/>
      <c r="J18" s="22" t="str">
        <f aca="false">IF(A18="","",IF(A18&lt;DATE(2025,4,6),"2024/25",IF(A18&lt;DATE(2026,4,6),"2025/26",IF(A18&lt;DATE(2027,4,6),"2026/27","2027/28"))))</f>
        <v/>
      </c>
      <c r="N18" s="13"/>
    </row>
    <row r="19" customFormat="false" ht="15" hidden="false" customHeight="false" outlineLevel="0" collapsed="false">
      <c r="A19" s="31"/>
      <c r="B19" s="13"/>
      <c r="C19" s="13"/>
      <c r="D19" s="32"/>
      <c r="E19" s="32"/>
      <c r="F19" s="14"/>
      <c r="G19" s="23"/>
      <c r="H19" s="16" t="str">
        <f aca="false">IF(F19="","",IF(G19&lt;&gt;"",G19,IF(E19="JPY",IF(ISNUMBER($L$1),ROUND(F19/$L$1,2),"レート未入力"),F19)))</f>
        <v/>
      </c>
      <c r="I19" s="13"/>
      <c r="J19" s="22" t="str">
        <f aca="false">IF(A19="","",IF(A19&lt;DATE(2025,4,6),"2024/25",IF(A19&lt;DATE(2026,4,6),"2025/26",IF(A19&lt;DATE(2027,4,6),"2026/27","2027/28"))))</f>
        <v/>
      </c>
      <c r="N19" s="13"/>
    </row>
    <row r="20" customFormat="false" ht="15" hidden="false" customHeight="false" outlineLevel="0" collapsed="false">
      <c r="A20" s="31"/>
      <c r="B20" s="13"/>
      <c r="C20" s="13"/>
      <c r="D20" s="32"/>
      <c r="E20" s="32"/>
      <c r="F20" s="14"/>
      <c r="G20" s="23"/>
      <c r="H20" s="16" t="str">
        <f aca="false">IF(F20="","",IF(G20&lt;&gt;"",G20,IF(E20="JPY",IF(ISNUMBER($L$1),ROUND(F20/$L$1,2),"レート未入力"),F20)))</f>
        <v/>
      </c>
      <c r="I20" s="13"/>
      <c r="J20" s="22" t="str">
        <f aca="false">IF(A20="","",IF(A20&lt;DATE(2025,4,6),"2024/25",IF(A20&lt;DATE(2026,4,6),"2025/26",IF(A20&lt;DATE(2027,4,6),"2026/27","2027/28"))))</f>
        <v/>
      </c>
      <c r="N20" s="13"/>
    </row>
    <row r="21" customFormat="false" ht="15" hidden="false" customHeight="false" outlineLevel="0" collapsed="false">
      <c r="A21" s="31"/>
      <c r="B21" s="13"/>
      <c r="C21" s="13"/>
      <c r="D21" s="32"/>
      <c r="E21" s="32"/>
      <c r="F21" s="14"/>
      <c r="G21" s="23"/>
      <c r="H21" s="16" t="str">
        <f aca="false">IF(F21="","",IF(G21&lt;&gt;"",G21,IF(E21="JPY",IF(ISNUMBER($L$1),ROUND(F21/$L$1,2),"レート未入力"),F21)))</f>
        <v/>
      </c>
      <c r="I21" s="13"/>
      <c r="J21" s="22" t="str">
        <f aca="false">IF(A21="","",IF(A21&lt;DATE(2025,4,6),"2024/25",IF(A21&lt;DATE(2026,4,6),"2025/26",IF(A21&lt;DATE(2027,4,6),"2026/27","2027/28"))))</f>
        <v/>
      </c>
      <c r="N21" s="13"/>
    </row>
    <row r="22" customFormat="false" ht="15" hidden="false" customHeight="false" outlineLevel="0" collapsed="false">
      <c r="A22" s="31"/>
      <c r="B22" s="13"/>
      <c r="C22" s="13"/>
      <c r="D22" s="32"/>
      <c r="E22" s="32"/>
      <c r="F22" s="14"/>
      <c r="G22" s="23"/>
      <c r="H22" s="16" t="str">
        <f aca="false">IF(F22="","",IF(G22&lt;&gt;"",G22,IF(E22="JPY",IF(ISNUMBER($L$1),ROUND(F22/$L$1,2),"レート未入力"),F22)))</f>
        <v/>
      </c>
      <c r="I22" s="13"/>
      <c r="J22" s="22" t="str">
        <f aca="false">IF(A22="","",IF(A22&lt;DATE(2025,4,6),"2024/25",IF(A22&lt;DATE(2026,4,6),"2025/26",IF(A22&lt;DATE(2027,4,6),"2026/27","2027/28"))))</f>
        <v/>
      </c>
      <c r="N22" s="13"/>
    </row>
    <row r="23" customFormat="false" ht="15" hidden="false" customHeight="false" outlineLevel="0" collapsed="false">
      <c r="A23" s="31"/>
      <c r="B23" s="13"/>
      <c r="C23" s="13"/>
      <c r="D23" s="32"/>
      <c r="E23" s="32"/>
      <c r="F23" s="14"/>
      <c r="G23" s="23"/>
      <c r="H23" s="16" t="str">
        <f aca="false">IF(F23="","",IF(G23&lt;&gt;"",G23,IF(E23="JPY",IF(ISNUMBER($L$1),ROUND(F23/$L$1,2),"レート未入力"),F23)))</f>
        <v/>
      </c>
      <c r="I23" s="13"/>
      <c r="J23" s="22" t="str">
        <f aca="false">IF(A23="","",IF(A23&lt;DATE(2025,4,6),"2024/25",IF(A23&lt;DATE(2026,4,6),"2025/26",IF(A23&lt;DATE(2027,4,6),"2026/27","2027/28"))))</f>
        <v/>
      </c>
      <c r="N23" s="13"/>
    </row>
    <row r="24" customFormat="false" ht="15" hidden="false" customHeight="false" outlineLevel="0" collapsed="false">
      <c r="A24" s="31"/>
      <c r="B24" s="13"/>
      <c r="C24" s="13"/>
      <c r="D24" s="32"/>
      <c r="E24" s="32"/>
      <c r="F24" s="14"/>
      <c r="G24" s="23"/>
      <c r="H24" s="16" t="str">
        <f aca="false">IF(F24="","",IF(G24&lt;&gt;"",G24,IF(E24="JPY",IF(ISNUMBER($L$1),ROUND(F24/$L$1,2),"レート未入力"),F24)))</f>
        <v/>
      </c>
      <c r="I24" s="13"/>
      <c r="J24" s="22" t="str">
        <f aca="false">IF(A24="","",IF(A24&lt;DATE(2025,4,6),"2024/25",IF(A24&lt;DATE(2026,4,6),"2025/26",IF(A24&lt;DATE(2027,4,6),"2026/27","2027/28"))))</f>
        <v/>
      </c>
      <c r="N24" s="13"/>
    </row>
    <row r="25" customFormat="false" ht="15" hidden="false" customHeight="false" outlineLevel="0" collapsed="false">
      <c r="A25" s="31"/>
      <c r="B25" s="13"/>
      <c r="C25" s="13"/>
      <c r="D25" s="32"/>
      <c r="E25" s="32"/>
      <c r="F25" s="14"/>
      <c r="G25" s="23"/>
      <c r="H25" s="16" t="str">
        <f aca="false">IF(F25="","",IF(G25&lt;&gt;"",G25,IF(E25="JPY",IF(ISNUMBER($L$1),ROUND(F25/$L$1,2),"レート未入力"),F25)))</f>
        <v/>
      </c>
      <c r="I25" s="13"/>
      <c r="J25" s="22" t="str">
        <f aca="false">IF(A25="","",IF(A25&lt;DATE(2025,4,6),"2024/25",IF(A25&lt;DATE(2026,4,6),"2025/26",IF(A25&lt;DATE(2027,4,6),"2026/27","2027/28"))))</f>
        <v/>
      </c>
      <c r="N25" s="13"/>
    </row>
    <row r="26" customFormat="false" ht="15" hidden="false" customHeight="false" outlineLevel="0" collapsed="false">
      <c r="A26" s="3" t="s">
        <v>183</v>
      </c>
      <c r="H26" s="18" t="n">
        <f aca="false">SUM(H6:H25)</f>
        <v>0</v>
      </c>
    </row>
    <row r="28" customFormat="false" ht="15" hidden="false" customHeight="false" outlineLevel="0" collapsed="false">
      <c r="A28" s="26" t="s">
        <v>184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</row>
    <row r="29" customFormat="false" ht="30" hidden="false" customHeight="true" outlineLevel="0" collapsed="false">
      <c r="A29" s="9" t="s">
        <v>167</v>
      </c>
      <c r="B29" s="9" t="s">
        <v>185</v>
      </c>
      <c r="C29" s="9" t="s">
        <v>169</v>
      </c>
      <c r="D29" s="9" t="s">
        <v>38</v>
      </c>
      <c r="E29" s="9" t="s">
        <v>171</v>
      </c>
      <c r="F29" s="9" t="s">
        <v>172</v>
      </c>
      <c r="G29" s="9" t="s">
        <v>173</v>
      </c>
      <c r="H29" s="10" t="s">
        <v>186</v>
      </c>
      <c r="I29" s="9" t="s">
        <v>187</v>
      </c>
      <c r="J29" s="9" t="s">
        <v>188</v>
      </c>
      <c r="K29" s="9" t="s">
        <v>189</v>
      </c>
      <c r="L29" s="9" t="s">
        <v>176</v>
      </c>
      <c r="M29" s="9"/>
      <c r="N29" s="9" t="s">
        <v>177</v>
      </c>
    </row>
    <row r="30" customFormat="false" ht="15" hidden="false" customHeight="false" outlineLevel="0" collapsed="false">
      <c r="A30" s="31"/>
      <c r="B30" s="13"/>
      <c r="C30" s="13"/>
      <c r="D30" s="32"/>
      <c r="E30" s="32"/>
      <c r="F30" s="14"/>
      <c r="G30" s="23"/>
      <c r="H30" s="16" t="str">
        <f aca="false">IF(F30="","",IF(G30&lt;&gt;"",G30,IF(E30="JPY",IF(ISNUMBER($L$1),ROUND(F30/$L$1,2),"レート未入力"),F30)))</f>
        <v/>
      </c>
      <c r="I30" s="33"/>
      <c r="J30" s="16" t="str">
        <f aca="false">IF(ISNUMBER(H30),ROUND(H30*IF(I30="",1,I30),2),"")</f>
        <v/>
      </c>
      <c r="K30" s="35"/>
      <c r="L30" s="22" t="str">
        <f aca="false">IF(A30="","",IF(A30&lt;DATE(2025,4,6),"2024/25",IF(A30&lt;DATE(2026,4,6),"2025/26",IF(A30&lt;DATE(2027,4,6),"2026/27","2027/28"))))</f>
        <v/>
      </c>
      <c r="N30" s="13"/>
    </row>
    <row r="31" customFormat="false" ht="15" hidden="false" customHeight="false" outlineLevel="0" collapsed="false">
      <c r="A31" s="31"/>
      <c r="B31" s="13"/>
      <c r="C31" s="13"/>
      <c r="D31" s="32"/>
      <c r="E31" s="32"/>
      <c r="F31" s="14"/>
      <c r="G31" s="23"/>
      <c r="H31" s="16" t="str">
        <f aca="false">IF(F31="","",IF(G31&lt;&gt;"",G31,IF(E31="JPY",IF(ISNUMBER($L$1),ROUND(F31/$L$1,2),"レート未入力"),F31)))</f>
        <v/>
      </c>
      <c r="I31" s="33"/>
      <c r="J31" s="16" t="str">
        <f aca="false">IF(ISNUMBER(H31),ROUND(H31*IF(I31="",1,I31),2),"")</f>
        <v/>
      </c>
      <c r="K31" s="35"/>
      <c r="L31" s="22" t="str">
        <f aca="false">IF(A31="","",IF(A31&lt;DATE(2025,4,6),"2024/25",IF(A31&lt;DATE(2026,4,6),"2025/26",IF(A31&lt;DATE(2027,4,6),"2026/27","2027/28"))))</f>
        <v/>
      </c>
      <c r="N31" s="13"/>
    </row>
    <row r="32" customFormat="false" ht="15" hidden="false" customHeight="false" outlineLevel="0" collapsed="false">
      <c r="A32" s="31"/>
      <c r="B32" s="13"/>
      <c r="C32" s="13"/>
      <c r="D32" s="32"/>
      <c r="E32" s="32"/>
      <c r="F32" s="14"/>
      <c r="G32" s="23"/>
      <c r="H32" s="16" t="str">
        <f aca="false">IF(F32="","",IF(G32&lt;&gt;"",G32,IF(E32="JPY",IF(ISNUMBER($L$1),ROUND(F32/$L$1,2),"レート未入力"),F32)))</f>
        <v/>
      </c>
      <c r="I32" s="33"/>
      <c r="J32" s="16" t="str">
        <f aca="false">IF(ISNUMBER(H32),ROUND(H32*IF(I32="",1,I32),2),"")</f>
        <v/>
      </c>
      <c r="K32" s="35"/>
      <c r="L32" s="22" t="str">
        <f aca="false">IF(A32="","",IF(A32&lt;DATE(2025,4,6),"2024/25",IF(A32&lt;DATE(2026,4,6),"2025/26",IF(A32&lt;DATE(2027,4,6),"2026/27","2027/28"))))</f>
        <v/>
      </c>
      <c r="N32" s="13"/>
    </row>
    <row r="33" customFormat="false" ht="15" hidden="false" customHeight="false" outlineLevel="0" collapsed="false">
      <c r="A33" s="31"/>
      <c r="B33" s="13"/>
      <c r="C33" s="13"/>
      <c r="D33" s="32"/>
      <c r="E33" s="32"/>
      <c r="F33" s="14"/>
      <c r="G33" s="23"/>
      <c r="H33" s="16" t="str">
        <f aca="false">IF(F33="","",IF(G33&lt;&gt;"",G33,IF(E33="JPY",IF(ISNUMBER($L$1),ROUND(F33/$L$1,2),"レート未入力"),F33)))</f>
        <v/>
      </c>
      <c r="I33" s="33"/>
      <c r="J33" s="16" t="str">
        <f aca="false">IF(ISNUMBER(H33),ROUND(H33*IF(I33="",1,I33),2),"")</f>
        <v/>
      </c>
      <c r="K33" s="35"/>
      <c r="L33" s="22" t="str">
        <f aca="false">IF(A33="","",IF(A33&lt;DATE(2025,4,6),"2024/25",IF(A33&lt;DATE(2026,4,6),"2025/26",IF(A33&lt;DATE(2027,4,6),"2026/27","2027/28"))))</f>
        <v/>
      </c>
      <c r="N33" s="13"/>
    </row>
    <row r="34" customFormat="false" ht="15" hidden="false" customHeight="false" outlineLevel="0" collapsed="false">
      <c r="A34" s="31"/>
      <c r="B34" s="13"/>
      <c r="C34" s="13"/>
      <c r="D34" s="32"/>
      <c r="E34" s="32"/>
      <c r="F34" s="14"/>
      <c r="G34" s="23"/>
      <c r="H34" s="16" t="str">
        <f aca="false">IF(F34="","",IF(G34&lt;&gt;"",G34,IF(E34="JPY",IF(ISNUMBER($L$1),ROUND(F34/$L$1,2),"レート未入力"),F34)))</f>
        <v/>
      </c>
      <c r="I34" s="33"/>
      <c r="J34" s="16" t="str">
        <f aca="false">IF(ISNUMBER(H34),ROUND(H34*IF(I34="",1,I34),2),"")</f>
        <v/>
      </c>
      <c r="K34" s="35"/>
      <c r="L34" s="22" t="str">
        <f aca="false">IF(A34="","",IF(A34&lt;DATE(2025,4,6),"2024/25",IF(A34&lt;DATE(2026,4,6),"2025/26",IF(A34&lt;DATE(2027,4,6),"2026/27","2027/28"))))</f>
        <v/>
      </c>
      <c r="N34" s="13"/>
    </row>
    <row r="35" customFormat="false" ht="15" hidden="false" customHeight="false" outlineLevel="0" collapsed="false">
      <c r="A35" s="31"/>
      <c r="B35" s="13"/>
      <c r="C35" s="13"/>
      <c r="D35" s="32"/>
      <c r="E35" s="32"/>
      <c r="F35" s="14"/>
      <c r="G35" s="23"/>
      <c r="H35" s="16" t="str">
        <f aca="false">IF(F35="","",IF(G35&lt;&gt;"",G35,IF(E35="JPY",IF(ISNUMBER($L$1),ROUND(F35/$L$1,2),"レート未入力"),F35)))</f>
        <v/>
      </c>
      <c r="I35" s="33"/>
      <c r="J35" s="16" t="str">
        <f aca="false">IF(ISNUMBER(H35),ROUND(H35*IF(I35="",1,I35),2),"")</f>
        <v/>
      </c>
      <c r="K35" s="35"/>
      <c r="L35" s="22" t="str">
        <f aca="false">IF(A35="","",IF(A35&lt;DATE(2025,4,6),"2024/25",IF(A35&lt;DATE(2026,4,6),"2025/26",IF(A35&lt;DATE(2027,4,6),"2026/27","2027/28"))))</f>
        <v/>
      </c>
      <c r="N35" s="13"/>
    </row>
    <row r="36" customFormat="false" ht="15" hidden="false" customHeight="false" outlineLevel="0" collapsed="false">
      <c r="A36" s="31"/>
      <c r="B36" s="13"/>
      <c r="C36" s="13"/>
      <c r="D36" s="32"/>
      <c r="E36" s="32"/>
      <c r="F36" s="14"/>
      <c r="G36" s="23"/>
      <c r="H36" s="16" t="str">
        <f aca="false">IF(F36="","",IF(G36&lt;&gt;"",G36,IF(E36="JPY",IF(ISNUMBER($L$1),ROUND(F36/$L$1,2),"レート未入力"),F36)))</f>
        <v/>
      </c>
      <c r="I36" s="33"/>
      <c r="J36" s="16" t="str">
        <f aca="false">IF(ISNUMBER(H36),ROUND(H36*IF(I36="",1,I36),2),"")</f>
        <v/>
      </c>
      <c r="K36" s="35"/>
      <c r="L36" s="22" t="str">
        <f aca="false">IF(A36="","",IF(A36&lt;DATE(2025,4,6),"2024/25",IF(A36&lt;DATE(2026,4,6),"2025/26",IF(A36&lt;DATE(2027,4,6),"2026/27","2027/28"))))</f>
        <v/>
      </c>
      <c r="N36" s="13"/>
    </row>
    <row r="37" customFormat="false" ht="15" hidden="false" customHeight="false" outlineLevel="0" collapsed="false">
      <c r="A37" s="31"/>
      <c r="B37" s="13"/>
      <c r="C37" s="13"/>
      <c r="D37" s="32"/>
      <c r="E37" s="32"/>
      <c r="F37" s="14"/>
      <c r="G37" s="23"/>
      <c r="H37" s="16" t="str">
        <f aca="false">IF(F37="","",IF(G37&lt;&gt;"",G37,IF(E37="JPY",IF(ISNUMBER($L$1),ROUND(F37/$L$1,2),"レート未入力"),F37)))</f>
        <v/>
      </c>
      <c r="I37" s="33"/>
      <c r="J37" s="16" t="str">
        <f aca="false">IF(ISNUMBER(H37),ROUND(H37*IF(I37="",1,I37),2),"")</f>
        <v/>
      </c>
      <c r="K37" s="35"/>
      <c r="L37" s="22" t="str">
        <f aca="false">IF(A37="","",IF(A37&lt;DATE(2025,4,6),"2024/25",IF(A37&lt;DATE(2026,4,6),"2025/26",IF(A37&lt;DATE(2027,4,6),"2026/27","2027/28"))))</f>
        <v/>
      </c>
      <c r="N37" s="13"/>
    </row>
    <row r="38" customFormat="false" ht="15" hidden="false" customHeight="false" outlineLevel="0" collapsed="false">
      <c r="A38" s="31"/>
      <c r="B38" s="13"/>
      <c r="C38" s="13"/>
      <c r="D38" s="32"/>
      <c r="E38" s="32"/>
      <c r="F38" s="14"/>
      <c r="G38" s="23"/>
      <c r="H38" s="16" t="str">
        <f aca="false">IF(F38="","",IF(G38&lt;&gt;"",G38,IF(E38="JPY",IF(ISNUMBER($L$1),ROUND(F38/$L$1,2),"レート未入力"),F38)))</f>
        <v/>
      </c>
      <c r="I38" s="33"/>
      <c r="J38" s="16" t="str">
        <f aca="false">IF(ISNUMBER(H38),ROUND(H38*IF(I38="",1,I38),2),"")</f>
        <v/>
      </c>
      <c r="K38" s="35"/>
      <c r="L38" s="22" t="str">
        <f aca="false">IF(A38="","",IF(A38&lt;DATE(2025,4,6),"2024/25",IF(A38&lt;DATE(2026,4,6),"2025/26",IF(A38&lt;DATE(2027,4,6),"2026/27","2027/28"))))</f>
        <v/>
      </c>
      <c r="N38" s="13"/>
    </row>
    <row r="39" customFormat="false" ht="15" hidden="false" customHeight="false" outlineLevel="0" collapsed="false">
      <c r="A39" s="31"/>
      <c r="B39" s="13"/>
      <c r="C39" s="13"/>
      <c r="D39" s="32"/>
      <c r="E39" s="32"/>
      <c r="F39" s="14"/>
      <c r="G39" s="23"/>
      <c r="H39" s="16" t="str">
        <f aca="false">IF(F39="","",IF(G39&lt;&gt;"",G39,IF(E39="JPY",IF(ISNUMBER($L$1),ROUND(F39/$L$1,2),"レート未入力"),F39)))</f>
        <v/>
      </c>
      <c r="I39" s="33"/>
      <c r="J39" s="16" t="str">
        <f aca="false">IF(ISNUMBER(H39),ROUND(H39*IF(I39="",1,I39),2),"")</f>
        <v/>
      </c>
      <c r="K39" s="35"/>
      <c r="L39" s="22" t="str">
        <f aca="false">IF(A39="","",IF(A39&lt;DATE(2025,4,6),"2024/25",IF(A39&lt;DATE(2026,4,6),"2025/26",IF(A39&lt;DATE(2027,4,6),"2026/27","2027/28"))))</f>
        <v/>
      </c>
      <c r="N39" s="13"/>
    </row>
    <row r="40" customFormat="false" ht="15" hidden="false" customHeight="false" outlineLevel="0" collapsed="false">
      <c r="A40" s="31"/>
      <c r="B40" s="13"/>
      <c r="C40" s="13"/>
      <c r="D40" s="32"/>
      <c r="E40" s="32"/>
      <c r="F40" s="14"/>
      <c r="G40" s="23"/>
      <c r="H40" s="16" t="str">
        <f aca="false">IF(F40="","",IF(G40&lt;&gt;"",G40,IF(E40="JPY",IF(ISNUMBER($L$1),ROUND(F40/$L$1,2),"レート未入力"),F40)))</f>
        <v/>
      </c>
      <c r="I40" s="33"/>
      <c r="J40" s="16" t="str">
        <f aca="false">IF(ISNUMBER(H40),ROUND(H40*IF(I40="",1,I40),2),"")</f>
        <v/>
      </c>
      <c r="K40" s="35"/>
      <c r="L40" s="22" t="str">
        <f aca="false">IF(A40="","",IF(A40&lt;DATE(2025,4,6),"2024/25",IF(A40&lt;DATE(2026,4,6),"2025/26",IF(A40&lt;DATE(2027,4,6),"2026/27","2027/28"))))</f>
        <v/>
      </c>
      <c r="N40" s="13"/>
    </row>
    <row r="41" customFormat="false" ht="15" hidden="false" customHeight="false" outlineLevel="0" collapsed="false">
      <c r="A41" s="31"/>
      <c r="B41" s="13"/>
      <c r="C41" s="13"/>
      <c r="D41" s="32"/>
      <c r="E41" s="32"/>
      <c r="F41" s="14"/>
      <c r="G41" s="23"/>
      <c r="H41" s="16" t="str">
        <f aca="false">IF(F41="","",IF(G41&lt;&gt;"",G41,IF(E41="JPY",IF(ISNUMBER($L$1),ROUND(F41/$L$1,2),"レート未入力"),F41)))</f>
        <v/>
      </c>
      <c r="I41" s="33"/>
      <c r="J41" s="16" t="str">
        <f aca="false">IF(ISNUMBER(H41),ROUND(H41*IF(I41="",1,I41),2),"")</f>
        <v/>
      </c>
      <c r="K41" s="35"/>
      <c r="L41" s="22" t="str">
        <f aca="false">IF(A41="","",IF(A41&lt;DATE(2025,4,6),"2024/25",IF(A41&lt;DATE(2026,4,6),"2025/26",IF(A41&lt;DATE(2027,4,6),"2026/27","2027/28"))))</f>
        <v/>
      </c>
      <c r="N41" s="13"/>
    </row>
    <row r="42" customFormat="false" ht="15" hidden="false" customHeight="false" outlineLevel="0" collapsed="false">
      <c r="A42" s="31"/>
      <c r="B42" s="13"/>
      <c r="C42" s="13"/>
      <c r="D42" s="32"/>
      <c r="E42" s="32"/>
      <c r="F42" s="14"/>
      <c r="G42" s="23"/>
      <c r="H42" s="16" t="str">
        <f aca="false">IF(F42="","",IF(G42&lt;&gt;"",G42,IF(E42="JPY",IF(ISNUMBER($L$1),ROUND(F42/$L$1,2),"レート未入力"),F42)))</f>
        <v/>
      </c>
      <c r="I42" s="33"/>
      <c r="J42" s="16" t="str">
        <f aca="false">IF(ISNUMBER(H42),ROUND(H42*IF(I42="",1,I42),2),"")</f>
        <v/>
      </c>
      <c r="K42" s="35"/>
      <c r="L42" s="22" t="str">
        <f aca="false">IF(A42="","",IF(A42&lt;DATE(2025,4,6),"2024/25",IF(A42&lt;DATE(2026,4,6),"2025/26",IF(A42&lt;DATE(2027,4,6),"2026/27","2027/28"))))</f>
        <v/>
      </c>
      <c r="N42" s="13"/>
    </row>
    <row r="43" customFormat="false" ht="15" hidden="false" customHeight="false" outlineLevel="0" collapsed="false">
      <c r="A43" s="31"/>
      <c r="B43" s="13"/>
      <c r="C43" s="13"/>
      <c r="D43" s="32"/>
      <c r="E43" s="32"/>
      <c r="F43" s="14"/>
      <c r="G43" s="23"/>
      <c r="H43" s="16" t="str">
        <f aca="false">IF(F43="","",IF(G43&lt;&gt;"",G43,IF(E43="JPY",IF(ISNUMBER($L$1),ROUND(F43/$L$1,2),"レート未入力"),F43)))</f>
        <v/>
      </c>
      <c r="I43" s="33"/>
      <c r="J43" s="16" t="str">
        <f aca="false">IF(ISNUMBER(H43),ROUND(H43*IF(I43="",1,I43),2),"")</f>
        <v/>
      </c>
      <c r="K43" s="35"/>
      <c r="L43" s="22" t="str">
        <f aca="false">IF(A43="","",IF(A43&lt;DATE(2025,4,6),"2024/25",IF(A43&lt;DATE(2026,4,6),"2025/26",IF(A43&lt;DATE(2027,4,6),"2026/27","2027/28"))))</f>
        <v/>
      </c>
      <c r="N43" s="13"/>
    </row>
    <row r="44" customFormat="false" ht="15" hidden="false" customHeight="false" outlineLevel="0" collapsed="false">
      <c r="A44" s="31"/>
      <c r="B44" s="13"/>
      <c r="C44" s="13"/>
      <c r="D44" s="32"/>
      <c r="E44" s="32"/>
      <c r="F44" s="14"/>
      <c r="G44" s="23"/>
      <c r="H44" s="16" t="str">
        <f aca="false">IF(F44="","",IF(G44&lt;&gt;"",G44,IF(E44="JPY",IF(ISNUMBER($L$1),ROUND(F44/$L$1,2),"レート未入力"),F44)))</f>
        <v/>
      </c>
      <c r="I44" s="33"/>
      <c r="J44" s="16" t="str">
        <f aca="false">IF(ISNUMBER(H44),ROUND(H44*IF(I44="",1,I44),2),"")</f>
        <v/>
      </c>
      <c r="K44" s="35"/>
      <c r="L44" s="22" t="str">
        <f aca="false">IF(A44="","",IF(A44&lt;DATE(2025,4,6),"2024/25",IF(A44&lt;DATE(2026,4,6),"2025/26",IF(A44&lt;DATE(2027,4,6),"2026/27","2027/28"))))</f>
        <v/>
      </c>
      <c r="N44" s="13"/>
    </row>
    <row r="45" customFormat="false" ht="15" hidden="false" customHeight="false" outlineLevel="0" collapsed="false">
      <c r="A45" s="31"/>
      <c r="B45" s="13"/>
      <c r="C45" s="13"/>
      <c r="D45" s="32"/>
      <c r="E45" s="32"/>
      <c r="F45" s="14"/>
      <c r="G45" s="23"/>
      <c r="H45" s="16" t="str">
        <f aca="false">IF(F45="","",IF(G45&lt;&gt;"",G45,IF(E45="JPY",IF(ISNUMBER($L$1),ROUND(F45/$L$1,2),"レート未入力"),F45)))</f>
        <v/>
      </c>
      <c r="I45" s="33"/>
      <c r="J45" s="16" t="str">
        <f aca="false">IF(ISNUMBER(H45),ROUND(H45*IF(I45="",1,I45),2),"")</f>
        <v/>
      </c>
      <c r="K45" s="35"/>
      <c r="L45" s="22" t="str">
        <f aca="false">IF(A45="","",IF(A45&lt;DATE(2025,4,6),"2024/25",IF(A45&lt;DATE(2026,4,6),"2025/26",IF(A45&lt;DATE(2027,4,6),"2026/27","2027/28"))))</f>
        <v/>
      </c>
      <c r="N45" s="13"/>
    </row>
    <row r="46" customFormat="false" ht="15" hidden="false" customHeight="false" outlineLevel="0" collapsed="false">
      <c r="A46" s="31"/>
      <c r="B46" s="13"/>
      <c r="C46" s="13"/>
      <c r="D46" s="32"/>
      <c r="E46" s="32"/>
      <c r="F46" s="14"/>
      <c r="G46" s="23"/>
      <c r="H46" s="16" t="str">
        <f aca="false">IF(F46="","",IF(G46&lt;&gt;"",G46,IF(E46="JPY",IF(ISNUMBER($L$1),ROUND(F46/$L$1,2),"レート未入力"),F46)))</f>
        <v/>
      </c>
      <c r="I46" s="33"/>
      <c r="J46" s="16" t="str">
        <f aca="false">IF(ISNUMBER(H46),ROUND(H46*IF(I46="",1,I46),2),"")</f>
        <v/>
      </c>
      <c r="K46" s="35"/>
      <c r="L46" s="22" t="str">
        <f aca="false">IF(A46="","",IF(A46&lt;DATE(2025,4,6),"2024/25",IF(A46&lt;DATE(2026,4,6),"2025/26",IF(A46&lt;DATE(2027,4,6),"2026/27","2027/28"))))</f>
        <v/>
      </c>
      <c r="N46" s="13"/>
    </row>
    <row r="47" customFormat="false" ht="15" hidden="false" customHeight="false" outlineLevel="0" collapsed="false">
      <c r="A47" s="31"/>
      <c r="B47" s="13"/>
      <c r="C47" s="13"/>
      <c r="D47" s="32"/>
      <c r="E47" s="32"/>
      <c r="F47" s="14"/>
      <c r="G47" s="23"/>
      <c r="H47" s="16" t="str">
        <f aca="false">IF(F47="","",IF(G47&lt;&gt;"",G47,IF(E47="JPY",IF(ISNUMBER($L$1),ROUND(F47/$L$1,2),"レート未入力"),F47)))</f>
        <v/>
      </c>
      <c r="I47" s="33"/>
      <c r="J47" s="16" t="str">
        <f aca="false">IF(ISNUMBER(H47),ROUND(H47*IF(I47="",1,I47),2),"")</f>
        <v/>
      </c>
      <c r="K47" s="35"/>
      <c r="L47" s="22" t="str">
        <f aca="false">IF(A47="","",IF(A47&lt;DATE(2025,4,6),"2024/25",IF(A47&lt;DATE(2026,4,6),"2025/26",IF(A47&lt;DATE(2027,4,6),"2026/27","2027/28"))))</f>
        <v/>
      </c>
      <c r="N47" s="13"/>
    </row>
    <row r="48" customFormat="false" ht="15" hidden="false" customHeight="false" outlineLevel="0" collapsed="false">
      <c r="A48" s="31"/>
      <c r="B48" s="13"/>
      <c r="C48" s="13"/>
      <c r="D48" s="32"/>
      <c r="E48" s="32"/>
      <c r="F48" s="14"/>
      <c r="G48" s="23"/>
      <c r="H48" s="16" t="str">
        <f aca="false">IF(F48="","",IF(G48&lt;&gt;"",G48,IF(E48="JPY",IF(ISNUMBER($L$1),ROUND(F48/$L$1,2),"レート未入力"),F48)))</f>
        <v/>
      </c>
      <c r="I48" s="33"/>
      <c r="J48" s="16" t="str">
        <f aca="false">IF(ISNUMBER(H48),ROUND(H48*IF(I48="",1,I48),2),"")</f>
        <v/>
      </c>
      <c r="K48" s="35"/>
      <c r="L48" s="22" t="str">
        <f aca="false">IF(A48="","",IF(A48&lt;DATE(2025,4,6),"2024/25",IF(A48&lt;DATE(2026,4,6),"2025/26",IF(A48&lt;DATE(2027,4,6),"2026/27","2027/28"))))</f>
        <v/>
      </c>
      <c r="N48" s="13"/>
    </row>
    <row r="49" customFormat="false" ht="15" hidden="false" customHeight="false" outlineLevel="0" collapsed="false">
      <c r="A49" s="31"/>
      <c r="B49" s="13"/>
      <c r="C49" s="13"/>
      <c r="D49" s="32"/>
      <c r="E49" s="32"/>
      <c r="F49" s="14"/>
      <c r="G49" s="23"/>
      <c r="H49" s="16" t="str">
        <f aca="false">IF(F49="","",IF(G49&lt;&gt;"",G49,IF(E49="JPY",IF(ISNUMBER($L$1),ROUND(F49/$L$1,2),"レート未入力"),F49)))</f>
        <v/>
      </c>
      <c r="I49" s="33"/>
      <c r="J49" s="16" t="str">
        <f aca="false">IF(ISNUMBER(H49),ROUND(H49*IF(I49="",1,I49),2),"")</f>
        <v/>
      </c>
      <c r="K49" s="35"/>
      <c r="L49" s="22" t="str">
        <f aca="false">IF(A49="","",IF(A49&lt;DATE(2025,4,6),"2024/25",IF(A49&lt;DATE(2026,4,6),"2025/26",IF(A49&lt;DATE(2027,4,6),"2026/27","2027/28"))))</f>
        <v/>
      </c>
      <c r="N49" s="13"/>
    </row>
    <row r="50" customFormat="false" ht="15" hidden="false" customHeight="false" outlineLevel="0" collapsed="false">
      <c r="A50" s="31"/>
      <c r="B50" s="13"/>
      <c r="C50" s="13"/>
      <c r="D50" s="32"/>
      <c r="E50" s="32"/>
      <c r="F50" s="14"/>
      <c r="G50" s="23"/>
      <c r="H50" s="16" t="str">
        <f aca="false">IF(F50="","",IF(G50&lt;&gt;"",G50,IF(E50="JPY",IF(ISNUMBER($L$1),ROUND(F50/$L$1,2),"レート未入力"),F50)))</f>
        <v/>
      </c>
      <c r="I50" s="33"/>
      <c r="J50" s="16" t="str">
        <f aca="false">IF(ISNUMBER(H50),ROUND(H50*IF(I50="",1,I50),2),"")</f>
        <v/>
      </c>
      <c r="K50" s="35"/>
      <c r="L50" s="22" t="str">
        <f aca="false">IF(A50="","",IF(A50&lt;DATE(2025,4,6),"2024/25",IF(A50&lt;DATE(2026,4,6),"2025/26",IF(A50&lt;DATE(2027,4,6),"2026/27","2027/28"))))</f>
        <v/>
      </c>
      <c r="N50" s="13"/>
    </row>
    <row r="51" customFormat="false" ht="15" hidden="false" customHeight="false" outlineLevel="0" collapsed="false">
      <c r="A51" s="31"/>
      <c r="B51" s="13"/>
      <c r="C51" s="13"/>
      <c r="D51" s="32"/>
      <c r="E51" s="32"/>
      <c r="F51" s="14"/>
      <c r="G51" s="23"/>
      <c r="H51" s="16" t="str">
        <f aca="false">IF(F51="","",IF(G51&lt;&gt;"",G51,IF(E51="JPY",IF(ISNUMBER($L$1),ROUND(F51/$L$1,2),"レート未入力"),F51)))</f>
        <v/>
      </c>
      <c r="I51" s="33"/>
      <c r="J51" s="16" t="str">
        <f aca="false">IF(ISNUMBER(H51),ROUND(H51*IF(I51="",1,I51),2),"")</f>
        <v/>
      </c>
      <c r="K51" s="35"/>
      <c r="L51" s="22" t="str">
        <f aca="false">IF(A51="","",IF(A51&lt;DATE(2025,4,6),"2024/25",IF(A51&lt;DATE(2026,4,6),"2025/26",IF(A51&lt;DATE(2027,4,6),"2026/27","2027/28"))))</f>
        <v/>
      </c>
      <c r="N51" s="13"/>
    </row>
    <row r="52" customFormat="false" ht="15" hidden="false" customHeight="false" outlineLevel="0" collapsed="false">
      <c r="A52" s="31"/>
      <c r="B52" s="13"/>
      <c r="C52" s="13"/>
      <c r="D52" s="32"/>
      <c r="E52" s="32"/>
      <c r="F52" s="14"/>
      <c r="G52" s="23"/>
      <c r="H52" s="16" t="str">
        <f aca="false">IF(F52="","",IF(G52&lt;&gt;"",G52,IF(E52="JPY",IF(ISNUMBER($L$1),ROUND(F52/$L$1,2),"レート未入力"),F52)))</f>
        <v/>
      </c>
      <c r="I52" s="33"/>
      <c r="J52" s="16" t="str">
        <f aca="false">IF(ISNUMBER(H52),ROUND(H52*IF(I52="",1,I52),2),"")</f>
        <v/>
      </c>
      <c r="K52" s="35"/>
      <c r="L52" s="22" t="str">
        <f aca="false">IF(A52="","",IF(A52&lt;DATE(2025,4,6),"2024/25",IF(A52&lt;DATE(2026,4,6),"2025/26",IF(A52&lt;DATE(2027,4,6),"2026/27","2027/28"))))</f>
        <v/>
      </c>
      <c r="N52" s="13"/>
    </row>
    <row r="53" customFormat="false" ht="15" hidden="false" customHeight="false" outlineLevel="0" collapsed="false">
      <c r="A53" s="31"/>
      <c r="B53" s="13"/>
      <c r="C53" s="13"/>
      <c r="D53" s="32"/>
      <c r="E53" s="32"/>
      <c r="F53" s="14"/>
      <c r="G53" s="23"/>
      <c r="H53" s="16" t="str">
        <f aca="false">IF(F53="","",IF(G53&lt;&gt;"",G53,IF(E53="JPY",IF(ISNUMBER($L$1),ROUND(F53/$L$1,2),"レート未入力"),F53)))</f>
        <v/>
      </c>
      <c r="I53" s="33"/>
      <c r="J53" s="16" t="str">
        <f aca="false">IF(ISNUMBER(H53),ROUND(H53*IF(I53="",1,I53),2),"")</f>
        <v/>
      </c>
      <c r="K53" s="35"/>
      <c r="L53" s="22" t="str">
        <f aca="false">IF(A53="","",IF(A53&lt;DATE(2025,4,6),"2024/25",IF(A53&lt;DATE(2026,4,6),"2025/26",IF(A53&lt;DATE(2027,4,6),"2026/27","2027/28"))))</f>
        <v/>
      </c>
      <c r="N53" s="13"/>
    </row>
    <row r="54" customFormat="false" ht="15" hidden="false" customHeight="false" outlineLevel="0" collapsed="false">
      <c r="A54" s="31"/>
      <c r="B54" s="13"/>
      <c r="C54" s="13"/>
      <c r="D54" s="32"/>
      <c r="E54" s="32"/>
      <c r="F54" s="14"/>
      <c r="G54" s="23"/>
      <c r="H54" s="16" t="str">
        <f aca="false">IF(F54="","",IF(G54&lt;&gt;"",G54,IF(E54="JPY",IF(ISNUMBER($L$1),ROUND(F54/$L$1,2),"レート未入力"),F54)))</f>
        <v/>
      </c>
      <c r="I54" s="33"/>
      <c r="J54" s="16" t="str">
        <f aca="false">IF(ISNUMBER(H54),ROUND(H54*IF(I54="",1,I54),2),"")</f>
        <v/>
      </c>
      <c r="K54" s="35"/>
      <c r="L54" s="22" t="str">
        <f aca="false">IF(A54="","",IF(A54&lt;DATE(2025,4,6),"2024/25",IF(A54&lt;DATE(2026,4,6),"2025/26",IF(A54&lt;DATE(2027,4,6),"2026/27","2027/28"))))</f>
        <v/>
      </c>
      <c r="N54" s="13"/>
    </row>
    <row r="55" customFormat="false" ht="15" hidden="false" customHeight="false" outlineLevel="0" collapsed="false">
      <c r="A55" s="31"/>
      <c r="B55" s="13"/>
      <c r="C55" s="13"/>
      <c r="D55" s="32"/>
      <c r="E55" s="32"/>
      <c r="F55" s="14"/>
      <c r="G55" s="23"/>
      <c r="H55" s="16" t="str">
        <f aca="false">IF(F55="","",IF(G55&lt;&gt;"",G55,IF(E55="JPY",IF(ISNUMBER($L$1),ROUND(F55/$L$1,2),"レート未入力"),F55)))</f>
        <v/>
      </c>
      <c r="I55" s="33"/>
      <c r="J55" s="16" t="str">
        <f aca="false">IF(ISNUMBER(H55),ROUND(H55*IF(I55="",1,I55),2),"")</f>
        <v/>
      </c>
      <c r="K55" s="35"/>
      <c r="L55" s="22" t="str">
        <f aca="false">IF(A55="","",IF(A55&lt;DATE(2025,4,6),"2024/25",IF(A55&lt;DATE(2026,4,6),"2025/26",IF(A55&lt;DATE(2027,4,6),"2026/27","2027/28"))))</f>
        <v/>
      </c>
      <c r="N55" s="13"/>
    </row>
    <row r="56" customFormat="false" ht="15" hidden="false" customHeight="false" outlineLevel="0" collapsed="false">
      <c r="A56" s="31"/>
      <c r="B56" s="13"/>
      <c r="C56" s="13"/>
      <c r="D56" s="32"/>
      <c r="E56" s="32"/>
      <c r="F56" s="14"/>
      <c r="G56" s="23"/>
      <c r="H56" s="16" t="str">
        <f aca="false">IF(F56="","",IF(G56&lt;&gt;"",G56,IF(E56="JPY",IF(ISNUMBER($L$1),ROUND(F56/$L$1,2),"レート未入力"),F56)))</f>
        <v/>
      </c>
      <c r="I56" s="33"/>
      <c r="J56" s="16" t="str">
        <f aca="false">IF(ISNUMBER(H56),ROUND(H56*IF(I56="",1,I56),2),"")</f>
        <v/>
      </c>
      <c r="K56" s="35"/>
      <c r="L56" s="22" t="str">
        <f aca="false">IF(A56="","",IF(A56&lt;DATE(2025,4,6),"2024/25",IF(A56&lt;DATE(2026,4,6),"2025/26",IF(A56&lt;DATE(2027,4,6),"2026/27","2027/28"))))</f>
        <v/>
      </c>
      <c r="N56" s="13"/>
    </row>
    <row r="57" customFormat="false" ht="15" hidden="false" customHeight="false" outlineLevel="0" collapsed="false">
      <c r="A57" s="31"/>
      <c r="B57" s="13"/>
      <c r="C57" s="13"/>
      <c r="D57" s="32"/>
      <c r="E57" s="32"/>
      <c r="F57" s="14"/>
      <c r="G57" s="23"/>
      <c r="H57" s="16" t="str">
        <f aca="false">IF(F57="","",IF(G57&lt;&gt;"",G57,IF(E57="JPY",IF(ISNUMBER($L$1),ROUND(F57/$L$1,2),"レート未入力"),F57)))</f>
        <v/>
      </c>
      <c r="I57" s="33"/>
      <c r="J57" s="16" t="str">
        <f aca="false">IF(ISNUMBER(H57),ROUND(H57*IF(I57="",1,I57),2),"")</f>
        <v/>
      </c>
      <c r="K57" s="35"/>
      <c r="L57" s="22" t="str">
        <f aca="false">IF(A57="","",IF(A57&lt;DATE(2025,4,6),"2024/25",IF(A57&lt;DATE(2026,4,6),"2025/26",IF(A57&lt;DATE(2027,4,6),"2026/27","2027/28"))))</f>
        <v/>
      </c>
      <c r="N57" s="13"/>
    </row>
    <row r="58" customFormat="false" ht="15" hidden="false" customHeight="false" outlineLevel="0" collapsed="false">
      <c r="A58" s="31"/>
      <c r="B58" s="13"/>
      <c r="C58" s="13"/>
      <c r="D58" s="32"/>
      <c r="E58" s="32"/>
      <c r="F58" s="14"/>
      <c r="G58" s="23"/>
      <c r="H58" s="16" t="str">
        <f aca="false">IF(F58="","",IF(G58&lt;&gt;"",G58,IF(E58="JPY",IF(ISNUMBER($L$1),ROUND(F58/$L$1,2),"レート未入力"),F58)))</f>
        <v/>
      </c>
      <c r="I58" s="33"/>
      <c r="J58" s="16" t="str">
        <f aca="false">IF(ISNUMBER(H58),ROUND(H58*IF(I58="",1,I58),2),"")</f>
        <v/>
      </c>
      <c r="K58" s="35"/>
      <c r="L58" s="22" t="str">
        <f aca="false">IF(A58="","",IF(A58&lt;DATE(2025,4,6),"2024/25",IF(A58&lt;DATE(2026,4,6),"2025/26",IF(A58&lt;DATE(2027,4,6),"2026/27","2027/28"))))</f>
        <v/>
      </c>
      <c r="N58" s="13"/>
    </row>
    <row r="59" customFormat="false" ht="15" hidden="false" customHeight="false" outlineLevel="0" collapsed="false">
      <c r="A59" s="31"/>
      <c r="B59" s="13"/>
      <c r="C59" s="13"/>
      <c r="D59" s="32"/>
      <c r="E59" s="32"/>
      <c r="F59" s="14"/>
      <c r="G59" s="23"/>
      <c r="H59" s="16" t="str">
        <f aca="false">IF(F59="","",IF(G59&lt;&gt;"",G59,IF(E59="JPY",IF(ISNUMBER($L$1),ROUND(F59/$L$1,2),"レート未入力"),F59)))</f>
        <v/>
      </c>
      <c r="I59" s="33"/>
      <c r="J59" s="16" t="str">
        <f aca="false">IF(ISNUMBER(H59),ROUND(H59*IF(I59="",1,I59),2),"")</f>
        <v/>
      </c>
      <c r="K59" s="35"/>
      <c r="L59" s="22" t="str">
        <f aca="false">IF(A59="","",IF(A59&lt;DATE(2025,4,6),"2024/25",IF(A59&lt;DATE(2026,4,6),"2025/26",IF(A59&lt;DATE(2027,4,6),"2026/27","2027/28"))))</f>
        <v/>
      </c>
      <c r="N59" s="13"/>
    </row>
    <row r="60" customFormat="false" ht="15" hidden="false" customHeight="false" outlineLevel="0" collapsed="false">
      <c r="A60" s="31"/>
      <c r="B60" s="13"/>
      <c r="C60" s="13"/>
      <c r="D60" s="32"/>
      <c r="E60" s="32"/>
      <c r="F60" s="14"/>
      <c r="G60" s="23"/>
      <c r="H60" s="16" t="str">
        <f aca="false">IF(F60="","",IF(G60&lt;&gt;"",G60,IF(E60="JPY",IF(ISNUMBER($L$1),ROUND(F60/$L$1,2),"レート未入力"),F60)))</f>
        <v/>
      </c>
      <c r="I60" s="33"/>
      <c r="J60" s="16" t="str">
        <f aca="false">IF(ISNUMBER(H60),ROUND(H60*IF(I60="",1,I60),2),"")</f>
        <v/>
      </c>
      <c r="K60" s="35"/>
      <c r="L60" s="22" t="str">
        <f aca="false">IF(A60="","",IF(A60&lt;DATE(2025,4,6),"2024/25",IF(A60&lt;DATE(2026,4,6),"2025/26",IF(A60&lt;DATE(2027,4,6),"2026/27","2027/28"))))</f>
        <v/>
      </c>
      <c r="N60" s="13"/>
    </row>
    <row r="61" customFormat="false" ht="15" hidden="false" customHeight="false" outlineLevel="0" collapsed="false">
      <c r="A61" s="31"/>
      <c r="B61" s="13"/>
      <c r="C61" s="13"/>
      <c r="D61" s="32"/>
      <c r="E61" s="32"/>
      <c r="F61" s="14"/>
      <c r="G61" s="23"/>
      <c r="H61" s="16" t="str">
        <f aca="false">IF(F61="","",IF(G61&lt;&gt;"",G61,IF(E61="JPY",IF(ISNUMBER($L$1),ROUND(F61/$L$1,2),"レート未入力"),F61)))</f>
        <v/>
      </c>
      <c r="I61" s="33"/>
      <c r="J61" s="16" t="str">
        <f aca="false">IF(ISNUMBER(H61),ROUND(H61*IF(I61="",1,I61),2),"")</f>
        <v/>
      </c>
      <c r="K61" s="35"/>
      <c r="L61" s="22" t="str">
        <f aca="false">IF(A61="","",IF(A61&lt;DATE(2025,4,6),"2024/25",IF(A61&lt;DATE(2026,4,6),"2025/26",IF(A61&lt;DATE(2027,4,6),"2026/27","2027/28"))))</f>
        <v/>
      </c>
      <c r="N61" s="13"/>
    </row>
    <row r="62" customFormat="false" ht="15" hidden="false" customHeight="false" outlineLevel="0" collapsed="false">
      <c r="A62" s="31"/>
      <c r="B62" s="13"/>
      <c r="C62" s="13"/>
      <c r="D62" s="32"/>
      <c r="E62" s="32"/>
      <c r="F62" s="14"/>
      <c r="G62" s="23"/>
      <c r="H62" s="16" t="str">
        <f aca="false">IF(F62="","",IF(G62&lt;&gt;"",G62,IF(E62="JPY",IF(ISNUMBER($L$1),ROUND(F62/$L$1,2),"レート未入力"),F62)))</f>
        <v/>
      </c>
      <c r="I62" s="33"/>
      <c r="J62" s="16" t="str">
        <f aca="false">IF(ISNUMBER(H62),ROUND(H62*IF(I62="",1,I62),2),"")</f>
        <v/>
      </c>
      <c r="K62" s="35"/>
      <c r="L62" s="22" t="str">
        <f aca="false">IF(A62="","",IF(A62&lt;DATE(2025,4,6),"2024/25",IF(A62&lt;DATE(2026,4,6),"2025/26",IF(A62&lt;DATE(2027,4,6),"2026/27","2027/28"))))</f>
        <v/>
      </c>
      <c r="N62" s="13"/>
    </row>
    <row r="63" customFormat="false" ht="15" hidden="false" customHeight="false" outlineLevel="0" collapsed="false">
      <c r="A63" s="31"/>
      <c r="B63" s="13"/>
      <c r="C63" s="13"/>
      <c r="D63" s="32"/>
      <c r="E63" s="32"/>
      <c r="F63" s="14"/>
      <c r="G63" s="23"/>
      <c r="H63" s="16" t="str">
        <f aca="false">IF(F63="","",IF(G63&lt;&gt;"",G63,IF(E63="JPY",IF(ISNUMBER($L$1),ROUND(F63/$L$1,2),"レート未入力"),F63)))</f>
        <v/>
      </c>
      <c r="I63" s="33"/>
      <c r="J63" s="16" t="str">
        <f aca="false">IF(ISNUMBER(H63),ROUND(H63*IF(I63="",1,I63),2),"")</f>
        <v/>
      </c>
      <c r="K63" s="35"/>
      <c r="L63" s="22" t="str">
        <f aca="false">IF(A63="","",IF(A63&lt;DATE(2025,4,6),"2024/25",IF(A63&lt;DATE(2026,4,6),"2025/26",IF(A63&lt;DATE(2027,4,6),"2026/27","2027/28"))))</f>
        <v/>
      </c>
      <c r="N63" s="13"/>
    </row>
    <row r="64" customFormat="false" ht="15" hidden="false" customHeight="false" outlineLevel="0" collapsed="false">
      <c r="A64" s="31"/>
      <c r="B64" s="13"/>
      <c r="C64" s="13"/>
      <c r="D64" s="32"/>
      <c r="E64" s="32"/>
      <c r="F64" s="14"/>
      <c r="G64" s="23"/>
      <c r="H64" s="16" t="str">
        <f aca="false">IF(F64="","",IF(G64&lt;&gt;"",G64,IF(E64="JPY",IF(ISNUMBER($L$1),ROUND(F64/$L$1,2),"レート未入力"),F64)))</f>
        <v/>
      </c>
      <c r="I64" s="33"/>
      <c r="J64" s="16" t="str">
        <f aca="false">IF(ISNUMBER(H64),ROUND(H64*IF(I64="",1,I64),2),"")</f>
        <v/>
      </c>
      <c r="K64" s="35"/>
      <c r="L64" s="22" t="str">
        <f aca="false">IF(A64="","",IF(A64&lt;DATE(2025,4,6),"2024/25",IF(A64&lt;DATE(2026,4,6),"2025/26",IF(A64&lt;DATE(2027,4,6),"2026/27","2027/28"))))</f>
        <v/>
      </c>
      <c r="N64" s="13"/>
    </row>
    <row r="65" customFormat="false" ht="15" hidden="false" customHeight="false" outlineLevel="0" collapsed="false">
      <c r="A65" s="31"/>
      <c r="B65" s="13"/>
      <c r="C65" s="13"/>
      <c r="D65" s="32"/>
      <c r="E65" s="32"/>
      <c r="F65" s="14"/>
      <c r="G65" s="23"/>
      <c r="H65" s="16" t="str">
        <f aca="false">IF(F65="","",IF(G65&lt;&gt;"",G65,IF(E65="JPY",IF(ISNUMBER($L$1),ROUND(F65/$L$1,2),"レート未入力"),F65)))</f>
        <v/>
      </c>
      <c r="I65" s="33"/>
      <c r="J65" s="16" t="str">
        <f aca="false">IF(ISNUMBER(H65),ROUND(H65*IF(I65="",1,I65),2),"")</f>
        <v/>
      </c>
      <c r="K65" s="35"/>
      <c r="L65" s="22" t="str">
        <f aca="false">IF(A65="","",IF(A65&lt;DATE(2025,4,6),"2024/25",IF(A65&lt;DATE(2026,4,6),"2025/26",IF(A65&lt;DATE(2027,4,6),"2026/27","2027/28"))))</f>
        <v/>
      </c>
      <c r="N65" s="13"/>
    </row>
    <row r="66" customFormat="false" ht="15" hidden="false" customHeight="false" outlineLevel="0" collapsed="false">
      <c r="A66" s="31"/>
      <c r="B66" s="13"/>
      <c r="C66" s="13"/>
      <c r="D66" s="32"/>
      <c r="E66" s="32"/>
      <c r="F66" s="14"/>
      <c r="G66" s="23"/>
      <c r="H66" s="16" t="str">
        <f aca="false">IF(F66="","",IF(G66&lt;&gt;"",G66,IF(E66="JPY",IF(ISNUMBER($L$1),ROUND(F66/$L$1,2),"レート未入力"),F66)))</f>
        <v/>
      </c>
      <c r="I66" s="33"/>
      <c r="J66" s="16" t="str">
        <f aca="false">IF(ISNUMBER(H66),ROUND(H66*IF(I66="",1,I66),2),"")</f>
        <v/>
      </c>
      <c r="K66" s="35"/>
      <c r="L66" s="22" t="str">
        <f aca="false">IF(A66="","",IF(A66&lt;DATE(2025,4,6),"2024/25",IF(A66&lt;DATE(2026,4,6),"2025/26",IF(A66&lt;DATE(2027,4,6),"2026/27","2027/28"))))</f>
        <v/>
      </c>
      <c r="N66" s="13"/>
    </row>
    <row r="67" customFormat="false" ht="15" hidden="false" customHeight="false" outlineLevel="0" collapsed="false">
      <c r="A67" s="31"/>
      <c r="B67" s="13"/>
      <c r="C67" s="13"/>
      <c r="D67" s="32"/>
      <c r="E67" s="32"/>
      <c r="F67" s="14"/>
      <c r="G67" s="23"/>
      <c r="H67" s="16" t="str">
        <f aca="false">IF(F67="","",IF(G67&lt;&gt;"",G67,IF(E67="JPY",IF(ISNUMBER($L$1),ROUND(F67/$L$1,2),"レート未入力"),F67)))</f>
        <v/>
      </c>
      <c r="I67" s="33"/>
      <c r="J67" s="16" t="str">
        <f aca="false">IF(ISNUMBER(H67),ROUND(H67*IF(I67="",1,I67),2),"")</f>
        <v/>
      </c>
      <c r="K67" s="35"/>
      <c r="L67" s="22" t="str">
        <f aca="false">IF(A67="","",IF(A67&lt;DATE(2025,4,6),"2024/25",IF(A67&lt;DATE(2026,4,6),"2025/26",IF(A67&lt;DATE(2027,4,6),"2026/27","2027/28"))))</f>
        <v/>
      </c>
      <c r="N67" s="13"/>
    </row>
    <row r="68" customFormat="false" ht="15" hidden="false" customHeight="false" outlineLevel="0" collapsed="false">
      <c r="A68" s="31"/>
      <c r="B68" s="13"/>
      <c r="C68" s="13"/>
      <c r="D68" s="32"/>
      <c r="E68" s="32"/>
      <c r="F68" s="14"/>
      <c r="G68" s="23"/>
      <c r="H68" s="16" t="str">
        <f aca="false">IF(F68="","",IF(G68&lt;&gt;"",G68,IF(E68="JPY",IF(ISNUMBER($L$1),ROUND(F68/$L$1,2),"レート未入力"),F68)))</f>
        <v/>
      </c>
      <c r="I68" s="33"/>
      <c r="J68" s="16" t="str">
        <f aca="false">IF(ISNUMBER(H68),ROUND(H68*IF(I68="",1,I68),2),"")</f>
        <v/>
      </c>
      <c r="K68" s="35"/>
      <c r="L68" s="22" t="str">
        <f aca="false">IF(A68="","",IF(A68&lt;DATE(2025,4,6),"2024/25",IF(A68&lt;DATE(2026,4,6),"2025/26",IF(A68&lt;DATE(2027,4,6),"2026/27","2027/28"))))</f>
        <v/>
      </c>
      <c r="N68" s="13"/>
    </row>
    <row r="69" customFormat="false" ht="15" hidden="false" customHeight="false" outlineLevel="0" collapsed="false">
      <c r="A69" s="31"/>
      <c r="B69" s="13"/>
      <c r="C69" s="13"/>
      <c r="D69" s="32"/>
      <c r="E69" s="32"/>
      <c r="F69" s="14"/>
      <c r="G69" s="23"/>
      <c r="H69" s="16" t="str">
        <f aca="false">IF(F69="","",IF(G69&lt;&gt;"",G69,IF(E69="JPY",IF(ISNUMBER($L$1),ROUND(F69/$L$1,2),"レート未入力"),F69)))</f>
        <v/>
      </c>
      <c r="I69" s="33"/>
      <c r="J69" s="16" t="str">
        <f aca="false">IF(ISNUMBER(H69),ROUND(H69*IF(I69="",1,I69),2),"")</f>
        <v/>
      </c>
      <c r="K69" s="35"/>
      <c r="L69" s="22" t="str">
        <f aca="false">IF(A69="","",IF(A69&lt;DATE(2025,4,6),"2024/25",IF(A69&lt;DATE(2026,4,6),"2025/26",IF(A69&lt;DATE(2027,4,6),"2026/27","2027/28"))))</f>
        <v/>
      </c>
      <c r="N69" s="13"/>
    </row>
    <row r="70" customFormat="false" ht="15" hidden="false" customHeight="false" outlineLevel="0" collapsed="false">
      <c r="A70" s="3" t="s">
        <v>196</v>
      </c>
      <c r="J70" s="18" t="n">
        <f aca="false">SUM(J30:J69)</f>
        <v>0</v>
      </c>
    </row>
    <row r="72" customFormat="false" ht="15" hidden="false" customHeight="false" outlineLevel="0" collapsed="false">
      <c r="A72" s="26" t="s">
        <v>197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customFormat="false" ht="15" hidden="false" customHeight="false" outlineLevel="0" collapsed="false">
      <c r="A73" s="17" t="s">
        <v>137</v>
      </c>
      <c r="D73" s="36" t="s">
        <v>16</v>
      </c>
      <c r="E73" s="36" t="s">
        <v>18</v>
      </c>
      <c r="F73" s="36"/>
    </row>
    <row r="74" customFormat="false" ht="15" hidden="false" customHeight="false" outlineLevel="0" collapsed="false">
      <c r="A74" s="17" t="s">
        <v>183</v>
      </c>
      <c r="D74" s="18" t="n">
        <f aca="false">SUMIFS($H$6:$H$25,$J$6:$J$25,"2025/26")</f>
        <v>0</v>
      </c>
      <c r="E74" s="18" t="n">
        <f aca="false">SUMIFS($H$6:$H$25,$J$6:$J$25,"2026/27")</f>
        <v>0</v>
      </c>
      <c r="F74" s="18"/>
    </row>
    <row r="75" customFormat="false" ht="15" hidden="false" customHeight="false" outlineLevel="0" collapsed="false">
      <c r="A75" s="21" t="s">
        <v>41</v>
      </c>
      <c r="D75" s="16" t="n">
        <f aca="false">SUMIFS($J$30:$J$69,$D$30:$D$69,$A75,$L$30:$L$69,"2025/26")</f>
        <v>0</v>
      </c>
      <c r="E75" s="16" t="n">
        <f aca="false">SUMIFS($J$30:$J$69,$D$30:$D$69,$A75,$L$30:$L$69,"2026/27")</f>
        <v>0</v>
      </c>
      <c r="F75" s="16"/>
    </row>
    <row r="76" customFormat="false" ht="15" hidden="false" customHeight="false" outlineLevel="0" collapsed="false">
      <c r="A76" s="21" t="s">
        <v>43</v>
      </c>
      <c r="D76" s="16" t="n">
        <f aca="false">SUMIFS($J$30:$J$69,$D$30:$D$69,$A76,$L$30:$L$69,"2025/26")</f>
        <v>0</v>
      </c>
      <c r="E76" s="16" t="n">
        <f aca="false">SUMIFS($J$30:$J$69,$D$30:$D$69,$A76,$L$30:$L$69,"2026/27")</f>
        <v>0</v>
      </c>
      <c r="F76" s="16"/>
    </row>
    <row r="77" customFormat="false" ht="15" hidden="false" customHeight="false" outlineLevel="0" collapsed="false">
      <c r="A77" s="21" t="s">
        <v>45</v>
      </c>
      <c r="D77" s="16" t="n">
        <f aca="false">SUMIFS($J$30:$J$69,$D$30:$D$69,$A77,$L$30:$L$69,"2025/26")</f>
        <v>0</v>
      </c>
      <c r="E77" s="16" t="n">
        <f aca="false">SUMIFS($J$30:$J$69,$D$30:$D$69,$A77,$L$30:$L$69,"2026/27")</f>
        <v>0</v>
      </c>
      <c r="F77" s="16"/>
    </row>
    <row r="78" customFormat="false" ht="15" hidden="false" customHeight="false" outlineLevel="0" collapsed="false">
      <c r="A78" s="21" t="s">
        <v>47</v>
      </c>
      <c r="D78" s="16" t="n">
        <f aca="false">SUMIFS($J$30:$J$69,$D$30:$D$69,$A78,$L$30:$L$69,"2025/26")</f>
        <v>0</v>
      </c>
      <c r="E78" s="16" t="n">
        <f aca="false">SUMIFS($J$30:$J$69,$D$30:$D$69,$A78,$L$30:$L$69,"2026/27")</f>
        <v>0</v>
      </c>
      <c r="F78" s="16"/>
    </row>
    <row r="79" customFormat="false" ht="15" hidden="false" customHeight="false" outlineLevel="0" collapsed="false">
      <c r="A79" s="21" t="s">
        <v>49</v>
      </c>
      <c r="D79" s="16" t="n">
        <f aca="false">SUMIFS($J$30:$J$69,$D$30:$D$69,$A79,$L$30:$L$69,"2025/26")</f>
        <v>0</v>
      </c>
      <c r="E79" s="16" t="n">
        <f aca="false">SUMIFS($J$30:$J$69,$D$30:$D$69,$A79,$L$30:$L$69,"2026/27")</f>
        <v>0</v>
      </c>
      <c r="F79" s="16"/>
    </row>
    <row r="80" customFormat="false" ht="15" hidden="false" customHeight="false" outlineLevel="0" collapsed="false">
      <c r="A80" s="21" t="s">
        <v>51</v>
      </c>
      <c r="D80" s="16" t="n">
        <f aca="false">SUMIFS($J$30:$J$69,$D$30:$D$69,$A80,$L$30:$L$69,"2025/26")</f>
        <v>0</v>
      </c>
      <c r="E80" s="16" t="n">
        <f aca="false">SUMIFS($J$30:$J$69,$D$30:$D$69,$A80,$L$30:$L$69,"2026/27")</f>
        <v>0</v>
      </c>
      <c r="F80" s="16"/>
    </row>
    <row r="81" customFormat="false" ht="15" hidden="false" customHeight="false" outlineLevel="0" collapsed="false">
      <c r="A81" s="21" t="s">
        <v>53</v>
      </c>
      <c r="D81" s="16" t="n">
        <f aca="false">SUMIFS($J$30:$J$69,$D$30:$D$69,$A81,$L$30:$L$69,"2025/26")</f>
        <v>0</v>
      </c>
      <c r="E81" s="16" t="n">
        <f aca="false">SUMIFS($J$30:$J$69,$D$30:$D$69,$A81,$L$30:$L$69,"2026/27")</f>
        <v>0</v>
      </c>
      <c r="F81" s="16"/>
    </row>
    <row r="82" customFormat="false" ht="15" hidden="false" customHeight="false" outlineLevel="0" collapsed="false">
      <c r="A82" s="21" t="s">
        <v>55</v>
      </c>
      <c r="D82" s="16" t="n">
        <f aca="false">SUMIFS($J$30:$J$69,$D$30:$D$69,$A82,$L$30:$L$69,"2025/26")</f>
        <v>0</v>
      </c>
      <c r="E82" s="16" t="n">
        <f aca="false">SUMIFS($J$30:$J$69,$D$30:$D$69,$A82,$L$30:$L$69,"2026/27")</f>
        <v>0</v>
      </c>
      <c r="F82" s="16"/>
    </row>
    <row r="83" customFormat="false" ht="15" hidden="false" customHeight="false" outlineLevel="0" collapsed="false">
      <c r="A83" s="21" t="s">
        <v>57</v>
      </c>
      <c r="D83" s="16" t="n">
        <f aca="false">SUMIFS($J$30:$J$69,$D$30:$D$69,$A83,$L$30:$L$69,"2025/26")</f>
        <v>0</v>
      </c>
      <c r="E83" s="16" t="n">
        <f aca="false">SUMIFS($J$30:$J$69,$D$30:$D$69,$A83,$L$30:$L$69,"2026/27")</f>
        <v>0</v>
      </c>
      <c r="F83" s="16"/>
    </row>
    <row r="84" customFormat="false" ht="15" hidden="false" customHeight="false" outlineLevel="0" collapsed="false">
      <c r="A84" s="21" t="s">
        <v>59</v>
      </c>
      <c r="D84" s="16" t="n">
        <f aca="false">SUMIFS($J$30:$J$69,$D$30:$D$69,$A84,$L$30:$L$69,"2025/26")</f>
        <v>0</v>
      </c>
      <c r="E84" s="16" t="n">
        <f aca="false">SUMIFS($J$30:$J$69,$D$30:$D$69,$A84,$L$30:$L$69,"2026/27")</f>
        <v>0</v>
      </c>
      <c r="F84" s="16"/>
    </row>
    <row r="85" customFormat="false" ht="15" hidden="false" customHeight="false" outlineLevel="0" collapsed="false">
      <c r="A85" s="21" t="s">
        <v>61</v>
      </c>
      <c r="D85" s="16" t="n">
        <f aca="false">SUMIFS($J$30:$J$69,$D$30:$D$69,$A85,$L$30:$L$69,"2025/26")</f>
        <v>0</v>
      </c>
      <c r="E85" s="16" t="n">
        <f aca="false">SUMIFS($J$30:$J$69,$D$30:$D$69,$A85,$L$30:$L$69,"2026/27")</f>
        <v>0</v>
      </c>
      <c r="F85" s="16"/>
    </row>
    <row r="86" customFormat="false" ht="15" hidden="false" customHeight="false" outlineLevel="0" collapsed="false">
      <c r="A86" s="21" t="s">
        <v>63</v>
      </c>
      <c r="D86" s="16" t="n">
        <f aca="false">SUMIFS($J$30:$J$69,$D$30:$D$69,$A86,$L$30:$L$69,"2025/26")</f>
        <v>0</v>
      </c>
      <c r="E86" s="16" t="n">
        <f aca="false">SUMIFS($J$30:$J$69,$D$30:$D$69,$A86,$L$30:$L$69,"2026/27")</f>
        <v>0</v>
      </c>
      <c r="F86" s="16"/>
    </row>
    <row r="87" customFormat="false" ht="15" hidden="false" customHeight="false" outlineLevel="0" collapsed="false">
      <c r="A87" s="21" t="s">
        <v>64</v>
      </c>
      <c r="D87" s="16" t="n">
        <f aca="false">SUMIFS($J$30:$J$69,$D$30:$D$69,$A87,$L$30:$L$69,"2025/26")</f>
        <v>0</v>
      </c>
      <c r="E87" s="16" t="n">
        <f aca="false">SUMIFS($J$30:$J$69,$D$30:$D$69,$A87,$L$30:$L$69,"2026/27")</f>
        <v>0</v>
      </c>
      <c r="F87" s="16"/>
    </row>
    <row r="88" customFormat="false" ht="15" hidden="false" customHeight="false" outlineLevel="0" collapsed="false">
      <c r="A88" s="17" t="s">
        <v>198</v>
      </c>
      <c r="D88" s="18" t="n">
        <f aca="false">SUM(D75:D86)</f>
        <v>0</v>
      </c>
      <c r="E88" s="18" t="n">
        <f aca="false">SUM(E75:E86)</f>
        <v>0</v>
      </c>
      <c r="F88" s="18"/>
    </row>
    <row r="89" customFormat="false" ht="15" hidden="false" customHeight="false" outlineLevel="0" collapsed="false">
      <c r="A89" s="17" t="s">
        <v>199</v>
      </c>
      <c r="D89" s="18" t="n">
        <f aca="false">D74-D88-D87</f>
        <v>0</v>
      </c>
      <c r="E89" s="18" t="n">
        <f aca="false">E74-E88-E87</f>
        <v>0</v>
      </c>
      <c r="F89" s="18"/>
    </row>
    <row r="90" customFormat="false" ht="15" hidden="false" customHeight="false" outlineLevel="0" collapsed="false">
      <c r="A90" s="37" t="s">
        <v>200</v>
      </c>
    </row>
    <row r="91" customFormat="false" ht="15" hidden="false" customHeight="false" outlineLevel="0" collapsed="false">
      <c r="A91" s="21" t="s">
        <v>201</v>
      </c>
      <c r="D91" s="16" t="n">
        <f aca="false">SUMIFS($J$30:$J$69,$D$30:$D$69,"")</f>
        <v>0</v>
      </c>
    </row>
  </sheetData>
  <mergeCells count="17"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</mergeCells>
  <dataValidations count="5">
    <dataValidation allowBlank="true" error="0%〜100%で入力してください" errorStyle="stop" operator="between" showDropDown="false" showErrorMessage="true" showInputMessage="false" sqref="I30:I69" type="decimal">
      <formula1>0</formula1>
      <formula2>1</formula2>
    </dataValidation>
    <dataValidation allowBlank="true" errorStyle="stop" operator="between" showDropDown="false" showErrorMessage="false" showInputMessage="false" sqref="E6:E25 E30:E69" type="list">
      <formula1>_list!$B$1:$B$2</formula1>
      <formula2>0</formula2>
    </dataValidation>
    <dataValidation allowBlank="true" errorStyle="stop" operator="between" showDropDown="false" showErrorMessage="false" showInputMessage="false" sqref="D30:D69" type="list">
      <formula1>_list!$A$1:$A$13</formula1>
      <formula2>0</formula2>
    </dataValidation>
    <dataValidation allowBlank="true" errorStyle="stop" operator="between" showDropDown="false" showErrorMessage="false" showInputMessage="false" sqref="D6:D25" type="list">
      <formula1>_list!$C$1:$C$7</formula1>
      <formula2>0</formula2>
    </dataValidation>
    <dataValidation allowBlank="true" error="日付で入力してください（例：2025/5/2）" errorStyle="stop" operator="between" showDropDown="false" showErrorMessage="true" showInputMessage="false" sqref="A6:A25 A30:A69" type="date">
      <formula1>DATE(2025,4,1)</formula1>
      <formula2>DATE(2027,12,31)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24"/>
  </cols>
  <sheetData>
    <row r="1" customFormat="false" ht="19.4" hidden="false" customHeight="false" outlineLevel="0" collapsed="false">
      <c r="A1" s="1" t="s">
        <v>212</v>
      </c>
      <c r="J1" s="3" t="s">
        <v>164</v>
      </c>
      <c r="L1" s="25" t="str">
        <f aca="false">IF(為替レート!$B$16="","未入力",為替レート!$B$16)</f>
        <v>未入力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26" t="s">
        <v>166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customFormat="false" ht="30" hidden="false" customHeight="true" outlineLevel="0" collapsed="false">
      <c r="A5" s="9" t="s">
        <v>167</v>
      </c>
      <c r="B5" s="9" t="s">
        <v>168</v>
      </c>
      <c r="C5" s="9" t="s">
        <v>169</v>
      </c>
      <c r="D5" s="9" t="s">
        <v>170</v>
      </c>
      <c r="E5" s="9" t="s">
        <v>171</v>
      </c>
      <c r="F5" s="9" t="s">
        <v>172</v>
      </c>
      <c r="G5" s="9" t="s">
        <v>173</v>
      </c>
      <c r="H5" s="9" t="s">
        <v>174</v>
      </c>
      <c r="I5" s="9" t="s">
        <v>175</v>
      </c>
      <c r="J5" s="9" t="s">
        <v>176</v>
      </c>
      <c r="K5" s="9"/>
      <c r="L5" s="9"/>
      <c r="M5" s="9"/>
      <c r="N5" s="9" t="s">
        <v>177</v>
      </c>
    </row>
    <row r="6" customFormat="false" ht="15" hidden="false" customHeight="false" outlineLevel="0" collapsed="false">
      <c r="A6" s="31"/>
      <c r="B6" s="13"/>
      <c r="C6" s="13"/>
      <c r="D6" s="32"/>
      <c r="E6" s="32"/>
      <c r="F6" s="14"/>
      <c r="G6" s="23"/>
      <c r="H6" s="16" t="str">
        <f aca="false">IF(F6="","",IF(G6&lt;&gt;"",G6,IF(E6="JPY",IF(ISNUMBER($L$1),ROUND(F6/$L$1,2),"レート未入力"),F6)))</f>
        <v/>
      </c>
      <c r="I6" s="13"/>
      <c r="J6" s="22" t="str">
        <f aca="false">IF(A6="","",IF(A6&lt;DATE(2025,4,6),"2024/25",IF(A6&lt;DATE(2026,4,6),"2025/26",IF(A6&lt;DATE(2027,4,6),"2026/27","2027/28"))))</f>
        <v/>
      </c>
      <c r="N6" s="13"/>
    </row>
    <row r="7" customFormat="false" ht="15" hidden="false" customHeight="false" outlineLevel="0" collapsed="false">
      <c r="A7" s="31"/>
      <c r="B7" s="13"/>
      <c r="C7" s="13"/>
      <c r="D7" s="32"/>
      <c r="E7" s="32"/>
      <c r="F7" s="14"/>
      <c r="G7" s="23"/>
      <c r="H7" s="16" t="str">
        <f aca="false">IF(F7="","",IF(G7&lt;&gt;"",G7,IF(E7="JPY",IF(ISNUMBER($L$1),ROUND(F7/$L$1,2),"レート未入力"),F7)))</f>
        <v/>
      </c>
      <c r="I7" s="13"/>
      <c r="J7" s="22" t="str">
        <f aca="false">IF(A7="","",IF(A7&lt;DATE(2025,4,6),"2024/25",IF(A7&lt;DATE(2026,4,6),"2025/26",IF(A7&lt;DATE(2027,4,6),"2026/27","2027/28"))))</f>
        <v/>
      </c>
      <c r="N7" s="13"/>
    </row>
    <row r="8" customFormat="false" ht="15" hidden="false" customHeight="false" outlineLevel="0" collapsed="false">
      <c r="A8" s="31"/>
      <c r="B8" s="13"/>
      <c r="C8" s="13"/>
      <c r="D8" s="32"/>
      <c r="E8" s="32"/>
      <c r="F8" s="14"/>
      <c r="G8" s="23"/>
      <c r="H8" s="16" t="str">
        <f aca="false">IF(F8="","",IF(G8&lt;&gt;"",G8,IF(E8="JPY",IF(ISNUMBER($L$1),ROUND(F8/$L$1,2),"レート未入力"),F8)))</f>
        <v/>
      </c>
      <c r="I8" s="13"/>
      <c r="J8" s="22" t="str">
        <f aca="false">IF(A8="","",IF(A8&lt;DATE(2025,4,6),"2024/25",IF(A8&lt;DATE(2026,4,6),"2025/26",IF(A8&lt;DATE(2027,4,6),"2026/27","2027/28"))))</f>
        <v/>
      </c>
      <c r="N8" s="13"/>
    </row>
    <row r="9" customFormat="false" ht="15" hidden="false" customHeight="false" outlineLevel="0" collapsed="false">
      <c r="A9" s="31"/>
      <c r="B9" s="13"/>
      <c r="C9" s="13"/>
      <c r="D9" s="32"/>
      <c r="E9" s="32"/>
      <c r="F9" s="14"/>
      <c r="G9" s="23"/>
      <c r="H9" s="16" t="str">
        <f aca="false">IF(F9="","",IF(G9&lt;&gt;"",G9,IF(E9="JPY",IF(ISNUMBER($L$1),ROUND(F9/$L$1,2),"レート未入力"),F9)))</f>
        <v/>
      </c>
      <c r="I9" s="13"/>
      <c r="J9" s="22" t="str">
        <f aca="false">IF(A9="","",IF(A9&lt;DATE(2025,4,6),"2024/25",IF(A9&lt;DATE(2026,4,6),"2025/26",IF(A9&lt;DATE(2027,4,6),"2026/27","2027/28"))))</f>
        <v/>
      </c>
      <c r="N9" s="13"/>
    </row>
    <row r="10" customFormat="false" ht="15" hidden="false" customHeight="false" outlineLevel="0" collapsed="false">
      <c r="A10" s="31"/>
      <c r="B10" s="13"/>
      <c r="C10" s="13"/>
      <c r="D10" s="32"/>
      <c r="E10" s="32"/>
      <c r="F10" s="14"/>
      <c r="G10" s="23"/>
      <c r="H10" s="16" t="str">
        <f aca="false">IF(F10="","",IF(G10&lt;&gt;"",G10,IF(E10="JPY",IF(ISNUMBER($L$1),ROUND(F10/$L$1,2),"レート未入力"),F10)))</f>
        <v/>
      </c>
      <c r="I10" s="13"/>
      <c r="J10" s="22" t="str">
        <f aca="false">IF(A10="","",IF(A10&lt;DATE(2025,4,6),"2024/25",IF(A10&lt;DATE(2026,4,6),"2025/26",IF(A10&lt;DATE(2027,4,6),"2026/27","2027/28"))))</f>
        <v/>
      </c>
      <c r="N10" s="13"/>
    </row>
    <row r="11" customFormat="false" ht="15" hidden="false" customHeight="false" outlineLevel="0" collapsed="false">
      <c r="A11" s="31"/>
      <c r="B11" s="13"/>
      <c r="C11" s="13"/>
      <c r="D11" s="32"/>
      <c r="E11" s="32"/>
      <c r="F11" s="14"/>
      <c r="G11" s="23"/>
      <c r="H11" s="16" t="str">
        <f aca="false">IF(F11="","",IF(G11&lt;&gt;"",G11,IF(E11="JPY",IF(ISNUMBER($L$1),ROUND(F11/$L$1,2),"レート未入力"),F11)))</f>
        <v/>
      </c>
      <c r="I11" s="13"/>
      <c r="J11" s="22" t="str">
        <f aca="false">IF(A11="","",IF(A11&lt;DATE(2025,4,6),"2024/25",IF(A11&lt;DATE(2026,4,6),"2025/26",IF(A11&lt;DATE(2027,4,6),"2026/27","2027/28"))))</f>
        <v/>
      </c>
      <c r="N11" s="13"/>
    </row>
    <row r="12" customFormat="false" ht="15" hidden="false" customHeight="false" outlineLevel="0" collapsed="false">
      <c r="A12" s="31"/>
      <c r="B12" s="13"/>
      <c r="C12" s="13"/>
      <c r="D12" s="32"/>
      <c r="E12" s="32"/>
      <c r="F12" s="14"/>
      <c r="G12" s="23"/>
      <c r="H12" s="16" t="str">
        <f aca="false">IF(F12="","",IF(G12&lt;&gt;"",G12,IF(E12="JPY",IF(ISNUMBER($L$1),ROUND(F12/$L$1,2),"レート未入力"),F12)))</f>
        <v/>
      </c>
      <c r="I12" s="13"/>
      <c r="J12" s="22" t="str">
        <f aca="false">IF(A12="","",IF(A12&lt;DATE(2025,4,6),"2024/25",IF(A12&lt;DATE(2026,4,6),"2025/26",IF(A12&lt;DATE(2027,4,6),"2026/27","2027/28"))))</f>
        <v/>
      </c>
      <c r="N12" s="13"/>
    </row>
    <row r="13" customFormat="false" ht="15" hidden="false" customHeight="false" outlineLevel="0" collapsed="false">
      <c r="A13" s="31"/>
      <c r="B13" s="13"/>
      <c r="C13" s="13"/>
      <c r="D13" s="32"/>
      <c r="E13" s="32"/>
      <c r="F13" s="14"/>
      <c r="G13" s="23"/>
      <c r="H13" s="16" t="str">
        <f aca="false">IF(F13="","",IF(G13&lt;&gt;"",G13,IF(E13="JPY",IF(ISNUMBER($L$1),ROUND(F13/$L$1,2),"レート未入力"),F13)))</f>
        <v/>
      </c>
      <c r="I13" s="13"/>
      <c r="J13" s="22" t="str">
        <f aca="false">IF(A13="","",IF(A13&lt;DATE(2025,4,6),"2024/25",IF(A13&lt;DATE(2026,4,6),"2025/26",IF(A13&lt;DATE(2027,4,6),"2026/27","2027/28"))))</f>
        <v/>
      </c>
      <c r="N13" s="13"/>
    </row>
    <row r="14" customFormat="false" ht="15" hidden="false" customHeight="false" outlineLevel="0" collapsed="false">
      <c r="A14" s="31"/>
      <c r="B14" s="13"/>
      <c r="C14" s="13"/>
      <c r="D14" s="32"/>
      <c r="E14" s="32"/>
      <c r="F14" s="14"/>
      <c r="G14" s="23"/>
      <c r="H14" s="16" t="str">
        <f aca="false">IF(F14="","",IF(G14&lt;&gt;"",G14,IF(E14="JPY",IF(ISNUMBER($L$1),ROUND(F14/$L$1,2),"レート未入力"),F14)))</f>
        <v/>
      </c>
      <c r="I14" s="13"/>
      <c r="J14" s="22" t="str">
        <f aca="false">IF(A14="","",IF(A14&lt;DATE(2025,4,6),"2024/25",IF(A14&lt;DATE(2026,4,6),"2025/26",IF(A14&lt;DATE(2027,4,6),"2026/27","2027/28"))))</f>
        <v/>
      </c>
      <c r="N14" s="13"/>
    </row>
    <row r="15" customFormat="false" ht="15" hidden="false" customHeight="false" outlineLevel="0" collapsed="false">
      <c r="A15" s="31"/>
      <c r="B15" s="13"/>
      <c r="C15" s="13"/>
      <c r="D15" s="32"/>
      <c r="E15" s="32"/>
      <c r="F15" s="14"/>
      <c r="G15" s="23"/>
      <c r="H15" s="16" t="str">
        <f aca="false">IF(F15="","",IF(G15&lt;&gt;"",G15,IF(E15="JPY",IF(ISNUMBER($L$1),ROUND(F15/$L$1,2),"レート未入力"),F15)))</f>
        <v/>
      </c>
      <c r="I15" s="13"/>
      <c r="J15" s="22" t="str">
        <f aca="false">IF(A15="","",IF(A15&lt;DATE(2025,4,6),"2024/25",IF(A15&lt;DATE(2026,4,6),"2025/26",IF(A15&lt;DATE(2027,4,6),"2026/27","2027/28"))))</f>
        <v/>
      </c>
      <c r="N15" s="13"/>
    </row>
    <row r="16" customFormat="false" ht="15" hidden="false" customHeight="false" outlineLevel="0" collapsed="false">
      <c r="A16" s="31"/>
      <c r="B16" s="13"/>
      <c r="C16" s="13"/>
      <c r="D16" s="32"/>
      <c r="E16" s="32"/>
      <c r="F16" s="14"/>
      <c r="G16" s="23"/>
      <c r="H16" s="16" t="str">
        <f aca="false">IF(F16="","",IF(G16&lt;&gt;"",G16,IF(E16="JPY",IF(ISNUMBER($L$1),ROUND(F16/$L$1,2),"レート未入力"),F16)))</f>
        <v/>
      </c>
      <c r="I16" s="13"/>
      <c r="J16" s="22" t="str">
        <f aca="false">IF(A16="","",IF(A16&lt;DATE(2025,4,6),"2024/25",IF(A16&lt;DATE(2026,4,6),"2025/26",IF(A16&lt;DATE(2027,4,6),"2026/27","2027/28"))))</f>
        <v/>
      </c>
      <c r="N16" s="13"/>
    </row>
    <row r="17" customFormat="false" ht="15" hidden="false" customHeight="false" outlineLevel="0" collapsed="false">
      <c r="A17" s="31"/>
      <c r="B17" s="13"/>
      <c r="C17" s="13"/>
      <c r="D17" s="32"/>
      <c r="E17" s="32"/>
      <c r="F17" s="14"/>
      <c r="G17" s="23"/>
      <c r="H17" s="16" t="str">
        <f aca="false">IF(F17="","",IF(G17&lt;&gt;"",G17,IF(E17="JPY",IF(ISNUMBER($L$1),ROUND(F17/$L$1,2),"レート未入力"),F17)))</f>
        <v/>
      </c>
      <c r="I17" s="13"/>
      <c r="J17" s="22" t="str">
        <f aca="false">IF(A17="","",IF(A17&lt;DATE(2025,4,6),"2024/25",IF(A17&lt;DATE(2026,4,6),"2025/26",IF(A17&lt;DATE(2027,4,6),"2026/27","2027/28"))))</f>
        <v/>
      </c>
      <c r="N17" s="13"/>
    </row>
    <row r="18" customFormat="false" ht="15" hidden="false" customHeight="false" outlineLevel="0" collapsed="false">
      <c r="A18" s="31"/>
      <c r="B18" s="13"/>
      <c r="C18" s="13"/>
      <c r="D18" s="32"/>
      <c r="E18" s="32"/>
      <c r="F18" s="14"/>
      <c r="G18" s="23"/>
      <c r="H18" s="16" t="str">
        <f aca="false">IF(F18="","",IF(G18&lt;&gt;"",G18,IF(E18="JPY",IF(ISNUMBER($L$1),ROUND(F18/$L$1,2),"レート未入力"),F18)))</f>
        <v/>
      </c>
      <c r="I18" s="13"/>
      <c r="J18" s="22" t="str">
        <f aca="false">IF(A18="","",IF(A18&lt;DATE(2025,4,6),"2024/25",IF(A18&lt;DATE(2026,4,6),"2025/26",IF(A18&lt;DATE(2027,4,6),"2026/27","2027/28"))))</f>
        <v/>
      </c>
      <c r="N18" s="13"/>
    </row>
    <row r="19" customFormat="false" ht="15" hidden="false" customHeight="false" outlineLevel="0" collapsed="false">
      <c r="A19" s="31"/>
      <c r="B19" s="13"/>
      <c r="C19" s="13"/>
      <c r="D19" s="32"/>
      <c r="E19" s="32"/>
      <c r="F19" s="14"/>
      <c r="G19" s="23"/>
      <c r="H19" s="16" t="str">
        <f aca="false">IF(F19="","",IF(G19&lt;&gt;"",G19,IF(E19="JPY",IF(ISNUMBER($L$1),ROUND(F19/$L$1,2),"レート未入力"),F19)))</f>
        <v/>
      </c>
      <c r="I19" s="13"/>
      <c r="J19" s="22" t="str">
        <f aca="false">IF(A19="","",IF(A19&lt;DATE(2025,4,6),"2024/25",IF(A19&lt;DATE(2026,4,6),"2025/26",IF(A19&lt;DATE(2027,4,6),"2026/27","2027/28"))))</f>
        <v/>
      </c>
      <c r="N19" s="13"/>
    </row>
    <row r="20" customFormat="false" ht="15" hidden="false" customHeight="false" outlineLevel="0" collapsed="false">
      <c r="A20" s="31"/>
      <c r="B20" s="13"/>
      <c r="C20" s="13"/>
      <c r="D20" s="32"/>
      <c r="E20" s="32"/>
      <c r="F20" s="14"/>
      <c r="G20" s="23"/>
      <c r="H20" s="16" t="str">
        <f aca="false">IF(F20="","",IF(G20&lt;&gt;"",G20,IF(E20="JPY",IF(ISNUMBER($L$1),ROUND(F20/$L$1,2),"レート未入力"),F20)))</f>
        <v/>
      </c>
      <c r="I20" s="13"/>
      <c r="J20" s="22" t="str">
        <f aca="false">IF(A20="","",IF(A20&lt;DATE(2025,4,6),"2024/25",IF(A20&lt;DATE(2026,4,6),"2025/26",IF(A20&lt;DATE(2027,4,6),"2026/27","2027/28"))))</f>
        <v/>
      </c>
      <c r="N20" s="13"/>
    </row>
    <row r="21" customFormat="false" ht="15" hidden="false" customHeight="false" outlineLevel="0" collapsed="false">
      <c r="A21" s="31"/>
      <c r="B21" s="13"/>
      <c r="C21" s="13"/>
      <c r="D21" s="32"/>
      <c r="E21" s="32"/>
      <c r="F21" s="14"/>
      <c r="G21" s="23"/>
      <c r="H21" s="16" t="str">
        <f aca="false">IF(F21="","",IF(G21&lt;&gt;"",G21,IF(E21="JPY",IF(ISNUMBER($L$1),ROUND(F21/$L$1,2),"レート未入力"),F21)))</f>
        <v/>
      </c>
      <c r="I21" s="13"/>
      <c r="J21" s="22" t="str">
        <f aca="false">IF(A21="","",IF(A21&lt;DATE(2025,4,6),"2024/25",IF(A21&lt;DATE(2026,4,6),"2025/26",IF(A21&lt;DATE(2027,4,6),"2026/27","2027/28"))))</f>
        <v/>
      </c>
      <c r="N21" s="13"/>
    </row>
    <row r="22" customFormat="false" ht="15" hidden="false" customHeight="false" outlineLevel="0" collapsed="false">
      <c r="A22" s="31"/>
      <c r="B22" s="13"/>
      <c r="C22" s="13"/>
      <c r="D22" s="32"/>
      <c r="E22" s="32"/>
      <c r="F22" s="14"/>
      <c r="G22" s="23"/>
      <c r="H22" s="16" t="str">
        <f aca="false">IF(F22="","",IF(G22&lt;&gt;"",G22,IF(E22="JPY",IF(ISNUMBER($L$1),ROUND(F22/$L$1,2),"レート未入力"),F22)))</f>
        <v/>
      </c>
      <c r="I22" s="13"/>
      <c r="J22" s="22" t="str">
        <f aca="false">IF(A22="","",IF(A22&lt;DATE(2025,4,6),"2024/25",IF(A22&lt;DATE(2026,4,6),"2025/26",IF(A22&lt;DATE(2027,4,6),"2026/27","2027/28"))))</f>
        <v/>
      </c>
      <c r="N22" s="13"/>
    </row>
    <row r="23" customFormat="false" ht="15" hidden="false" customHeight="false" outlineLevel="0" collapsed="false">
      <c r="A23" s="31"/>
      <c r="B23" s="13"/>
      <c r="C23" s="13"/>
      <c r="D23" s="32"/>
      <c r="E23" s="32"/>
      <c r="F23" s="14"/>
      <c r="G23" s="23"/>
      <c r="H23" s="16" t="str">
        <f aca="false">IF(F23="","",IF(G23&lt;&gt;"",G23,IF(E23="JPY",IF(ISNUMBER($L$1),ROUND(F23/$L$1,2),"レート未入力"),F23)))</f>
        <v/>
      </c>
      <c r="I23" s="13"/>
      <c r="J23" s="22" t="str">
        <f aca="false">IF(A23="","",IF(A23&lt;DATE(2025,4,6),"2024/25",IF(A23&lt;DATE(2026,4,6),"2025/26",IF(A23&lt;DATE(2027,4,6),"2026/27","2027/28"))))</f>
        <v/>
      </c>
      <c r="N23" s="13"/>
    </row>
    <row r="24" customFormat="false" ht="15" hidden="false" customHeight="false" outlineLevel="0" collapsed="false">
      <c r="A24" s="31"/>
      <c r="B24" s="13"/>
      <c r="C24" s="13"/>
      <c r="D24" s="32"/>
      <c r="E24" s="32"/>
      <c r="F24" s="14"/>
      <c r="G24" s="23"/>
      <c r="H24" s="16" t="str">
        <f aca="false">IF(F24="","",IF(G24&lt;&gt;"",G24,IF(E24="JPY",IF(ISNUMBER($L$1),ROUND(F24/$L$1,2),"レート未入力"),F24)))</f>
        <v/>
      </c>
      <c r="I24" s="13"/>
      <c r="J24" s="22" t="str">
        <f aca="false">IF(A24="","",IF(A24&lt;DATE(2025,4,6),"2024/25",IF(A24&lt;DATE(2026,4,6),"2025/26",IF(A24&lt;DATE(2027,4,6),"2026/27","2027/28"))))</f>
        <v/>
      </c>
      <c r="N24" s="13"/>
    </row>
    <row r="25" customFormat="false" ht="15" hidden="false" customHeight="false" outlineLevel="0" collapsed="false">
      <c r="A25" s="31"/>
      <c r="B25" s="13"/>
      <c r="C25" s="13"/>
      <c r="D25" s="32"/>
      <c r="E25" s="32"/>
      <c r="F25" s="14"/>
      <c r="G25" s="23"/>
      <c r="H25" s="16" t="str">
        <f aca="false">IF(F25="","",IF(G25&lt;&gt;"",G25,IF(E25="JPY",IF(ISNUMBER($L$1),ROUND(F25/$L$1,2),"レート未入力"),F25)))</f>
        <v/>
      </c>
      <c r="I25" s="13"/>
      <c r="J25" s="22" t="str">
        <f aca="false">IF(A25="","",IF(A25&lt;DATE(2025,4,6),"2024/25",IF(A25&lt;DATE(2026,4,6),"2025/26",IF(A25&lt;DATE(2027,4,6),"2026/27","2027/28"))))</f>
        <v/>
      </c>
      <c r="N25" s="13"/>
    </row>
    <row r="26" customFormat="false" ht="15" hidden="false" customHeight="false" outlineLevel="0" collapsed="false">
      <c r="A26" s="3" t="s">
        <v>183</v>
      </c>
      <c r="H26" s="18" t="n">
        <f aca="false">SUM(H6:H25)</f>
        <v>0</v>
      </c>
    </row>
    <row r="28" customFormat="false" ht="15" hidden="false" customHeight="false" outlineLevel="0" collapsed="false">
      <c r="A28" s="26" t="s">
        <v>184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</row>
    <row r="29" customFormat="false" ht="30" hidden="false" customHeight="true" outlineLevel="0" collapsed="false">
      <c r="A29" s="9" t="s">
        <v>167</v>
      </c>
      <c r="B29" s="9" t="s">
        <v>185</v>
      </c>
      <c r="C29" s="9" t="s">
        <v>169</v>
      </c>
      <c r="D29" s="9" t="s">
        <v>38</v>
      </c>
      <c r="E29" s="9" t="s">
        <v>171</v>
      </c>
      <c r="F29" s="9" t="s">
        <v>172</v>
      </c>
      <c r="G29" s="9" t="s">
        <v>173</v>
      </c>
      <c r="H29" s="10" t="s">
        <v>186</v>
      </c>
      <c r="I29" s="9" t="s">
        <v>187</v>
      </c>
      <c r="J29" s="9" t="s">
        <v>188</v>
      </c>
      <c r="K29" s="9" t="s">
        <v>189</v>
      </c>
      <c r="L29" s="9" t="s">
        <v>176</v>
      </c>
      <c r="M29" s="9"/>
      <c r="N29" s="9" t="s">
        <v>177</v>
      </c>
    </row>
    <row r="30" customFormat="false" ht="15" hidden="false" customHeight="false" outlineLevel="0" collapsed="false">
      <c r="A30" s="31"/>
      <c r="B30" s="13"/>
      <c r="C30" s="13"/>
      <c r="D30" s="32"/>
      <c r="E30" s="32"/>
      <c r="F30" s="14"/>
      <c r="G30" s="23"/>
      <c r="H30" s="16" t="str">
        <f aca="false">IF(F30="","",IF(G30&lt;&gt;"",G30,IF(E30="JPY",IF(ISNUMBER($L$1),ROUND(F30/$L$1,2),"レート未入力"),F30)))</f>
        <v/>
      </c>
      <c r="I30" s="33"/>
      <c r="J30" s="16" t="str">
        <f aca="false">IF(ISNUMBER(H30),ROUND(H30*IF(I30="",1,I30),2),"")</f>
        <v/>
      </c>
      <c r="K30" s="35"/>
      <c r="L30" s="22" t="str">
        <f aca="false">IF(A30="","",IF(A30&lt;DATE(2025,4,6),"2024/25",IF(A30&lt;DATE(2026,4,6),"2025/26",IF(A30&lt;DATE(2027,4,6),"2026/27","2027/28"))))</f>
        <v/>
      </c>
      <c r="N30" s="13"/>
    </row>
    <row r="31" customFormat="false" ht="15" hidden="false" customHeight="false" outlineLevel="0" collapsed="false">
      <c r="A31" s="31"/>
      <c r="B31" s="13"/>
      <c r="C31" s="13"/>
      <c r="D31" s="32"/>
      <c r="E31" s="32"/>
      <c r="F31" s="14"/>
      <c r="G31" s="23"/>
      <c r="H31" s="16" t="str">
        <f aca="false">IF(F31="","",IF(G31&lt;&gt;"",G31,IF(E31="JPY",IF(ISNUMBER($L$1),ROUND(F31/$L$1,2),"レート未入力"),F31)))</f>
        <v/>
      </c>
      <c r="I31" s="33"/>
      <c r="J31" s="16" t="str">
        <f aca="false">IF(ISNUMBER(H31),ROUND(H31*IF(I31="",1,I31),2),"")</f>
        <v/>
      </c>
      <c r="K31" s="35"/>
      <c r="L31" s="22" t="str">
        <f aca="false">IF(A31="","",IF(A31&lt;DATE(2025,4,6),"2024/25",IF(A31&lt;DATE(2026,4,6),"2025/26",IF(A31&lt;DATE(2027,4,6),"2026/27","2027/28"))))</f>
        <v/>
      </c>
      <c r="N31" s="13"/>
    </row>
    <row r="32" customFormat="false" ht="15" hidden="false" customHeight="false" outlineLevel="0" collapsed="false">
      <c r="A32" s="31"/>
      <c r="B32" s="13"/>
      <c r="C32" s="13"/>
      <c r="D32" s="32"/>
      <c r="E32" s="32"/>
      <c r="F32" s="14"/>
      <c r="G32" s="23"/>
      <c r="H32" s="16" t="str">
        <f aca="false">IF(F32="","",IF(G32&lt;&gt;"",G32,IF(E32="JPY",IF(ISNUMBER($L$1),ROUND(F32/$L$1,2),"レート未入力"),F32)))</f>
        <v/>
      </c>
      <c r="I32" s="33"/>
      <c r="J32" s="16" t="str">
        <f aca="false">IF(ISNUMBER(H32),ROUND(H32*IF(I32="",1,I32),2),"")</f>
        <v/>
      </c>
      <c r="K32" s="35"/>
      <c r="L32" s="22" t="str">
        <f aca="false">IF(A32="","",IF(A32&lt;DATE(2025,4,6),"2024/25",IF(A32&lt;DATE(2026,4,6),"2025/26",IF(A32&lt;DATE(2027,4,6),"2026/27","2027/28"))))</f>
        <v/>
      </c>
      <c r="N32" s="13"/>
    </row>
    <row r="33" customFormat="false" ht="15" hidden="false" customHeight="false" outlineLevel="0" collapsed="false">
      <c r="A33" s="31"/>
      <c r="B33" s="13"/>
      <c r="C33" s="13"/>
      <c r="D33" s="32"/>
      <c r="E33" s="32"/>
      <c r="F33" s="14"/>
      <c r="G33" s="23"/>
      <c r="H33" s="16" t="str">
        <f aca="false">IF(F33="","",IF(G33&lt;&gt;"",G33,IF(E33="JPY",IF(ISNUMBER($L$1),ROUND(F33/$L$1,2),"レート未入力"),F33)))</f>
        <v/>
      </c>
      <c r="I33" s="33"/>
      <c r="J33" s="16" t="str">
        <f aca="false">IF(ISNUMBER(H33),ROUND(H33*IF(I33="",1,I33),2),"")</f>
        <v/>
      </c>
      <c r="K33" s="35"/>
      <c r="L33" s="22" t="str">
        <f aca="false">IF(A33="","",IF(A33&lt;DATE(2025,4,6),"2024/25",IF(A33&lt;DATE(2026,4,6),"2025/26",IF(A33&lt;DATE(2027,4,6),"2026/27","2027/28"))))</f>
        <v/>
      </c>
      <c r="N33" s="13"/>
    </row>
    <row r="34" customFormat="false" ht="15" hidden="false" customHeight="false" outlineLevel="0" collapsed="false">
      <c r="A34" s="31"/>
      <c r="B34" s="13"/>
      <c r="C34" s="13"/>
      <c r="D34" s="32"/>
      <c r="E34" s="32"/>
      <c r="F34" s="14"/>
      <c r="G34" s="23"/>
      <c r="H34" s="16" t="str">
        <f aca="false">IF(F34="","",IF(G34&lt;&gt;"",G34,IF(E34="JPY",IF(ISNUMBER($L$1),ROUND(F34/$L$1,2),"レート未入力"),F34)))</f>
        <v/>
      </c>
      <c r="I34" s="33"/>
      <c r="J34" s="16" t="str">
        <f aca="false">IF(ISNUMBER(H34),ROUND(H34*IF(I34="",1,I34),2),"")</f>
        <v/>
      </c>
      <c r="K34" s="35"/>
      <c r="L34" s="22" t="str">
        <f aca="false">IF(A34="","",IF(A34&lt;DATE(2025,4,6),"2024/25",IF(A34&lt;DATE(2026,4,6),"2025/26",IF(A34&lt;DATE(2027,4,6),"2026/27","2027/28"))))</f>
        <v/>
      </c>
      <c r="N34" s="13"/>
    </row>
    <row r="35" customFormat="false" ht="15" hidden="false" customHeight="false" outlineLevel="0" collapsed="false">
      <c r="A35" s="31"/>
      <c r="B35" s="13"/>
      <c r="C35" s="13"/>
      <c r="D35" s="32"/>
      <c r="E35" s="32"/>
      <c r="F35" s="14"/>
      <c r="G35" s="23"/>
      <c r="H35" s="16" t="str">
        <f aca="false">IF(F35="","",IF(G35&lt;&gt;"",G35,IF(E35="JPY",IF(ISNUMBER($L$1),ROUND(F35/$L$1,2),"レート未入力"),F35)))</f>
        <v/>
      </c>
      <c r="I35" s="33"/>
      <c r="J35" s="16" t="str">
        <f aca="false">IF(ISNUMBER(H35),ROUND(H35*IF(I35="",1,I35),2),"")</f>
        <v/>
      </c>
      <c r="K35" s="35"/>
      <c r="L35" s="22" t="str">
        <f aca="false">IF(A35="","",IF(A35&lt;DATE(2025,4,6),"2024/25",IF(A35&lt;DATE(2026,4,6),"2025/26",IF(A35&lt;DATE(2027,4,6),"2026/27","2027/28"))))</f>
        <v/>
      </c>
      <c r="N35" s="13"/>
    </row>
    <row r="36" customFormat="false" ht="15" hidden="false" customHeight="false" outlineLevel="0" collapsed="false">
      <c r="A36" s="31"/>
      <c r="B36" s="13"/>
      <c r="C36" s="13"/>
      <c r="D36" s="32"/>
      <c r="E36" s="32"/>
      <c r="F36" s="14"/>
      <c r="G36" s="23"/>
      <c r="H36" s="16" t="str">
        <f aca="false">IF(F36="","",IF(G36&lt;&gt;"",G36,IF(E36="JPY",IF(ISNUMBER($L$1),ROUND(F36/$L$1,2),"レート未入力"),F36)))</f>
        <v/>
      </c>
      <c r="I36" s="33"/>
      <c r="J36" s="16" t="str">
        <f aca="false">IF(ISNUMBER(H36),ROUND(H36*IF(I36="",1,I36),2),"")</f>
        <v/>
      </c>
      <c r="K36" s="35"/>
      <c r="L36" s="22" t="str">
        <f aca="false">IF(A36="","",IF(A36&lt;DATE(2025,4,6),"2024/25",IF(A36&lt;DATE(2026,4,6),"2025/26",IF(A36&lt;DATE(2027,4,6),"2026/27","2027/28"))))</f>
        <v/>
      </c>
      <c r="N36" s="13"/>
    </row>
    <row r="37" customFormat="false" ht="15" hidden="false" customHeight="false" outlineLevel="0" collapsed="false">
      <c r="A37" s="31"/>
      <c r="B37" s="13"/>
      <c r="C37" s="13"/>
      <c r="D37" s="32"/>
      <c r="E37" s="32"/>
      <c r="F37" s="14"/>
      <c r="G37" s="23"/>
      <c r="H37" s="16" t="str">
        <f aca="false">IF(F37="","",IF(G37&lt;&gt;"",G37,IF(E37="JPY",IF(ISNUMBER($L$1),ROUND(F37/$L$1,2),"レート未入力"),F37)))</f>
        <v/>
      </c>
      <c r="I37" s="33"/>
      <c r="J37" s="16" t="str">
        <f aca="false">IF(ISNUMBER(H37),ROUND(H37*IF(I37="",1,I37),2),"")</f>
        <v/>
      </c>
      <c r="K37" s="35"/>
      <c r="L37" s="22" t="str">
        <f aca="false">IF(A37="","",IF(A37&lt;DATE(2025,4,6),"2024/25",IF(A37&lt;DATE(2026,4,6),"2025/26",IF(A37&lt;DATE(2027,4,6),"2026/27","2027/28"))))</f>
        <v/>
      </c>
      <c r="N37" s="13"/>
    </row>
    <row r="38" customFormat="false" ht="15" hidden="false" customHeight="false" outlineLevel="0" collapsed="false">
      <c r="A38" s="31"/>
      <c r="B38" s="13"/>
      <c r="C38" s="13"/>
      <c r="D38" s="32"/>
      <c r="E38" s="32"/>
      <c r="F38" s="14"/>
      <c r="G38" s="23"/>
      <c r="H38" s="16" t="str">
        <f aca="false">IF(F38="","",IF(G38&lt;&gt;"",G38,IF(E38="JPY",IF(ISNUMBER($L$1),ROUND(F38/$L$1,2),"レート未入力"),F38)))</f>
        <v/>
      </c>
      <c r="I38" s="33"/>
      <c r="J38" s="16" t="str">
        <f aca="false">IF(ISNUMBER(H38),ROUND(H38*IF(I38="",1,I38),2),"")</f>
        <v/>
      </c>
      <c r="K38" s="35"/>
      <c r="L38" s="22" t="str">
        <f aca="false">IF(A38="","",IF(A38&lt;DATE(2025,4,6),"2024/25",IF(A38&lt;DATE(2026,4,6),"2025/26",IF(A38&lt;DATE(2027,4,6),"2026/27","2027/28"))))</f>
        <v/>
      </c>
      <c r="N38" s="13"/>
    </row>
    <row r="39" customFormat="false" ht="15" hidden="false" customHeight="false" outlineLevel="0" collapsed="false">
      <c r="A39" s="31"/>
      <c r="B39" s="13"/>
      <c r="C39" s="13"/>
      <c r="D39" s="32"/>
      <c r="E39" s="32"/>
      <c r="F39" s="14"/>
      <c r="G39" s="23"/>
      <c r="H39" s="16" t="str">
        <f aca="false">IF(F39="","",IF(G39&lt;&gt;"",G39,IF(E39="JPY",IF(ISNUMBER($L$1),ROUND(F39/$L$1,2),"レート未入力"),F39)))</f>
        <v/>
      </c>
      <c r="I39" s="33"/>
      <c r="J39" s="16" t="str">
        <f aca="false">IF(ISNUMBER(H39),ROUND(H39*IF(I39="",1,I39),2),"")</f>
        <v/>
      </c>
      <c r="K39" s="35"/>
      <c r="L39" s="22" t="str">
        <f aca="false">IF(A39="","",IF(A39&lt;DATE(2025,4,6),"2024/25",IF(A39&lt;DATE(2026,4,6),"2025/26",IF(A39&lt;DATE(2027,4,6),"2026/27","2027/28"))))</f>
        <v/>
      </c>
      <c r="N39" s="13"/>
    </row>
    <row r="40" customFormat="false" ht="15" hidden="false" customHeight="false" outlineLevel="0" collapsed="false">
      <c r="A40" s="31"/>
      <c r="B40" s="13"/>
      <c r="C40" s="13"/>
      <c r="D40" s="32"/>
      <c r="E40" s="32"/>
      <c r="F40" s="14"/>
      <c r="G40" s="23"/>
      <c r="H40" s="16" t="str">
        <f aca="false">IF(F40="","",IF(G40&lt;&gt;"",G40,IF(E40="JPY",IF(ISNUMBER($L$1),ROUND(F40/$L$1,2),"レート未入力"),F40)))</f>
        <v/>
      </c>
      <c r="I40" s="33"/>
      <c r="J40" s="16" t="str">
        <f aca="false">IF(ISNUMBER(H40),ROUND(H40*IF(I40="",1,I40),2),"")</f>
        <v/>
      </c>
      <c r="K40" s="35"/>
      <c r="L40" s="22" t="str">
        <f aca="false">IF(A40="","",IF(A40&lt;DATE(2025,4,6),"2024/25",IF(A40&lt;DATE(2026,4,6),"2025/26",IF(A40&lt;DATE(2027,4,6),"2026/27","2027/28"))))</f>
        <v/>
      </c>
      <c r="N40" s="13"/>
    </row>
    <row r="41" customFormat="false" ht="15" hidden="false" customHeight="false" outlineLevel="0" collapsed="false">
      <c r="A41" s="31"/>
      <c r="B41" s="13"/>
      <c r="C41" s="13"/>
      <c r="D41" s="32"/>
      <c r="E41" s="32"/>
      <c r="F41" s="14"/>
      <c r="G41" s="23"/>
      <c r="H41" s="16" t="str">
        <f aca="false">IF(F41="","",IF(G41&lt;&gt;"",G41,IF(E41="JPY",IF(ISNUMBER($L$1),ROUND(F41/$L$1,2),"レート未入力"),F41)))</f>
        <v/>
      </c>
      <c r="I41" s="33"/>
      <c r="J41" s="16" t="str">
        <f aca="false">IF(ISNUMBER(H41),ROUND(H41*IF(I41="",1,I41),2),"")</f>
        <v/>
      </c>
      <c r="K41" s="35"/>
      <c r="L41" s="22" t="str">
        <f aca="false">IF(A41="","",IF(A41&lt;DATE(2025,4,6),"2024/25",IF(A41&lt;DATE(2026,4,6),"2025/26",IF(A41&lt;DATE(2027,4,6),"2026/27","2027/28"))))</f>
        <v/>
      </c>
      <c r="N41" s="13"/>
    </row>
    <row r="42" customFormat="false" ht="15" hidden="false" customHeight="false" outlineLevel="0" collapsed="false">
      <c r="A42" s="31"/>
      <c r="B42" s="13"/>
      <c r="C42" s="13"/>
      <c r="D42" s="32"/>
      <c r="E42" s="32"/>
      <c r="F42" s="14"/>
      <c r="G42" s="23"/>
      <c r="H42" s="16" t="str">
        <f aca="false">IF(F42="","",IF(G42&lt;&gt;"",G42,IF(E42="JPY",IF(ISNUMBER($L$1),ROUND(F42/$L$1,2),"レート未入力"),F42)))</f>
        <v/>
      </c>
      <c r="I42" s="33"/>
      <c r="J42" s="16" t="str">
        <f aca="false">IF(ISNUMBER(H42),ROUND(H42*IF(I42="",1,I42),2),"")</f>
        <v/>
      </c>
      <c r="K42" s="35"/>
      <c r="L42" s="22" t="str">
        <f aca="false">IF(A42="","",IF(A42&lt;DATE(2025,4,6),"2024/25",IF(A42&lt;DATE(2026,4,6),"2025/26",IF(A42&lt;DATE(2027,4,6),"2026/27","2027/28"))))</f>
        <v/>
      </c>
      <c r="N42" s="13"/>
    </row>
    <row r="43" customFormat="false" ht="15" hidden="false" customHeight="false" outlineLevel="0" collapsed="false">
      <c r="A43" s="31"/>
      <c r="B43" s="13"/>
      <c r="C43" s="13"/>
      <c r="D43" s="32"/>
      <c r="E43" s="32"/>
      <c r="F43" s="14"/>
      <c r="G43" s="23"/>
      <c r="H43" s="16" t="str">
        <f aca="false">IF(F43="","",IF(G43&lt;&gt;"",G43,IF(E43="JPY",IF(ISNUMBER($L$1),ROUND(F43/$L$1,2),"レート未入力"),F43)))</f>
        <v/>
      </c>
      <c r="I43" s="33"/>
      <c r="J43" s="16" t="str">
        <f aca="false">IF(ISNUMBER(H43),ROUND(H43*IF(I43="",1,I43),2),"")</f>
        <v/>
      </c>
      <c r="K43" s="35"/>
      <c r="L43" s="22" t="str">
        <f aca="false">IF(A43="","",IF(A43&lt;DATE(2025,4,6),"2024/25",IF(A43&lt;DATE(2026,4,6),"2025/26",IF(A43&lt;DATE(2027,4,6),"2026/27","2027/28"))))</f>
        <v/>
      </c>
      <c r="N43" s="13"/>
    </row>
    <row r="44" customFormat="false" ht="15" hidden="false" customHeight="false" outlineLevel="0" collapsed="false">
      <c r="A44" s="31"/>
      <c r="B44" s="13"/>
      <c r="C44" s="13"/>
      <c r="D44" s="32"/>
      <c r="E44" s="32"/>
      <c r="F44" s="14"/>
      <c r="G44" s="23"/>
      <c r="H44" s="16" t="str">
        <f aca="false">IF(F44="","",IF(G44&lt;&gt;"",G44,IF(E44="JPY",IF(ISNUMBER($L$1),ROUND(F44/$L$1,2),"レート未入力"),F44)))</f>
        <v/>
      </c>
      <c r="I44" s="33"/>
      <c r="J44" s="16" t="str">
        <f aca="false">IF(ISNUMBER(H44),ROUND(H44*IF(I44="",1,I44),2),"")</f>
        <v/>
      </c>
      <c r="K44" s="35"/>
      <c r="L44" s="22" t="str">
        <f aca="false">IF(A44="","",IF(A44&lt;DATE(2025,4,6),"2024/25",IF(A44&lt;DATE(2026,4,6),"2025/26",IF(A44&lt;DATE(2027,4,6),"2026/27","2027/28"))))</f>
        <v/>
      </c>
      <c r="N44" s="13"/>
    </row>
    <row r="45" customFormat="false" ht="15" hidden="false" customHeight="false" outlineLevel="0" collapsed="false">
      <c r="A45" s="31"/>
      <c r="B45" s="13"/>
      <c r="C45" s="13"/>
      <c r="D45" s="32"/>
      <c r="E45" s="32"/>
      <c r="F45" s="14"/>
      <c r="G45" s="23"/>
      <c r="H45" s="16" t="str">
        <f aca="false">IF(F45="","",IF(G45&lt;&gt;"",G45,IF(E45="JPY",IF(ISNUMBER($L$1),ROUND(F45/$L$1,2),"レート未入力"),F45)))</f>
        <v/>
      </c>
      <c r="I45" s="33"/>
      <c r="J45" s="16" t="str">
        <f aca="false">IF(ISNUMBER(H45),ROUND(H45*IF(I45="",1,I45),2),"")</f>
        <v/>
      </c>
      <c r="K45" s="35"/>
      <c r="L45" s="22" t="str">
        <f aca="false">IF(A45="","",IF(A45&lt;DATE(2025,4,6),"2024/25",IF(A45&lt;DATE(2026,4,6),"2025/26",IF(A45&lt;DATE(2027,4,6),"2026/27","2027/28"))))</f>
        <v/>
      </c>
      <c r="N45" s="13"/>
    </row>
    <row r="46" customFormat="false" ht="15" hidden="false" customHeight="false" outlineLevel="0" collapsed="false">
      <c r="A46" s="31"/>
      <c r="B46" s="13"/>
      <c r="C46" s="13"/>
      <c r="D46" s="32"/>
      <c r="E46" s="32"/>
      <c r="F46" s="14"/>
      <c r="G46" s="23"/>
      <c r="H46" s="16" t="str">
        <f aca="false">IF(F46="","",IF(G46&lt;&gt;"",G46,IF(E46="JPY",IF(ISNUMBER($L$1),ROUND(F46/$L$1,2),"レート未入力"),F46)))</f>
        <v/>
      </c>
      <c r="I46" s="33"/>
      <c r="J46" s="16" t="str">
        <f aca="false">IF(ISNUMBER(H46),ROUND(H46*IF(I46="",1,I46),2),"")</f>
        <v/>
      </c>
      <c r="K46" s="35"/>
      <c r="L46" s="22" t="str">
        <f aca="false">IF(A46="","",IF(A46&lt;DATE(2025,4,6),"2024/25",IF(A46&lt;DATE(2026,4,6),"2025/26",IF(A46&lt;DATE(2027,4,6),"2026/27","2027/28"))))</f>
        <v/>
      </c>
      <c r="N46" s="13"/>
    </row>
    <row r="47" customFormat="false" ht="15" hidden="false" customHeight="false" outlineLevel="0" collapsed="false">
      <c r="A47" s="31"/>
      <c r="B47" s="13"/>
      <c r="C47" s="13"/>
      <c r="D47" s="32"/>
      <c r="E47" s="32"/>
      <c r="F47" s="14"/>
      <c r="G47" s="23"/>
      <c r="H47" s="16" t="str">
        <f aca="false">IF(F47="","",IF(G47&lt;&gt;"",G47,IF(E47="JPY",IF(ISNUMBER($L$1),ROUND(F47/$L$1,2),"レート未入力"),F47)))</f>
        <v/>
      </c>
      <c r="I47" s="33"/>
      <c r="J47" s="16" t="str">
        <f aca="false">IF(ISNUMBER(H47),ROUND(H47*IF(I47="",1,I47),2),"")</f>
        <v/>
      </c>
      <c r="K47" s="35"/>
      <c r="L47" s="22" t="str">
        <f aca="false">IF(A47="","",IF(A47&lt;DATE(2025,4,6),"2024/25",IF(A47&lt;DATE(2026,4,6),"2025/26",IF(A47&lt;DATE(2027,4,6),"2026/27","2027/28"))))</f>
        <v/>
      </c>
      <c r="N47" s="13"/>
    </row>
    <row r="48" customFormat="false" ht="15" hidden="false" customHeight="false" outlineLevel="0" collapsed="false">
      <c r="A48" s="31"/>
      <c r="B48" s="13"/>
      <c r="C48" s="13"/>
      <c r="D48" s="32"/>
      <c r="E48" s="32"/>
      <c r="F48" s="14"/>
      <c r="G48" s="23"/>
      <c r="H48" s="16" t="str">
        <f aca="false">IF(F48="","",IF(G48&lt;&gt;"",G48,IF(E48="JPY",IF(ISNUMBER($L$1),ROUND(F48/$L$1,2),"レート未入力"),F48)))</f>
        <v/>
      </c>
      <c r="I48" s="33"/>
      <c r="J48" s="16" t="str">
        <f aca="false">IF(ISNUMBER(H48),ROUND(H48*IF(I48="",1,I48),2),"")</f>
        <v/>
      </c>
      <c r="K48" s="35"/>
      <c r="L48" s="22" t="str">
        <f aca="false">IF(A48="","",IF(A48&lt;DATE(2025,4,6),"2024/25",IF(A48&lt;DATE(2026,4,6),"2025/26",IF(A48&lt;DATE(2027,4,6),"2026/27","2027/28"))))</f>
        <v/>
      </c>
      <c r="N48" s="13"/>
    </row>
    <row r="49" customFormat="false" ht="15" hidden="false" customHeight="false" outlineLevel="0" collapsed="false">
      <c r="A49" s="31"/>
      <c r="B49" s="13"/>
      <c r="C49" s="13"/>
      <c r="D49" s="32"/>
      <c r="E49" s="32"/>
      <c r="F49" s="14"/>
      <c r="G49" s="23"/>
      <c r="H49" s="16" t="str">
        <f aca="false">IF(F49="","",IF(G49&lt;&gt;"",G49,IF(E49="JPY",IF(ISNUMBER($L$1),ROUND(F49/$L$1,2),"レート未入力"),F49)))</f>
        <v/>
      </c>
      <c r="I49" s="33"/>
      <c r="J49" s="16" t="str">
        <f aca="false">IF(ISNUMBER(H49),ROUND(H49*IF(I49="",1,I49),2),"")</f>
        <v/>
      </c>
      <c r="K49" s="35"/>
      <c r="L49" s="22" t="str">
        <f aca="false">IF(A49="","",IF(A49&lt;DATE(2025,4,6),"2024/25",IF(A49&lt;DATE(2026,4,6),"2025/26",IF(A49&lt;DATE(2027,4,6),"2026/27","2027/28"))))</f>
        <v/>
      </c>
      <c r="N49" s="13"/>
    </row>
    <row r="50" customFormat="false" ht="15" hidden="false" customHeight="false" outlineLevel="0" collapsed="false">
      <c r="A50" s="31"/>
      <c r="B50" s="13"/>
      <c r="C50" s="13"/>
      <c r="D50" s="32"/>
      <c r="E50" s="32"/>
      <c r="F50" s="14"/>
      <c r="G50" s="23"/>
      <c r="H50" s="16" t="str">
        <f aca="false">IF(F50="","",IF(G50&lt;&gt;"",G50,IF(E50="JPY",IF(ISNUMBER($L$1),ROUND(F50/$L$1,2),"レート未入力"),F50)))</f>
        <v/>
      </c>
      <c r="I50" s="33"/>
      <c r="J50" s="16" t="str">
        <f aca="false">IF(ISNUMBER(H50),ROUND(H50*IF(I50="",1,I50),2),"")</f>
        <v/>
      </c>
      <c r="K50" s="35"/>
      <c r="L50" s="22" t="str">
        <f aca="false">IF(A50="","",IF(A50&lt;DATE(2025,4,6),"2024/25",IF(A50&lt;DATE(2026,4,6),"2025/26",IF(A50&lt;DATE(2027,4,6),"2026/27","2027/28"))))</f>
        <v/>
      </c>
      <c r="N50" s="13"/>
    </row>
    <row r="51" customFormat="false" ht="15" hidden="false" customHeight="false" outlineLevel="0" collapsed="false">
      <c r="A51" s="31"/>
      <c r="B51" s="13"/>
      <c r="C51" s="13"/>
      <c r="D51" s="32"/>
      <c r="E51" s="32"/>
      <c r="F51" s="14"/>
      <c r="G51" s="23"/>
      <c r="H51" s="16" t="str">
        <f aca="false">IF(F51="","",IF(G51&lt;&gt;"",G51,IF(E51="JPY",IF(ISNUMBER($L$1),ROUND(F51/$L$1,2),"レート未入力"),F51)))</f>
        <v/>
      </c>
      <c r="I51" s="33"/>
      <c r="J51" s="16" t="str">
        <f aca="false">IF(ISNUMBER(H51),ROUND(H51*IF(I51="",1,I51),2),"")</f>
        <v/>
      </c>
      <c r="K51" s="35"/>
      <c r="L51" s="22" t="str">
        <f aca="false">IF(A51="","",IF(A51&lt;DATE(2025,4,6),"2024/25",IF(A51&lt;DATE(2026,4,6),"2025/26",IF(A51&lt;DATE(2027,4,6),"2026/27","2027/28"))))</f>
        <v/>
      </c>
      <c r="N51" s="13"/>
    </row>
    <row r="52" customFormat="false" ht="15" hidden="false" customHeight="false" outlineLevel="0" collapsed="false">
      <c r="A52" s="31"/>
      <c r="B52" s="13"/>
      <c r="C52" s="13"/>
      <c r="D52" s="32"/>
      <c r="E52" s="32"/>
      <c r="F52" s="14"/>
      <c r="G52" s="23"/>
      <c r="H52" s="16" t="str">
        <f aca="false">IF(F52="","",IF(G52&lt;&gt;"",G52,IF(E52="JPY",IF(ISNUMBER($L$1),ROUND(F52/$L$1,2),"レート未入力"),F52)))</f>
        <v/>
      </c>
      <c r="I52" s="33"/>
      <c r="J52" s="16" t="str">
        <f aca="false">IF(ISNUMBER(H52),ROUND(H52*IF(I52="",1,I52),2),"")</f>
        <v/>
      </c>
      <c r="K52" s="35"/>
      <c r="L52" s="22" t="str">
        <f aca="false">IF(A52="","",IF(A52&lt;DATE(2025,4,6),"2024/25",IF(A52&lt;DATE(2026,4,6),"2025/26",IF(A52&lt;DATE(2027,4,6),"2026/27","2027/28"))))</f>
        <v/>
      </c>
      <c r="N52" s="13"/>
    </row>
    <row r="53" customFormat="false" ht="15" hidden="false" customHeight="false" outlineLevel="0" collapsed="false">
      <c r="A53" s="31"/>
      <c r="B53" s="13"/>
      <c r="C53" s="13"/>
      <c r="D53" s="32"/>
      <c r="E53" s="32"/>
      <c r="F53" s="14"/>
      <c r="G53" s="23"/>
      <c r="H53" s="16" t="str">
        <f aca="false">IF(F53="","",IF(G53&lt;&gt;"",G53,IF(E53="JPY",IF(ISNUMBER($L$1),ROUND(F53/$L$1,2),"レート未入力"),F53)))</f>
        <v/>
      </c>
      <c r="I53" s="33"/>
      <c r="J53" s="16" t="str">
        <f aca="false">IF(ISNUMBER(H53),ROUND(H53*IF(I53="",1,I53),2),"")</f>
        <v/>
      </c>
      <c r="K53" s="35"/>
      <c r="L53" s="22" t="str">
        <f aca="false">IF(A53="","",IF(A53&lt;DATE(2025,4,6),"2024/25",IF(A53&lt;DATE(2026,4,6),"2025/26",IF(A53&lt;DATE(2027,4,6),"2026/27","2027/28"))))</f>
        <v/>
      </c>
      <c r="N53" s="13"/>
    </row>
    <row r="54" customFormat="false" ht="15" hidden="false" customHeight="false" outlineLevel="0" collapsed="false">
      <c r="A54" s="31"/>
      <c r="B54" s="13"/>
      <c r="C54" s="13"/>
      <c r="D54" s="32"/>
      <c r="E54" s="32"/>
      <c r="F54" s="14"/>
      <c r="G54" s="23"/>
      <c r="H54" s="16" t="str">
        <f aca="false">IF(F54="","",IF(G54&lt;&gt;"",G54,IF(E54="JPY",IF(ISNUMBER($L$1),ROUND(F54/$L$1,2),"レート未入力"),F54)))</f>
        <v/>
      </c>
      <c r="I54" s="33"/>
      <c r="J54" s="16" t="str">
        <f aca="false">IF(ISNUMBER(H54),ROUND(H54*IF(I54="",1,I54),2),"")</f>
        <v/>
      </c>
      <c r="K54" s="35"/>
      <c r="L54" s="22" t="str">
        <f aca="false">IF(A54="","",IF(A54&lt;DATE(2025,4,6),"2024/25",IF(A54&lt;DATE(2026,4,6),"2025/26",IF(A54&lt;DATE(2027,4,6),"2026/27","2027/28"))))</f>
        <v/>
      </c>
      <c r="N54" s="13"/>
    </row>
    <row r="55" customFormat="false" ht="15" hidden="false" customHeight="false" outlineLevel="0" collapsed="false">
      <c r="A55" s="31"/>
      <c r="B55" s="13"/>
      <c r="C55" s="13"/>
      <c r="D55" s="32"/>
      <c r="E55" s="32"/>
      <c r="F55" s="14"/>
      <c r="G55" s="23"/>
      <c r="H55" s="16" t="str">
        <f aca="false">IF(F55="","",IF(G55&lt;&gt;"",G55,IF(E55="JPY",IF(ISNUMBER($L$1),ROUND(F55/$L$1,2),"レート未入力"),F55)))</f>
        <v/>
      </c>
      <c r="I55" s="33"/>
      <c r="J55" s="16" t="str">
        <f aca="false">IF(ISNUMBER(H55),ROUND(H55*IF(I55="",1,I55),2),"")</f>
        <v/>
      </c>
      <c r="K55" s="35"/>
      <c r="L55" s="22" t="str">
        <f aca="false">IF(A55="","",IF(A55&lt;DATE(2025,4,6),"2024/25",IF(A55&lt;DATE(2026,4,6),"2025/26",IF(A55&lt;DATE(2027,4,6),"2026/27","2027/28"))))</f>
        <v/>
      </c>
      <c r="N55" s="13"/>
    </row>
    <row r="56" customFormat="false" ht="15" hidden="false" customHeight="false" outlineLevel="0" collapsed="false">
      <c r="A56" s="31"/>
      <c r="B56" s="13"/>
      <c r="C56" s="13"/>
      <c r="D56" s="32"/>
      <c r="E56" s="32"/>
      <c r="F56" s="14"/>
      <c r="G56" s="23"/>
      <c r="H56" s="16" t="str">
        <f aca="false">IF(F56="","",IF(G56&lt;&gt;"",G56,IF(E56="JPY",IF(ISNUMBER($L$1),ROUND(F56/$L$1,2),"レート未入力"),F56)))</f>
        <v/>
      </c>
      <c r="I56" s="33"/>
      <c r="J56" s="16" t="str">
        <f aca="false">IF(ISNUMBER(H56),ROUND(H56*IF(I56="",1,I56),2),"")</f>
        <v/>
      </c>
      <c r="K56" s="35"/>
      <c r="L56" s="22" t="str">
        <f aca="false">IF(A56="","",IF(A56&lt;DATE(2025,4,6),"2024/25",IF(A56&lt;DATE(2026,4,6),"2025/26",IF(A56&lt;DATE(2027,4,6),"2026/27","2027/28"))))</f>
        <v/>
      </c>
      <c r="N56" s="13"/>
    </row>
    <row r="57" customFormat="false" ht="15" hidden="false" customHeight="false" outlineLevel="0" collapsed="false">
      <c r="A57" s="31"/>
      <c r="B57" s="13"/>
      <c r="C57" s="13"/>
      <c r="D57" s="32"/>
      <c r="E57" s="32"/>
      <c r="F57" s="14"/>
      <c r="G57" s="23"/>
      <c r="H57" s="16" t="str">
        <f aca="false">IF(F57="","",IF(G57&lt;&gt;"",G57,IF(E57="JPY",IF(ISNUMBER($L$1),ROUND(F57/$L$1,2),"レート未入力"),F57)))</f>
        <v/>
      </c>
      <c r="I57" s="33"/>
      <c r="J57" s="16" t="str">
        <f aca="false">IF(ISNUMBER(H57),ROUND(H57*IF(I57="",1,I57),2),"")</f>
        <v/>
      </c>
      <c r="K57" s="35"/>
      <c r="L57" s="22" t="str">
        <f aca="false">IF(A57="","",IF(A57&lt;DATE(2025,4,6),"2024/25",IF(A57&lt;DATE(2026,4,6),"2025/26",IF(A57&lt;DATE(2027,4,6),"2026/27","2027/28"))))</f>
        <v/>
      </c>
      <c r="N57" s="13"/>
    </row>
    <row r="58" customFormat="false" ht="15" hidden="false" customHeight="false" outlineLevel="0" collapsed="false">
      <c r="A58" s="31"/>
      <c r="B58" s="13"/>
      <c r="C58" s="13"/>
      <c r="D58" s="32"/>
      <c r="E58" s="32"/>
      <c r="F58" s="14"/>
      <c r="G58" s="23"/>
      <c r="H58" s="16" t="str">
        <f aca="false">IF(F58="","",IF(G58&lt;&gt;"",G58,IF(E58="JPY",IF(ISNUMBER($L$1),ROUND(F58/$L$1,2),"レート未入力"),F58)))</f>
        <v/>
      </c>
      <c r="I58" s="33"/>
      <c r="J58" s="16" t="str">
        <f aca="false">IF(ISNUMBER(H58),ROUND(H58*IF(I58="",1,I58),2),"")</f>
        <v/>
      </c>
      <c r="K58" s="35"/>
      <c r="L58" s="22" t="str">
        <f aca="false">IF(A58="","",IF(A58&lt;DATE(2025,4,6),"2024/25",IF(A58&lt;DATE(2026,4,6),"2025/26",IF(A58&lt;DATE(2027,4,6),"2026/27","2027/28"))))</f>
        <v/>
      </c>
      <c r="N58" s="13"/>
    </row>
    <row r="59" customFormat="false" ht="15" hidden="false" customHeight="false" outlineLevel="0" collapsed="false">
      <c r="A59" s="31"/>
      <c r="B59" s="13"/>
      <c r="C59" s="13"/>
      <c r="D59" s="32"/>
      <c r="E59" s="32"/>
      <c r="F59" s="14"/>
      <c r="G59" s="23"/>
      <c r="H59" s="16" t="str">
        <f aca="false">IF(F59="","",IF(G59&lt;&gt;"",G59,IF(E59="JPY",IF(ISNUMBER($L$1),ROUND(F59/$L$1,2),"レート未入力"),F59)))</f>
        <v/>
      </c>
      <c r="I59" s="33"/>
      <c r="J59" s="16" t="str">
        <f aca="false">IF(ISNUMBER(H59),ROUND(H59*IF(I59="",1,I59),2),"")</f>
        <v/>
      </c>
      <c r="K59" s="35"/>
      <c r="L59" s="22" t="str">
        <f aca="false">IF(A59="","",IF(A59&lt;DATE(2025,4,6),"2024/25",IF(A59&lt;DATE(2026,4,6),"2025/26",IF(A59&lt;DATE(2027,4,6),"2026/27","2027/28"))))</f>
        <v/>
      </c>
      <c r="N59" s="13"/>
    </row>
    <row r="60" customFormat="false" ht="15" hidden="false" customHeight="false" outlineLevel="0" collapsed="false">
      <c r="A60" s="31"/>
      <c r="B60" s="13"/>
      <c r="C60" s="13"/>
      <c r="D60" s="32"/>
      <c r="E60" s="32"/>
      <c r="F60" s="14"/>
      <c r="G60" s="23"/>
      <c r="H60" s="16" t="str">
        <f aca="false">IF(F60="","",IF(G60&lt;&gt;"",G60,IF(E60="JPY",IF(ISNUMBER($L$1),ROUND(F60/$L$1,2),"レート未入力"),F60)))</f>
        <v/>
      </c>
      <c r="I60" s="33"/>
      <c r="J60" s="16" t="str">
        <f aca="false">IF(ISNUMBER(H60),ROUND(H60*IF(I60="",1,I60),2),"")</f>
        <v/>
      </c>
      <c r="K60" s="35"/>
      <c r="L60" s="22" t="str">
        <f aca="false">IF(A60="","",IF(A60&lt;DATE(2025,4,6),"2024/25",IF(A60&lt;DATE(2026,4,6),"2025/26",IF(A60&lt;DATE(2027,4,6),"2026/27","2027/28"))))</f>
        <v/>
      </c>
      <c r="N60" s="13"/>
    </row>
    <row r="61" customFormat="false" ht="15" hidden="false" customHeight="false" outlineLevel="0" collapsed="false">
      <c r="A61" s="31"/>
      <c r="B61" s="13"/>
      <c r="C61" s="13"/>
      <c r="D61" s="32"/>
      <c r="E61" s="32"/>
      <c r="F61" s="14"/>
      <c r="G61" s="23"/>
      <c r="H61" s="16" t="str">
        <f aca="false">IF(F61="","",IF(G61&lt;&gt;"",G61,IF(E61="JPY",IF(ISNUMBER($L$1),ROUND(F61/$L$1,2),"レート未入力"),F61)))</f>
        <v/>
      </c>
      <c r="I61" s="33"/>
      <c r="J61" s="16" t="str">
        <f aca="false">IF(ISNUMBER(H61),ROUND(H61*IF(I61="",1,I61),2),"")</f>
        <v/>
      </c>
      <c r="K61" s="35"/>
      <c r="L61" s="22" t="str">
        <f aca="false">IF(A61="","",IF(A61&lt;DATE(2025,4,6),"2024/25",IF(A61&lt;DATE(2026,4,6),"2025/26",IF(A61&lt;DATE(2027,4,6),"2026/27","2027/28"))))</f>
        <v/>
      </c>
      <c r="N61" s="13"/>
    </row>
    <row r="62" customFormat="false" ht="15" hidden="false" customHeight="false" outlineLevel="0" collapsed="false">
      <c r="A62" s="31"/>
      <c r="B62" s="13"/>
      <c r="C62" s="13"/>
      <c r="D62" s="32"/>
      <c r="E62" s="32"/>
      <c r="F62" s="14"/>
      <c r="G62" s="23"/>
      <c r="H62" s="16" t="str">
        <f aca="false">IF(F62="","",IF(G62&lt;&gt;"",G62,IF(E62="JPY",IF(ISNUMBER($L$1),ROUND(F62/$L$1,2),"レート未入力"),F62)))</f>
        <v/>
      </c>
      <c r="I62" s="33"/>
      <c r="J62" s="16" t="str">
        <f aca="false">IF(ISNUMBER(H62),ROUND(H62*IF(I62="",1,I62),2),"")</f>
        <v/>
      </c>
      <c r="K62" s="35"/>
      <c r="L62" s="22" t="str">
        <f aca="false">IF(A62="","",IF(A62&lt;DATE(2025,4,6),"2024/25",IF(A62&lt;DATE(2026,4,6),"2025/26",IF(A62&lt;DATE(2027,4,6),"2026/27","2027/28"))))</f>
        <v/>
      </c>
      <c r="N62" s="13"/>
    </row>
    <row r="63" customFormat="false" ht="15" hidden="false" customHeight="false" outlineLevel="0" collapsed="false">
      <c r="A63" s="31"/>
      <c r="B63" s="13"/>
      <c r="C63" s="13"/>
      <c r="D63" s="32"/>
      <c r="E63" s="32"/>
      <c r="F63" s="14"/>
      <c r="G63" s="23"/>
      <c r="H63" s="16" t="str">
        <f aca="false">IF(F63="","",IF(G63&lt;&gt;"",G63,IF(E63="JPY",IF(ISNUMBER($L$1),ROUND(F63/$L$1,2),"レート未入力"),F63)))</f>
        <v/>
      </c>
      <c r="I63" s="33"/>
      <c r="J63" s="16" t="str">
        <f aca="false">IF(ISNUMBER(H63),ROUND(H63*IF(I63="",1,I63),2),"")</f>
        <v/>
      </c>
      <c r="K63" s="35"/>
      <c r="L63" s="22" t="str">
        <f aca="false">IF(A63="","",IF(A63&lt;DATE(2025,4,6),"2024/25",IF(A63&lt;DATE(2026,4,6),"2025/26",IF(A63&lt;DATE(2027,4,6),"2026/27","2027/28"))))</f>
        <v/>
      </c>
      <c r="N63" s="13"/>
    </row>
    <row r="64" customFormat="false" ht="15" hidden="false" customHeight="false" outlineLevel="0" collapsed="false">
      <c r="A64" s="31"/>
      <c r="B64" s="13"/>
      <c r="C64" s="13"/>
      <c r="D64" s="32"/>
      <c r="E64" s="32"/>
      <c r="F64" s="14"/>
      <c r="G64" s="23"/>
      <c r="H64" s="16" t="str">
        <f aca="false">IF(F64="","",IF(G64&lt;&gt;"",G64,IF(E64="JPY",IF(ISNUMBER($L$1),ROUND(F64/$L$1,2),"レート未入力"),F64)))</f>
        <v/>
      </c>
      <c r="I64" s="33"/>
      <c r="J64" s="16" t="str">
        <f aca="false">IF(ISNUMBER(H64),ROUND(H64*IF(I64="",1,I64),2),"")</f>
        <v/>
      </c>
      <c r="K64" s="35"/>
      <c r="L64" s="22" t="str">
        <f aca="false">IF(A64="","",IF(A64&lt;DATE(2025,4,6),"2024/25",IF(A64&lt;DATE(2026,4,6),"2025/26",IF(A64&lt;DATE(2027,4,6),"2026/27","2027/28"))))</f>
        <v/>
      </c>
      <c r="N64" s="13"/>
    </row>
    <row r="65" customFormat="false" ht="15" hidden="false" customHeight="false" outlineLevel="0" collapsed="false">
      <c r="A65" s="31"/>
      <c r="B65" s="13"/>
      <c r="C65" s="13"/>
      <c r="D65" s="32"/>
      <c r="E65" s="32"/>
      <c r="F65" s="14"/>
      <c r="G65" s="23"/>
      <c r="H65" s="16" t="str">
        <f aca="false">IF(F65="","",IF(G65&lt;&gt;"",G65,IF(E65="JPY",IF(ISNUMBER($L$1),ROUND(F65/$L$1,2),"レート未入力"),F65)))</f>
        <v/>
      </c>
      <c r="I65" s="33"/>
      <c r="J65" s="16" t="str">
        <f aca="false">IF(ISNUMBER(H65),ROUND(H65*IF(I65="",1,I65),2),"")</f>
        <v/>
      </c>
      <c r="K65" s="35"/>
      <c r="L65" s="22" t="str">
        <f aca="false">IF(A65="","",IF(A65&lt;DATE(2025,4,6),"2024/25",IF(A65&lt;DATE(2026,4,6),"2025/26",IF(A65&lt;DATE(2027,4,6),"2026/27","2027/28"))))</f>
        <v/>
      </c>
      <c r="N65" s="13"/>
    </row>
    <row r="66" customFormat="false" ht="15" hidden="false" customHeight="false" outlineLevel="0" collapsed="false">
      <c r="A66" s="31"/>
      <c r="B66" s="13"/>
      <c r="C66" s="13"/>
      <c r="D66" s="32"/>
      <c r="E66" s="32"/>
      <c r="F66" s="14"/>
      <c r="G66" s="23"/>
      <c r="H66" s="16" t="str">
        <f aca="false">IF(F66="","",IF(G66&lt;&gt;"",G66,IF(E66="JPY",IF(ISNUMBER($L$1),ROUND(F66/$L$1,2),"レート未入力"),F66)))</f>
        <v/>
      </c>
      <c r="I66" s="33"/>
      <c r="J66" s="16" t="str">
        <f aca="false">IF(ISNUMBER(H66),ROUND(H66*IF(I66="",1,I66),2),"")</f>
        <v/>
      </c>
      <c r="K66" s="35"/>
      <c r="L66" s="22" t="str">
        <f aca="false">IF(A66="","",IF(A66&lt;DATE(2025,4,6),"2024/25",IF(A66&lt;DATE(2026,4,6),"2025/26",IF(A66&lt;DATE(2027,4,6),"2026/27","2027/28"))))</f>
        <v/>
      </c>
      <c r="N66" s="13"/>
    </row>
    <row r="67" customFormat="false" ht="15" hidden="false" customHeight="false" outlineLevel="0" collapsed="false">
      <c r="A67" s="31"/>
      <c r="B67" s="13"/>
      <c r="C67" s="13"/>
      <c r="D67" s="32"/>
      <c r="E67" s="32"/>
      <c r="F67" s="14"/>
      <c r="G67" s="23"/>
      <c r="H67" s="16" t="str">
        <f aca="false">IF(F67="","",IF(G67&lt;&gt;"",G67,IF(E67="JPY",IF(ISNUMBER($L$1),ROUND(F67/$L$1,2),"レート未入力"),F67)))</f>
        <v/>
      </c>
      <c r="I67" s="33"/>
      <c r="J67" s="16" t="str">
        <f aca="false">IF(ISNUMBER(H67),ROUND(H67*IF(I67="",1,I67),2),"")</f>
        <v/>
      </c>
      <c r="K67" s="35"/>
      <c r="L67" s="22" t="str">
        <f aca="false">IF(A67="","",IF(A67&lt;DATE(2025,4,6),"2024/25",IF(A67&lt;DATE(2026,4,6),"2025/26",IF(A67&lt;DATE(2027,4,6),"2026/27","2027/28"))))</f>
        <v/>
      </c>
      <c r="N67" s="13"/>
    </row>
    <row r="68" customFormat="false" ht="15" hidden="false" customHeight="false" outlineLevel="0" collapsed="false">
      <c r="A68" s="31"/>
      <c r="B68" s="13"/>
      <c r="C68" s="13"/>
      <c r="D68" s="32"/>
      <c r="E68" s="32"/>
      <c r="F68" s="14"/>
      <c r="G68" s="23"/>
      <c r="H68" s="16" t="str">
        <f aca="false">IF(F68="","",IF(G68&lt;&gt;"",G68,IF(E68="JPY",IF(ISNUMBER($L$1),ROUND(F68/$L$1,2),"レート未入力"),F68)))</f>
        <v/>
      </c>
      <c r="I68" s="33"/>
      <c r="J68" s="16" t="str">
        <f aca="false">IF(ISNUMBER(H68),ROUND(H68*IF(I68="",1,I68),2),"")</f>
        <v/>
      </c>
      <c r="K68" s="35"/>
      <c r="L68" s="22" t="str">
        <f aca="false">IF(A68="","",IF(A68&lt;DATE(2025,4,6),"2024/25",IF(A68&lt;DATE(2026,4,6),"2025/26",IF(A68&lt;DATE(2027,4,6),"2026/27","2027/28"))))</f>
        <v/>
      </c>
      <c r="N68" s="13"/>
    </row>
    <row r="69" customFormat="false" ht="15" hidden="false" customHeight="false" outlineLevel="0" collapsed="false">
      <c r="A69" s="31"/>
      <c r="B69" s="13"/>
      <c r="C69" s="13"/>
      <c r="D69" s="32"/>
      <c r="E69" s="32"/>
      <c r="F69" s="14"/>
      <c r="G69" s="23"/>
      <c r="H69" s="16" t="str">
        <f aca="false">IF(F69="","",IF(G69&lt;&gt;"",G69,IF(E69="JPY",IF(ISNUMBER($L$1),ROUND(F69/$L$1,2),"レート未入力"),F69)))</f>
        <v/>
      </c>
      <c r="I69" s="33"/>
      <c r="J69" s="16" t="str">
        <f aca="false">IF(ISNUMBER(H69),ROUND(H69*IF(I69="",1,I69),2),"")</f>
        <v/>
      </c>
      <c r="K69" s="35"/>
      <c r="L69" s="22" t="str">
        <f aca="false">IF(A69="","",IF(A69&lt;DATE(2025,4,6),"2024/25",IF(A69&lt;DATE(2026,4,6),"2025/26",IF(A69&lt;DATE(2027,4,6),"2026/27","2027/28"))))</f>
        <v/>
      </c>
      <c r="N69" s="13"/>
    </row>
    <row r="70" customFormat="false" ht="15" hidden="false" customHeight="false" outlineLevel="0" collapsed="false">
      <c r="A70" s="3" t="s">
        <v>196</v>
      </c>
      <c r="J70" s="18" t="n">
        <f aca="false">SUM(J30:J69)</f>
        <v>0</v>
      </c>
    </row>
    <row r="72" customFormat="false" ht="15" hidden="false" customHeight="false" outlineLevel="0" collapsed="false">
      <c r="A72" s="26" t="s">
        <v>197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customFormat="false" ht="15" hidden="false" customHeight="false" outlineLevel="0" collapsed="false">
      <c r="A73" s="17" t="s">
        <v>137</v>
      </c>
      <c r="D73" s="36" t="s">
        <v>16</v>
      </c>
      <c r="E73" s="36" t="s">
        <v>18</v>
      </c>
      <c r="F73" s="36"/>
    </row>
    <row r="74" customFormat="false" ht="15" hidden="false" customHeight="false" outlineLevel="0" collapsed="false">
      <c r="A74" s="17" t="s">
        <v>183</v>
      </c>
      <c r="D74" s="18" t="n">
        <f aca="false">SUMIFS($H$6:$H$25,$J$6:$J$25,"2025/26")</f>
        <v>0</v>
      </c>
      <c r="E74" s="18" t="n">
        <f aca="false">SUMIFS($H$6:$H$25,$J$6:$J$25,"2026/27")</f>
        <v>0</v>
      </c>
      <c r="F74" s="18"/>
    </row>
    <row r="75" customFormat="false" ht="15" hidden="false" customHeight="false" outlineLevel="0" collapsed="false">
      <c r="A75" s="21" t="s">
        <v>41</v>
      </c>
      <c r="D75" s="16" t="n">
        <f aca="false">SUMIFS($J$30:$J$69,$D$30:$D$69,$A75,$L$30:$L$69,"2025/26")</f>
        <v>0</v>
      </c>
      <c r="E75" s="16" t="n">
        <f aca="false">SUMIFS($J$30:$J$69,$D$30:$D$69,$A75,$L$30:$L$69,"2026/27")</f>
        <v>0</v>
      </c>
      <c r="F75" s="16"/>
    </row>
    <row r="76" customFormat="false" ht="15" hidden="false" customHeight="false" outlineLevel="0" collapsed="false">
      <c r="A76" s="21" t="s">
        <v>43</v>
      </c>
      <c r="D76" s="16" t="n">
        <f aca="false">SUMIFS($J$30:$J$69,$D$30:$D$69,$A76,$L$30:$L$69,"2025/26")</f>
        <v>0</v>
      </c>
      <c r="E76" s="16" t="n">
        <f aca="false">SUMIFS($J$30:$J$69,$D$30:$D$69,$A76,$L$30:$L$69,"2026/27")</f>
        <v>0</v>
      </c>
      <c r="F76" s="16"/>
    </row>
    <row r="77" customFormat="false" ht="15" hidden="false" customHeight="false" outlineLevel="0" collapsed="false">
      <c r="A77" s="21" t="s">
        <v>45</v>
      </c>
      <c r="D77" s="16" t="n">
        <f aca="false">SUMIFS($J$30:$J$69,$D$30:$D$69,$A77,$L$30:$L$69,"2025/26")</f>
        <v>0</v>
      </c>
      <c r="E77" s="16" t="n">
        <f aca="false">SUMIFS($J$30:$J$69,$D$30:$D$69,$A77,$L$30:$L$69,"2026/27")</f>
        <v>0</v>
      </c>
      <c r="F77" s="16"/>
    </row>
    <row r="78" customFormat="false" ht="15" hidden="false" customHeight="false" outlineLevel="0" collapsed="false">
      <c r="A78" s="21" t="s">
        <v>47</v>
      </c>
      <c r="D78" s="16" t="n">
        <f aca="false">SUMIFS($J$30:$J$69,$D$30:$D$69,$A78,$L$30:$L$69,"2025/26")</f>
        <v>0</v>
      </c>
      <c r="E78" s="16" t="n">
        <f aca="false">SUMIFS($J$30:$J$69,$D$30:$D$69,$A78,$L$30:$L$69,"2026/27")</f>
        <v>0</v>
      </c>
      <c r="F78" s="16"/>
    </row>
    <row r="79" customFormat="false" ht="15" hidden="false" customHeight="false" outlineLevel="0" collapsed="false">
      <c r="A79" s="21" t="s">
        <v>49</v>
      </c>
      <c r="D79" s="16" t="n">
        <f aca="false">SUMIFS($J$30:$J$69,$D$30:$D$69,$A79,$L$30:$L$69,"2025/26")</f>
        <v>0</v>
      </c>
      <c r="E79" s="16" t="n">
        <f aca="false">SUMIFS($J$30:$J$69,$D$30:$D$69,$A79,$L$30:$L$69,"2026/27")</f>
        <v>0</v>
      </c>
      <c r="F79" s="16"/>
    </row>
    <row r="80" customFormat="false" ht="15" hidden="false" customHeight="false" outlineLevel="0" collapsed="false">
      <c r="A80" s="21" t="s">
        <v>51</v>
      </c>
      <c r="D80" s="16" t="n">
        <f aca="false">SUMIFS($J$30:$J$69,$D$30:$D$69,$A80,$L$30:$L$69,"2025/26")</f>
        <v>0</v>
      </c>
      <c r="E80" s="16" t="n">
        <f aca="false">SUMIFS($J$30:$J$69,$D$30:$D$69,$A80,$L$30:$L$69,"2026/27")</f>
        <v>0</v>
      </c>
      <c r="F80" s="16"/>
    </row>
    <row r="81" customFormat="false" ht="15" hidden="false" customHeight="false" outlineLevel="0" collapsed="false">
      <c r="A81" s="21" t="s">
        <v>53</v>
      </c>
      <c r="D81" s="16" t="n">
        <f aca="false">SUMIFS($J$30:$J$69,$D$30:$D$69,$A81,$L$30:$L$69,"2025/26")</f>
        <v>0</v>
      </c>
      <c r="E81" s="16" t="n">
        <f aca="false">SUMIFS($J$30:$J$69,$D$30:$D$69,$A81,$L$30:$L$69,"2026/27")</f>
        <v>0</v>
      </c>
      <c r="F81" s="16"/>
    </row>
    <row r="82" customFormat="false" ht="15" hidden="false" customHeight="false" outlineLevel="0" collapsed="false">
      <c r="A82" s="21" t="s">
        <v>55</v>
      </c>
      <c r="D82" s="16" t="n">
        <f aca="false">SUMIFS($J$30:$J$69,$D$30:$D$69,$A82,$L$30:$L$69,"2025/26")</f>
        <v>0</v>
      </c>
      <c r="E82" s="16" t="n">
        <f aca="false">SUMIFS($J$30:$J$69,$D$30:$D$69,$A82,$L$30:$L$69,"2026/27")</f>
        <v>0</v>
      </c>
      <c r="F82" s="16"/>
    </row>
    <row r="83" customFormat="false" ht="15" hidden="false" customHeight="false" outlineLevel="0" collapsed="false">
      <c r="A83" s="21" t="s">
        <v>57</v>
      </c>
      <c r="D83" s="16" t="n">
        <f aca="false">SUMIFS($J$30:$J$69,$D$30:$D$69,$A83,$L$30:$L$69,"2025/26")</f>
        <v>0</v>
      </c>
      <c r="E83" s="16" t="n">
        <f aca="false">SUMIFS($J$30:$J$69,$D$30:$D$69,$A83,$L$30:$L$69,"2026/27")</f>
        <v>0</v>
      </c>
      <c r="F83" s="16"/>
    </row>
    <row r="84" customFormat="false" ht="15" hidden="false" customHeight="false" outlineLevel="0" collapsed="false">
      <c r="A84" s="21" t="s">
        <v>59</v>
      </c>
      <c r="D84" s="16" t="n">
        <f aca="false">SUMIFS($J$30:$J$69,$D$30:$D$69,$A84,$L$30:$L$69,"2025/26")</f>
        <v>0</v>
      </c>
      <c r="E84" s="16" t="n">
        <f aca="false">SUMIFS($J$30:$J$69,$D$30:$D$69,$A84,$L$30:$L$69,"2026/27")</f>
        <v>0</v>
      </c>
      <c r="F84" s="16"/>
    </row>
    <row r="85" customFormat="false" ht="15" hidden="false" customHeight="false" outlineLevel="0" collapsed="false">
      <c r="A85" s="21" t="s">
        <v>61</v>
      </c>
      <c r="D85" s="16" t="n">
        <f aca="false">SUMIFS($J$30:$J$69,$D$30:$D$69,$A85,$L$30:$L$69,"2025/26")</f>
        <v>0</v>
      </c>
      <c r="E85" s="16" t="n">
        <f aca="false">SUMIFS($J$30:$J$69,$D$30:$D$69,$A85,$L$30:$L$69,"2026/27")</f>
        <v>0</v>
      </c>
      <c r="F85" s="16"/>
    </row>
    <row r="86" customFormat="false" ht="15" hidden="false" customHeight="false" outlineLevel="0" collapsed="false">
      <c r="A86" s="21" t="s">
        <v>63</v>
      </c>
      <c r="D86" s="16" t="n">
        <f aca="false">SUMIFS($J$30:$J$69,$D$30:$D$69,$A86,$L$30:$L$69,"2025/26")</f>
        <v>0</v>
      </c>
      <c r="E86" s="16" t="n">
        <f aca="false">SUMIFS($J$30:$J$69,$D$30:$D$69,$A86,$L$30:$L$69,"2026/27")</f>
        <v>0</v>
      </c>
      <c r="F86" s="16"/>
    </row>
    <row r="87" customFormat="false" ht="15" hidden="false" customHeight="false" outlineLevel="0" collapsed="false">
      <c r="A87" s="21" t="s">
        <v>64</v>
      </c>
      <c r="D87" s="16" t="n">
        <f aca="false">SUMIFS($J$30:$J$69,$D$30:$D$69,$A87,$L$30:$L$69,"2025/26")</f>
        <v>0</v>
      </c>
      <c r="E87" s="16" t="n">
        <f aca="false">SUMIFS($J$30:$J$69,$D$30:$D$69,$A87,$L$30:$L$69,"2026/27")</f>
        <v>0</v>
      </c>
      <c r="F87" s="16"/>
    </row>
    <row r="88" customFormat="false" ht="15" hidden="false" customHeight="false" outlineLevel="0" collapsed="false">
      <c r="A88" s="17" t="s">
        <v>198</v>
      </c>
      <c r="D88" s="18" t="n">
        <f aca="false">SUM(D75:D86)</f>
        <v>0</v>
      </c>
      <c r="E88" s="18" t="n">
        <f aca="false">SUM(E75:E86)</f>
        <v>0</v>
      </c>
      <c r="F88" s="18"/>
    </row>
    <row r="89" customFormat="false" ht="15" hidden="false" customHeight="false" outlineLevel="0" collapsed="false">
      <c r="A89" s="17" t="s">
        <v>199</v>
      </c>
      <c r="D89" s="18" t="n">
        <f aca="false">D74-D88-D87</f>
        <v>0</v>
      </c>
      <c r="E89" s="18" t="n">
        <f aca="false">E74-E88-E87</f>
        <v>0</v>
      </c>
      <c r="F89" s="18"/>
    </row>
    <row r="90" customFormat="false" ht="15" hidden="false" customHeight="false" outlineLevel="0" collapsed="false">
      <c r="A90" s="37" t="s">
        <v>200</v>
      </c>
    </row>
    <row r="91" customFormat="false" ht="15" hidden="false" customHeight="false" outlineLevel="0" collapsed="false">
      <c r="A91" s="21" t="s">
        <v>201</v>
      </c>
      <c r="D91" s="16" t="n">
        <f aca="false">SUMIFS($J$30:$J$69,$D$30:$D$69,"")</f>
        <v>0</v>
      </c>
    </row>
  </sheetData>
  <mergeCells count="17"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</mergeCells>
  <dataValidations count="5">
    <dataValidation allowBlank="true" error="0%〜100%で入力してください" errorStyle="stop" operator="between" showDropDown="false" showErrorMessage="true" showInputMessage="false" sqref="I30:I69" type="decimal">
      <formula1>0</formula1>
      <formula2>1</formula2>
    </dataValidation>
    <dataValidation allowBlank="true" errorStyle="stop" operator="between" showDropDown="false" showErrorMessage="false" showInputMessage="false" sqref="E6:E25 E30:E69" type="list">
      <formula1>_list!$B$1:$B$2</formula1>
      <formula2>0</formula2>
    </dataValidation>
    <dataValidation allowBlank="true" errorStyle="stop" operator="between" showDropDown="false" showErrorMessage="false" showInputMessage="false" sqref="D30:D69" type="list">
      <formula1>_list!$A$1:$A$13</formula1>
      <formula2>0</formula2>
    </dataValidation>
    <dataValidation allowBlank="true" errorStyle="stop" operator="between" showDropDown="false" showErrorMessage="false" showInputMessage="false" sqref="D6:D25" type="list">
      <formula1>_list!$C$1:$C$7</formula1>
      <formula2>0</formula2>
    </dataValidation>
    <dataValidation allowBlank="true" error="日付で入力してください（例：2025/5/2）" errorStyle="stop" operator="between" showDropDown="false" showErrorMessage="true" showInputMessage="false" sqref="A6:A25 A30:A69" type="date">
      <formula1>DATE(2025,4,1)</formula1>
      <formula2>DATE(2027,12,31)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24"/>
  </cols>
  <sheetData>
    <row r="1" customFormat="false" ht="19.4" hidden="false" customHeight="false" outlineLevel="0" collapsed="false">
      <c r="A1" s="1" t="s">
        <v>213</v>
      </c>
      <c r="J1" s="3" t="s">
        <v>164</v>
      </c>
      <c r="L1" s="25" t="str">
        <f aca="false">IF(為替レート!$B$17="","未入力",為替レート!$B$17)</f>
        <v>未入力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26" t="s">
        <v>166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customFormat="false" ht="30" hidden="false" customHeight="true" outlineLevel="0" collapsed="false">
      <c r="A5" s="9" t="s">
        <v>167</v>
      </c>
      <c r="B5" s="9" t="s">
        <v>168</v>
      </c>
      <c r="C5" s="9" t="s">
        <v>169</v>
      </c>
      <c r="D5" s="9" t="s">
        <v>170</v>
      </c>
      <c r="E5" s="9" t="s">
        <v>171</v>
      </c>
      <c r="F5" s="9" t="s">
        <v>172</v>
      </c>
      <c r="G5" s="9" t="s">
        <v>173</v>
      </c>
      <c r="H5" s="9" t="s">
        <v>174</v>
      </c>
      <c r="I5" s="9" t="s">
        <v>175</v>
      </c>
      <c r="J5" s="9" t="s">
        <v>176</v>
      </c>
      <c r="K5" s="9"/>
      <c r="L5" s="9"/>
      <c r="M5" s="9"/>
      <c r="N5" s="9" t="s">
        <v>177</v>
      </c>
    </row>
    <row r="6" customFormat="false" ht="15" hidden="false" customHeight="false" outlineLevel="0" collapsed="false">
      <c r="A6" s="31"/>
      <c r="B6" s="13"/>
      <c r="C6" s="13"/>
      <c r="D6" s="32"/>
      <c r="E6" s="32"/>
      <c r="F6" s="14"/>
      <c r="G6" s="23"/>
      <c r="H6" s="16" t="str">
        <f aca="false">IF(F6="","",IF(G6&lt;&gt;"",G6,IF(E6="JPY",IF(ISNUMBER($L$1),ROUND(F6/$L$1,2),"レート未入力"),F6)))</f>
        <v/>
      </c>
      <c r="I6" s="13"/>
      <c r="J6" s="22" t="str">
        <f aca="false">IF(A6="","",IF(A6&lt;DATE(2025,4,6),"2024/25",IF(A6&lt;DATE(2026,4,6),"2025/26",IF(A6&lt;DATE(2027,4,6),"2026/27","2027/28"))))</f>
        <v/>
      </c>
      <c r="N6" s="13"/>
    </row>
    <row r="7" customFormat="false" ht="15" hidden="false" customHeight="false" outlineLevel="0" collapsed="false">
      <c r="A7" s="31"/>
      <c r="B7" s="13"/>
      <c r="C7" s="13"/>
      <c r="D7" s="32"/>
      <c r="E7" s="32"/>
      <c r="F7" s="14"/>
      <c r="G7" s="23"/>
      <c r="H7" s="16" t="str">
        <f aca="false">IF(F7="","",IF(G7&lt;&gt;"",G7,IF(E7="JPY",IF(ISNUMBER($L$1),ROUND(F7/$L$1,2),"レート未入力"),F7)))</f>
        <v/>
      </c>
      <c r="I7" s="13"/>
      <c r="J7" s="22" t="str">
        <f aca="false">IF(A7="","",IF(A7&lt;DATE(2025,4,6),"2024/25",IF(A7&lt;DATE(2026,4,6),"2025/26",IF(A7&lt;DATE(2027,4,6),"2026/27","2027/28"))))</f>
        <v/>
      </c>
      <c r="N7" s="13"/>
    </row>
    <row r="8" customFormat="false" ht="15" hidden="false" customHeight="false" outlineLevel="0" collapsed="false">
      <c r="A8" s="31"/>
      <c r="B8" s="13"/>
      <c r="C8" s="13"/>
      <c r="D8" s="32"/>
      <c r="E8" s="32"/>
      <c r="F8" s="14"/>
      <c r="G8" s="23"/>
      <c r="H8" s="16" t="str">
        <f aca="false">IF(F8="","",IF(G8&lt;&gt;"",G8,IF(E8="JPY",IF(ISNUMBER($L$1),ROUND(F8/$L$1,2),"レート未入力"),F8)))</f>
        <v/>
      </c>
      <c r="I8" s="13"/>
      <c r="J8" s="22" t="str">
        <f aca="false">IF(A8="","",IF(A8&lt;DATE(2025,4,6),"2024/25",IF(A8&lt;DATE(2026,4,6),"2025/26",IF(A8&lt;DATE(2027,4,6),"2026/27","2027/28"))))</f>
        <v/>
      </c>
      <c r="N8" s="13"/>
    </row>
    <row r="9" customFormat="false" ht="15" hidden="false" customHeight="false" outlineLevel="0" collapsed="false">
      <c r="A9" s="31"/>
      <c r="B9" s="13"/>
      <c r="C9" s="13"/>
      <c r="D9" s="32"/>
      <c r="E9" s="32"/>
      <c r="F9" s="14"/>
      <c r="G9" s="23"/>
      <c r="H9" s="16" t="str">
        <f aca="false">IF(F9="","",IF(G9&lt;&gt;"",G9,IF(E9="JPY",IF(ISNUMBER($L$1),ROUND(F9/$L$1,2),"レート未入力"),F9)))</f>
        <v/>
      </c>
      <c r="I9" s="13"/>
      <c r="J9" s="22" t="str">
        <f aca="false">IF(A9="","",IF(A9&lt;DATE(2025,4,6),"2024/25",IF(A9&lt;DATE(2026,4,6),"2025/26",IF(A9&lt;DATE(2027,4,6),"2026/27","2027/28"))))</f>
        <v/>
      </c>
      <c r="N9" s="13"/>
    </row>
    <row r="10" customFormat="false" ht="15" hidden="false" customHeight="false" outlineLevel="0" collapsed="false">
      <c r="A10" s="31"/>
      <c r="B10" s="13"/>
      <c r="C10" s="13"/>
      <c r="D10" s="32"/>
      <c r="E10" s="32"/>
      <c r="F10" s="14"/>
      <c r="G10" s="23"/>
      <c r="H10" s="16" t="str">
        <f aca="false">IF(F10="","",IF(G10&lt;&gt;"",G10,IF(E10="JPY",IF(ISNUMBER($L$1),ROUND(F10/$L$1,2),"レート未入力"),F10)))</f>
        <v/>
      </c>
      <c r="I10" s="13"/>
      <c r="J10" s="22" t="str">
        <f aca="false">IF(A10="","",IF(A10&lt;DATE(2025,4,6),"2024/25",IF(A10&lt;DATE(2026,4,6),"2025/26",IF(A10&lt;DATE(2027,4,6),"2026/27","2027/28"))))</f>
        <v/>
      </c>
      <c r="N10" s="13"/>
    </row>
    <row r="11" customFormat="false" ht="15" hidden="false" customHeight="false" outlineLevel="0" collapsed="false">
      <c r="A11" s="31"/>
      <c r="B11" s="13"/>
      <c r="C11" s="13"/>
      <c r="D11" s="32"/>
      <c r="E11" s="32"/>
      <c r="F11" s="14"/>
      <c r="G11" s="23"/>
      <c r="H11" s="16" t="str">
        <f aca="false">IF(F11="","",IF(G11&lt;&gt;"",G11,IF(E11="JPY",IF(ISNUMBER($L$1),ROUND(F11/$L$1,2),"レート未入力"),F11)))</f>
        <v/>
      </c>
      <c r="I11" s="13"/>
      <c r="J11" s="22" t="str">
        <f aca="false">IF(A11="","",IF(A11&lt;DATE(2025,4,6),"2024/25",IF(A11&lt;DATE(2026,4,6),"2025/26",IF(A11&lt;DATE(2027,4,6),"2026/27","2027/28"))))</f>
        <v/>
      </c>
      <c r="N11" s="13"/>
    </row>
    <row r="12" customFormat="false" ht="15" hidden="false" customHeight="false" outlineLevel="0" collapsed="false">
      <c r="A12" s="31"/>
      <c r="B12" s="13"/>
      <c r="C12" s="13"/>
      <c r="D12" s="32"/>
      <c r="E12" s="32"/>
      <c r="F12" s="14"/>
      <c r="G12" s="23"/>
      <c r="H12" s="16" t="str">
        <f aca="false">IF(F12="","",IF(G12&lt;&gt;"",G12,IF(E12="JPY",IF(ISNUMBER($L$1),ROUND(F12/$L$1,2),"レート未入力"),F12)))</f>
        <v/>
      </c>
      <c r="I12" s="13"/>
      <c r="J12" s="22" t="str">
        <f aca="false">IF(A12="","",IF(A12&lt;DATE(2025,4,6),"2024/25",IF(A12&lt;DATE(2026,4,6),"2025/26",IF(A12&lt;DATE(2027,4,6),"2026/27","2027/28"))))</f>
        <v/>
      </c>
      <c r="N12" s="13"/>
    </row>
    <row r="13" customFormat="false" ht="15" hidden="false" customHeight="false" outlineLevel="0" collapsed="false">
      <c r="A13" s="31"/>
      <c r="B13" s="13"/>
      <c r="C13" s="13"/>
      <c r="D13" s="32"/>
      <c r="E13" s="32"/>
      <c r="F13" s="14"/>
      <c r="G13" s="23"/>
      <c r="H13" s="16" t="str">
        <f aca="false">IF(F13="","",IF(G13&lt;&gt;"",G13,IF(E13="JPY",IF(ISNUMBER($L$1),ROUND(F13/$L$1,2),"レート未入力"),F13)))</f>
        <v/>
      </c>
      <c r="I13" s="13"/>
      <c r="J13" s="22" t="str">
        <f aca="false">IF(A13="","",IF(A13&lt;DATE(2025,4,6),"2024/25",IF(A13&lt;DATE(2026,4,6),"2025/26",IF(A13&lt;DATE(2027,4,6),"2026/27","2027/28"))))</f>
        <v/>
      </c>
      <c r="N13" s="13"/>
    </row>
    <row r="14" customFormat="false" ht="15" hidden="false" customHeight="false" outlineLevel="0" collapsed="false">
      <c r="A14" s="31"/>
      <c r="B14" s="13"/>
      <c r="C14" s="13"/>
      <c r="D14" s="32"/>
      <c r="E14" s="32"/>
      <c r="F14" s="14"/>
      <c r="G14" s="23"/>
      <c r="H14" s="16" t="str">
        <f aca="false">IF(F14="","",IF(G14&lt;&gt;"",G14,IF(E14="JPY",IF(ISNUMBER($L$1),ROUND(F14/$L$1,2),"レート未入力"),F14)))</f>
        <v/>
      </c>
      <c r="I14" s="13"/>
      <c r="J14" s="22" t="str">
        <f aca="false">IF(A14="","",IF(A14&lt;DATE(2025,4,6),"2024/25",IF(A14&lt;DATE(2026,4,6),"2025/26",IF(A14&lt;DATE(2027,4,6),"2026/27","2027/28"))))</f>
        <v/>
      </c>
      <c r="N14" s="13"/>
    </row>
    <row r="15" customFormat="false" ht="15" hidden="false" customHeight="false" outlineLevel="0" collapsed="false">
      <c r="A15" s="31"/>
      <c r="B15" s="13"/>
      <c r="C15" s="13"/>
      <c r="D15" s="32"/>
      <c r="E15" s="32"/>
      <c r="F15" s="14"/>
      <c r="G15" s="23"/>
      <c r="H15" s="16" t="str">
        <f aca="false">IF(F15="","",IF(G15&lt;&gt;"",G15,IF(E15="JPY",IF(ISNUMBER($L$1),ROUND(F15/$L$1,2),"レート未入力"),F15)))</f>
        <v/>
      </c>
      <c r="I15" s="13"/>
      <c r="J15" s="22" t="str">
        <f aca="false">IF(A15="","",IF(A15&lt;DATE(2025,4,6),"2024/25",IF(A15&lt;DATE(2026,4,6),"2025/26",IF(A15&lt;DATE(2027,4,6),"2026/27","2027/28"))))</f>
        <v/>
      </c>
      <c r="N15" s="13"/>
    </row>
    <row r="16" customFormat="false" ht="15" hidden="false" customHeight="false" outlineLevel="0" collapsed="false">
      <c r="A16" s="31"/>
      <c r="B16" s="13"/>
      <c r="C16" s="13"/>
      <c r="D16" s="32"/>
      <c r="E16" s="32"/>
      <c r="F16" s="14"/>
      <c r="G16" s="23"/>
      <c r="H16" s="16" t="str">
        <f aca="false">IF(F16="","",IF(G16&lt;&gt;"",G16,IF(E16="JPY",IF(ISNUMBER($L$1),ROUND(F16/$L$1,2),"レート未入力"),F16)))</f>
        <v/>
      </c>
      <c r="I16" s="13"/>
      <c r="J16" s="22" t="str">
        <f aca="false">IF(A16="","",IF(A16&lt;DATE(2025,4,6),"2024/25",IF(A16&lt;DATE(2026,4,6),"2025/26",IF(A16&lt;DATE(2027,4,6),"2026/27","2027/28"))))</f>
        <v/>
      </c>
      <c r="N16" s="13"/>
    </row>
    <row r="17" customFormat="false" ht="15" hidden="false" customHeight="false" outlineLevel="0" collapsed="false">
      <c r="A17" s="31"/>
      <c r="B17" s="13"/>
      <c r="C17" s="13"/>
      <c r="D17" s="32"/>
      <c r="E17" s="32"/>
      <c r="F17" s="14"/>
      <c r="G17" s="23"/>
      <c r="H17" s="16" t="str">
        <f aca="false">IF(F17="","",IF(G17&lt;&gt;"",G17,IF(E17="JPY",IF(ISNUMBER($L$1),ROUND(F17/$L$1,2),"レート未入力"),F17)))</f>
        <v/>
      </c>
      <c r="I17" s="13"/>
      <c r="J17" s="22" t="str">
        <f aca="false">IF(A17="","",IF(A17&lt;DATE(2025,4,6),"2024/25",IF(A17&lt;DATE(2026,4,6),"2025/26",IF(A17&lt;DATE(2027,4,6),"2026/27","2027/28"))))</f>
        <v/>
      </c>
      <c r="N17" s="13"/>
    </row>
    <row r="18" customFormat="false" ht="15" hidden="false" customHeight="false" outlineLevel="0" collapsed="false">
      <c r="A18" s="31"/>
      <c r="B18" s="13"/>
      <c r="C18" s="13"/>
      <c r="D18" s="32"/>
      <c r="E18" s="32"/>
      <c r="F18" s="14"/>
      <c r="G18" s="23"/>
      <c r="H18" s="16" t="str">
        <f aca="false">IF(F18="","",IF(G18&lt;&gt;"",G18,IF(E18="JPY",IF(ISNUMBER($L$1),ROUND(F18/$L$1,2),"レート未入力"),F18)))</f>
        <v/>
      </c>
      <c r="I18" s="13"/>
      <c r="J18" s="22" t="str">
        <f aca="false">IF(A18="","",IF(A18&lt;DATE(2025,4,6),"2024/25",IF(A18&lt;DATE(2026,4,6),"2025/26",IF(A18&lt;DATE(2027,4,6),"2026/27","2027/28"))))</f>
        <v/>
      </c>
      <c r="N18" s="13"/>
    </row>
    <row r="19" customFormat="false" ht="15" hidden="false" customHeight="false" outlineLevel="0" collapsed="false">
      <c r="A19" s="31"/>
      <c r="B19" s="13"/>
      <c r="C19" s="13"/>
      <c r="D19" s="32"/>
      <c r="E19" s="32"/>
      <c r="F19" s="14"/>
      <c r="G19" s="23"/>
      <c r="H19" s="16" t="str">
        <f aca="false">IF(F19="","",IF(G19&lt;&gt;"",G19,IF(E19="JPY",IF(ISNUMBER($L$1),ROUND(F19/$L$1,2),"レート未入力"),F19)))</f>
        <v/>
      </c>
      <c r="I19" s="13"/>
      <c r="J19" s="22" t="str">
        <f aca="false">IF(A19="","",IF(A19&lt;DATE(2025,4,6),"2024/25",IF(A19&lt;DATE(2026,4,6),"2025/26",IF(A19&lt;DATE(2027,4,6),"2026/27","2027/28"))))</f>
        <v/>
      </c>
      <c r="N19" s="13"/>
    </row>
    <row r="20" customFormat="false" ht="15" hidden="false" customHeight="false" outlineLevel="0" collapsed="false">
      <c r="A20" s="31"/>
      <c r="B20" s="13"/>
      <c r="C20" s="13"/>
      <c r="D20" s="32"/>
      <c r="E20" s="32"/>
      <c r="F20" s="14"/>
      <c r="G20" s="23"/>
      <c r="H20" s="16" t="str">
        <f aca="false">IF(F20="","",IF(G20&lt;&gt;"",G20,IF(E20="JPY",IF(ISNUMBER($L$1),ROUND(F20/$L$1,2),"レート未入力"),F20)))</f>
        <v/>
      </c>
      <c r="I20" s="13"/>
      <c r="J20" s="22" t="str">
        <f aca="false">IF(A20="","",IF(A20&lt;DATE(2025,4,6),"2024/25",IF(A20&lt;DATE(2026,4,6),"2025/26",IF(A20&lt;DATE(2027,4,6),"2026/27","2027/28"))))</f>
        <v/>
      </c>
      <c r="N20" s="13"/>
    </row>
    <row r="21" customFormat="false" ht="15" hidden="false" customHeight="false" outlineLevel="0" collapsed="false">
      <c r="A21" s="31"/>
      <c r="B21" s="13"/>
      <c r="C21" s="13"/>
      <c r="D21" s="32"/>
      <c r="E21" s="32"/>
      <c r="F21" s="14"/>
      <c r="G21" s="23"/>
      <c r="H21" s="16" t="str">
        <f aca="false">IF(F21="","",IF(G21&lt;&gt;"",G21,IF(E21="JPY",IF(ISNUMBER($L$1),ROUND(F21/$L$1,2),"レート未入力"),F21)))</f>
        <v/>
      </c>
      <c r="I21" s="13"/>
      <c r="J21" s="22" t="str">
        <f aca="false">IF(A21="","",IF(A21&lt;DATE(2025,4,6),"2024/25",IF(A21&lt;DATE(2026,4,6),"2025/26",IF(A21&lt;DATE(2027,4,6),"2026/27","2027/28"))))</f>
        <v/>
      </c>
      <c r="N21" s="13"/>
    </row>
    <row r="22" customFormat="false" ht="15" hidden="false" customHeight="false" outlineLevel="0" collapsed="false">
      <c r="A22" s="31"/>
      <c r="B22" s="13"/>
      <c r="C22" s="13"/>
      <c r="D22" s="32"/>
      <c r="E22" s="32"/>
      <c r="F22" s="14"/>
      <c r="G22" s="23"/>
      <c r="H22" s="16" t="str">
        <f aca="false">IF(F22="","",IF(G22&lt;&gt;"",G22,IF(E22="JPY",IF(ISNUMBER($L$1),ROUND(F22/$L$1,2),"レート未入力"),F22)))</f>
        <v/>
      </c>
      <c r="I22" s="13"/>
      <c r="J22" s="22" t="str">
        <f aca="false">IF(A22="","",IF(A22&lt;DATE(2025,4,6),"2024/25",IF(A22&lt;DATE(2026,4,6),"2025/26",IF(A22&lt;DATE(2027,4,6),"2026/27","2027/28"))))</f>
        <v/>
      </c>
      <c r="N22" s="13"/>
    </row>
    <row r="23" customFormat="false" ht="15" hidden="false" customHeight="false" outlineLevel="0" collapsed="false">
      <c r="A23" s="31"/>
      <c r="B23" s="13"/>
      <c r="C23" s="13"/>
      <c r="D23" s="32"/>
      <c r="E23" s="32"/>
      <c r="F23" s="14"/>
      <c r="G23" s="23"/>
      <c r="H23" s="16" t="str">
        <f aca="false">IF(F23="","",IF(G23&lt;&gt;"",G23,IF(E23="JPY",IF(ISNUMBER($L$1),ROUND(F23/$L$1,2),"レート未入力"),F23)))</f>
        <v/>
      </c>
      <c r="I23" s="13"/>
      <c r="J23" s="22" t="str">
        <f aca="false">IF(A23="","",IF(A23&lt;DATE(2025,4,6),"2024/25",IF(A23&lt;DATE(2026,4,6),"2025/26",IF(A23&lt;DATE(2027,4,6),"2026/27","2027/28"))))</f>
        <v/>
      </c>
      <c r="N23" s="13"/>
    </row>
    <row r="24" customFormat="false" ht="15" hidden="false" customHeight="false" outlineLevel="0" collapsed="false">
      <c r="A24" s="31"/>
      <c r="B24" s="13"/>
      <c r="C24" s="13"/>
      <c r="D24" s="32"/>
      <c r="E24" s="32"/>
      <c r="F24" s="14"/>
      <c r="G24" s="23"/>
      <c r="H24" s="16" t="str">
        <f aca="false">IF(F24="","",IF(G24&lt;&gt;"",G24,IF(E24="JPY",IF(ISNUMBER($L$1),ROUND(F24/$L$1,2),"レート未入力"),F24)))</f>
        <v/>
      </c>
      <c r="I24" s="13"/>
      <c r="J24" s="22" t="str">
        <f aca="false">IF(A24="","",IF(A24&lt;DATE(2025,4,6),"2024/25",IF(A24&lt;DATE(2026,4,6),"2025/26",IF(A24&lt;DATE(2027,4,6),"2026/27","2027/28"))))</f>
        <v/>
      </c>
      <c r="N24" s="13"/>
    </row>
    <row r="25" customFormat="false" ht="15" hidden="false" customHeight="false" outlineLevel="0" collapsed="false">
      <c r="A25" s="31"/>
      <c r="B25" s="13"/>
      <c r="C25" s="13"/>
      <c r="D25" s="32"/>
      <c r="E25" s="32"/>
      <c r="F25" s="14"/>
      <c r="G25" s="23"/>
      <c r="H25" s="16" t="str">
        <f aca="false">IF(F25="","",IF(G25&lt;&gt;"",G25,IF(E25="JPY",IF(ISNUMBER($L$1),ROUND(F25/$L$1,2),"レート未入力"),F25)))</f>
        <v/>
      </c>
      <c r="I25" s="13"/>
      <c r="J25" s="22" t="str">
        <f aca="false">IF(A25="","",IF(A25&lt;DATE(2025,4,6),"2024/25",IF(A25&lt;DATE(2026,4,6),"2025/26",IF(A25&lt;DATE(2027,4,6),"2026/27","2027/28"))))</f>
        <v/>
      </c>
      <c r="N25" s="13"/>
    </row>
    <row r="26" customFormat="false" ht="15" hidden="false" customHeight="false" outlineLevel="0" collapsed="false">
      <c r="A26" s="3" t="s">
        <v>183</v>
      </c>
      <c r="H26" s="18" t="n">
        <f aca="false">SUM(H6:H25)</f>
        <v>0</v>
      </c>
    </row>
    <row r="28" customFormat="false" ht="15" hidden="false" customHeight="false" outlineLevel="0" collapsed="false">
      <c r="A28" s="26" t="s">
        <v>184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</row>
    <row r="29" customFormat="false" ht="30" hidden="false" customHeight="true" outlineLevel="0" collapsed="false">
      <c r="A29" s="9" t="s">
        <v>167</v>
      </c>
      <c r="B29" s="9" t="s">
        <v>185</v>
      </c>
      <c r="C29" s="9" t="s">
        <v>169</v>
      </c>
      <c r="D29" s="9" t="s">
        <v>38</v>
      </c>
      <c r="E29" s="9" t="s">
        <v>171</v>
      </c>
      <c r="F29" s="9" t="s">
        <v>172</v>
      </c>
      <c r="G29" s="9" t="s">
        <v>173</v>
      </c>
      <c r="H29" s="10" t="s">
        <v>186</v>
      </c>
      <c r="I29" s="9" t="s">
        <v>187</v>
      </c>
      <c r="J29" s="9" t="s">
        <v>188</v>
      </c>
      <c r="K29" s="9" t="s">
        <v>189</v>
      </c>
      <c r="L29" s="9" t="s">
        <v>176</v>
      </c>
      <c r="M29" s="9"/>
      <c r="N29" s="9" t="s">
        <v>177</v>
      </c>
    </row>
    <row r="30" customFormat="false" ht="15" hidden="false" customHeight="false" outlineLevel="0" collapsed="false">
      <c r="A30" s="31"/>
      <c r="B30" s="13"/>
      <c r="C30" s="13"/>
      <c r="D30" s="32"/>
      <c r="E30" s="32"/>
      <c r="F30" s="14"/>
      <c r="G30" s="23"/>
      <c r="H30" s="16" t="str">
        <f aca="false">IF(F30="","",IF(G30&lt;&gt;"",G30,IF(E30="JPY",IF(ISNUMBER($L$1),ROUND(F30/$L$1,2),"レート未入力"),F30)))</f>
        <v/>
      </c>
      <c r="I30" s="33"/>
      <c r="J30" s="16" t="str">
        <f aca="false">IF(ISNUMBER(H30),ROUND(H30*IF(I30="",1,I30),2),"")</f>
        <v/>
      </c>
      <c r="K30" s="35"/>
      <c r="L30" s="22" t="str">
        <f aca="false">IF(A30="","",IF(A30&lt;DATE(2025,4,6),"2024/25",IF(A30&lt;DATE(2026,4,6),"2025/26",IF(A30&lt;DATE(2027,4,6),"2026/27","2027/28"))))</f>
        <v/>
      </c>
      <c r="N30" s="13"/>
    </row>
    <row r="31" customFormat="false" ht="15" hidden="false" customHeight="false" outlineLevel="0" collapsed="false">
      <c r="A31" s="31"/>
      <c r="B31" s="13"/>
      <c r="C31" s="13"/>
      <c r="D31" s="32"/>
      <c r="E31" s="32"/>
      <c r="F31" s="14"/>
      <c r="G31" s="23"/>
      <c r="H31" s="16" t="str">
        <f aca="false">IF(F31="","",IF(G31&lt;&gt;"",G31,IF(E31="JPY",IF(ISNUMBER($L$1),ROUND(F31/$L$1,2),"レート未入力"),F31)))</f>
        <v/>
      </c>
      <c r="I31" s="33"/>
      <c r="J31" s="16" t="str">
        <f aca="false">IF(ISNUMBER(H31),ROUND(H31*IF(I31="",1,I31),2),"")</f>
        <v/>
      </c>
      <c r="K31" s="35"/>
      <c r="L31" s="22" t="str">
        <f aca="false">IF(A31="","",IF(A31&lt;DATE(2025,4,6),"2024/25",IF(A31&lt;DATE(2026,4,6),"2025/26",IF(A31&lt;DATE(2027,4,6),"2026/27","2027/28"))))</f>
        <v/>
      </c>
      <c r="N31" s="13"/>
    </row>
    <row r="32" customFormat="false" ht="15" hidden="false" customHeight="false" outlineLevel="0" collapsed="false">
      <c r="A32" s="31"/>
      <c r="B32" s="13"/>
      <c r="C32" s="13"/>
      <c r="D32" s="32"/>
      <c r="E32" s="32"/>
      <c r="F32" s="14"/>
      <c r="G32" s="23"/>
      <c r="H32" s="16" t="str">
        <f aca="false">IF(F32="","",IF(G32&lt;&gt;"",G32,IF(E32="JPY",IF(ISNUMBER($L$1),ROUND(F32/$L$1,2),"レート未入力"),F32)))</f>
        <v/>
      </c>
      <c r="I32" s="33"/>
      <c r="J32" s="16" t="str">
        <f aca="false">IF(ISNUMBER(H32),ROUND(H32*IF(I32="",1,I32),2),"")</f>
        <v/>
      </c>
      <c r="K32" s="35"/>
      <c r="L32" s="22" t="str">
        <f aca="false">IF(A32="","",IF(A32&lt;DATE(2025,4,6),"2024/25",IF(A32&lt;DATE(2026,4,6),"2025/26",IF(A32&lt;DATE(2027,4,6),"2026/27","2027/28"))))</f>
        <v/>
      </c>
      <c r="N32" s="13"/>
    </row>
    <row r="33" customFormat="false" ht="15" hidden="false" customHeight="false" outlineLevel="0" collapsed="false">
      <c r="A33" s="31"/>
      <c r="B33" s="13"/>
      <c r="C33" s="13"/>
      <c r="D33" s="32"/>
      <c r="E33" s="32"/>
      <c r="F33" s="14"/>
      <c r="G33" s="23"/>
      <c r="H33" s="16" t="str">
        <f aca="false">IF(F33="","",IF(G33&lt;&gt;"",G33,IF(E33="JPY",IF(ISNUMBER($L$1),ROUND(F33/$L$1,2),"レート未入力"),F33)))</f>
        <v/>
      </c>
      <c r="I33" s="33"/>
      <c r="J33" s="16" t="str">
        <f aca="false">IF(ISNUMBER(H33),ROUND(H33*IF(I33="",1,I33),2),"")</f>
        <v/>
      </c>
      <c r="K33" s="35"/>
      <c r="L33" s="22" t="str">
        <f aca="false">IF(A33="","",IF(A33&lt;DATE(2025,4,6),"2024/25",IF(A33&lt;DATE(2026,4,6),"2025/26",IF(A33&lt;DATE(2027,4,6),"2026/27","2027/28"))))</f>
        <v/>
      </c>
      <c r="N33" s="13"/>
    </row>
    <row r="34" customFormat="false" ht="15" hidden="false" customHeight="false" outlineLevel="0" collapsed="false">
      <c r="A34" s="31"/>
      <c r="B34" s="13"/>
      <c r="C34" s="13"/>
      <c r="D34" s="32"/>
      <c r="E34" s="32"/>
      <c r="F34" s="14"/>
      <c r="G34" s="23"/>
      <c r="H34" s="16" t="str">
        <f aca="false">IF(F34="","",IF(G34&lt;&gt;"",G34,IF(E34="JPY",IF(ISNUMBER($L$1),ROUND(F34/$L$1,2),"レート未入力"),F34)))</f>
        <v/>
      </c>
      <c r="I34" s="33"/>
      <c r="J34" s="16" t="str">
        <f aca="false">IF(ISNUMBER(H34),ROUND(H34*IF(I34="",1,I34),2),"")</f>
        <v/>
      </c>
      <c r="K34" s="35"/>
      <c r="L34" s="22" t="str">
        <f aca="false">IF(A34="","",IF(A34&lt;DATE(2025,4,6),"2024/25",IF(A34&lt;DATE(2026,4,6),"2025/26",IF(A34&lt;DATE(2027,4,6),"2026/27","2027/28"))))</f>
        <v/>
      </c>
      <c r="N34" s="13"/>
    </row>
    <row r="35" customFormat="false" ht="15" hidden="false" customHeight="false" outlineLevel="0" collapsed="false">
      <c r="A35" s="31"/>
      <c r="B35" s="13"/>
      <c r="C35" s="13"/>
      <c r="D35" s="32"/>
      <c r="E35" s="32"/>
      <c r="F35" s="14"/>
      <c r="G35" s="23"/>
      <c r="H35" s="16" t="str">
        <f aca="false">IF(F35="","",IF(G35&lt;&gt;"",G35,IF(E35="JPY",IF(ISNUMBER($L$1),ROUND(F35/$L$1,2),"レート未入力"),F35)))</f>
        <v/>
      </c>
      <c r="I35" s="33"/>
      <c r="J35" s="16" t="str">
        <f aca="false">IF(ISNUMBER(H35),ROUND(H35*IF(I35="",1,I35),2),"")</f>
        <v/>
      </c>
      <c r="K35" s="35"/>
      <c r="L35" s="22" t="str">
        <f aca="false">IF(A35="","",IF(A35&lt;DATE(2025,4,6),"2024/25",IF(A35&lt;DATE(2026,4,6),"2025/26",IF(A35&lt;DATE(2027,4,6),"2026/27","2027/28"))))</f>
        <v/>
      </c>
      <c r="N35" s="13"/>
    </row>
    <row r="36" customFormat="false" ht="15" hidden="false" customHeight="false" outlineLevel="0" collapsed="false">
      <c r="A36" s="31"/>
      <c r="B36" s="13"/>
      <c r="C36" s="13"/>
      <c r="D36" s="32"/>
      <c r="E36" s="32"/>
      <c r="F36" s="14"/>
      <c r="G36" s="23"/>
      <c r="H36" s="16" t="str">
        <f aca="false">IF(F36="","",IF(G36&lt;&gt;"",G36,IF(E36="JPY",IF(ISNUMBER($L$1),ROUND(F36/$L$1,2),"レート未入力"),F36)))</f>
        <v/>
      </c>
      <c r="I36" s="33"/>
      <c r="J36" s="16" t="str">
        <f aca="false">IF(ISNUMBER(H36),ROUND(H36*IF(I36="",1,I36),2),"")</f>
        <v/>
      </c>
      <c r="K36" s="35"/>
      <c r="L36" s="22" t="str">
        <f aca="false">IF(A36="","",IF(A36&lt;DATE(2025,4,6),"2024/25",IF(A36&lt;DATE(2026,4,6),"2025/26",IF(A36&lt;DATE(2027,4,6),"2026/27","2027/28"))))</f>
        <v/>
      </c>
      <c r="N36" s="13"/>
    </row>
    <row r="37" customFormat="false" ht="15" hidden="false" customHeight="false" outlineLevel="0" collapsed="false">
      <c r="A37" s="31"/>
      <c r="B37" s="13"/>
      <c r="C37" s="13"/>
      <c r="D37" s="32"/>
      <c r="E37" s="32"/>
      <c r="F37" s="14"/>
      <c r="G37" s="23"/>
      <c r="H37" s="16" t="str">
        <f aca="false">IF(F37="","",IF(G37&lt;&gt;"",G37,IF(E37="JPY",IF(ISNUMBER($L$1),ROUND(F37/$L$1,2),"レート未入力"),F37)))</f>
        <v/>
      </c>
      <c r="I37" s="33"/>
      <c r="J37" s="16" t="str">
        <f aca="false">IF(ISNUMBER(H37),ROUND(H37*IF(I37="",1,I37),2),"")</f>
        <v/>
      </c>
      <c r="K37" s="35"/>
      <c r="L37" s="22" t="str">
        <f aca="false">IF(A37="","",IF(A37&lt;DATE(2025,4,6),"2024/25",IF(A37&lt;DATE(2026,4,6),"2025/26",IF(A37&lt;DATE(2027,4,6),"2026/27","2027/28"))))</f>
        <v/>
      </c>
      <c r="N37" s="13"/>
    </row>
    <row r="38" customFormat="false" ht="15" hidden="false" customHeight="false" outlineLevel="0" collapsed="false">
      <c r="A38" s="31"/>
      <c r="B38" s="13"/>
      <c r="C38" s="13"/>
      <c r="D38" s="32"/>
      <c r="E38" s="32"/>
      <c r="F38" s="14"/>
      <c r="G38" s="23"/>
      <c r="H38" s="16" t="str">
        <f aca="false">IF(F38="","",IF(G38&lt;&gt;"",G38,IF(E38="JPY",IF(ISNUMBER($L$1),ROUND(F38/$L$1,2),"レート未入力"),F38)))</f>
        <v/>
      </c>
      <c r="I38" s="33"/>
      <c r="J38" s="16" t="str">
        <f aca="false">IF(ISNUMBER(H38),ROUND(H38*IF(I38="",1,I38),2),"")</f>
        <v/>
      </c>
      <c r="K38" s="35"/>
      <c r="L38" s="22" t="str">
        <f aca="false">IF(A38="","",IF(A38&lt;DATE(2025,4,6),"2024/25",IF(A38&lt;DATE(2026,4,6),"2025/26",IF(A38&lt;DATE(2027,4,6),"2026/27","2027/28"))))</f>
        <v/>
      </c>
      <c r="N38" s="13"/>
    </row>
    <row r="39" customFormat="false" ht="15" hidden="false" customHeight="false" outlineLevel="0" collapsed="false">
      <c r="A39" s="31"/>
      <c r="B39" s="13"/>
      <c r="C39" s="13"/>
      <c r="D39" s="32"/>
      <c r="E39" s="32"/>
      <c r="F39" s="14"/>
      <c r="G39" s="23"/>
      <c r="H39" s="16" t="str">
        <f aca="false">IF(F39="","",IF(G39&lt;&gt;"",G39,IF(E39="JPY",IF(ISNUMBER($L$1),ROUND(F39/$L$1,2),"レート未入力"),F39)))</f>
        <v/>
      </c>
      <c r="I39" s="33"/>
      <c r="J39" s="16" t="str">
        <f aca="false">IF(ISNUMBER(H39),ROUND(H39*IF(I39="",1,I39),2),"")</f>
        <v/>
      </c>
      <c r="K39" s="35"/>
      <c r="L39" s="22" t="str">
        <f aca="false">IF(A39="","",IF(A39&lt;DATE(2025,4,6),"2024/25",IF(A39&lt;DATE(2026,4,6),"2025/26",IF(A39&lt;DATE(2027,4,6),"2026/27","2027/28"))))</f>
        <v/>
      </c>
      <c r="N39" s="13"/>
    </row>
    <row r="40" customFormat="false" ht="15" hidden="false" customHeight="false" outlineLevel="0" collapsed="false">
      <c r="A40" s="31"/>
      <c r="B40" s="13"/>
      <c r="C40" s="13"/>
      <c r="D40" s="32"/>
      <c r="E40" s="32"/>
      <c r="F40" s="14"/>
      <c r="G40" s="23"/>
      <c r="H40" s="16" t="str">
        <f aca="false">IF(F40="","",IF(G40&lt;&gt;"",G40,IF(E40="JPY",IF(ISNUMBER($L$1),ROUND(F40/$L$1,2),"レート未入力"),F40)))</f>
        <v/>
      </c>
      <c r="I40" s="33"/>
      <c r="J40" s="16" t="str">
        <f aca="false">IF(ISNUMBER(H40),ROUND(H40*IF(I40="",1,I40),2),"")</f>
        <v/>
      </c>
      <c r="K40" s="35"/>
      <c r="L40" s="22" t="str">
        <f aca="false">IF(A40="","",IF(A40&lt;DATE(2025,4,6),"2024/25",IF(A40&lt;DATE(2026,4,6),"2025/26",IF(A40&lt;DATE(2027,4,6),"2026/27","2027/28"))))</f>
        <v/>
      </c>
      <c r="N40" s="13"/>
    </row>
    <row r="41" customFormat="false" ht="15" hidden="false" customHeight="false" outlineLevel="0" collapsed="false">
      <c r="A41" s="31"/>
      <c r="B41" s="13"/>
      <c r="C41" s="13"/>
      <c r="D41" s="32"/>
      <c r="E41" s="32"/>
      <c r="F41" s="14"/>
      <c r="G41" s="23"/>
      <c r="H41" s="16" t="str">
        <f aca="false">IF(F41="","",IF(G41&lt;&gt;"",G41,IF(E41="JPY",IF(ISNUMBER($L$1),ROUND(F41/$L$1,2),"レート未入力"),F41)))</f>
        <v/>
      </c>
      <c r="I41" s="33"/>
      <c r="J41" s="16" t="str">
        <f aca="false">IF(ISNUMBER(H41),ROUND(H41*IF(I41="",1,I41),2),"")</f>
        <v/>
      </c>
      <c r="K41" s="35"/>
      <c r="L41" s="22" t="str">
        <f aca="false">IF(A41="","",IF(A41&lt;DATE(2025,4,6),"2024/25",IF(A41&lt;DATE(2026,4,6),"2025/26",IF(A41&lt;DATE(2027,4,6),"2026/27","2027/28"))))</f>
        <v/>
      </c>
      <c r="N41" s="13"/>
    </row>
    <row r="42" customFormat="false" ht="15" hidden="false" customHeight="false" outlineLevel="0" collapsed="false">
      <c r="A42" s="31"/>
      <c r="B42" s="13"/>
      <c r="C42" s="13"/>
      <c r="D42" s="32"/>
      <c r="E42" s="32"/>
      <c r="F42" s="14"/>
      <c r="G42" s="23"/>
      <c r="H42" s="16" t="str">
        <f aca="false">IF(F42="","",IF(G42&lt;&gt;"",G42,IF(E42="JPY",IF(ISNUMBER($L$1),ROUND(F42/$L$1,2),"レート未入力"),F42)))</f>
        <v/>
      </c>
      <c r="I42" s="33"/>
      <c r="J42" s="16" t="str">
        <f aca="false">IF(ISNUMBER(H42),ROUND(H42*IF(I42="",1,I42),2),"")</f>
        <v/>
      </c>
      <c r="K42" s="35"/>
      <c r="L42" s="22" t="str">
        <f aca="false">IF(A42="","",IF(A42&lt;DATE(2025,4,6),"2024/25",IF(A42&lt;DATE(2026,4,6),"2025/26",IF(A42&lt;DATE(2027,4,6),"2026/27","2027/28"))))</f>
        <v/>
      </c>
      <c r="N42" s="13"/>
    </row>
    <row r="43" customFormat="false" ht="15" hidden="false" customHeight="false" outlineLevel="0" collapsed="false">
      <c r="A43" s="31"/>
      <c r="B43" s="13"/>
      <c r="C43" s="13"/>
      <c r="D43" s="32"/>
      <c r="E43" s="32"/>
      <c r="F43" s="14"/>
      <c r="G43" s="23"/>
      <c r="H43" s="16" t="str">
        <f aca="false">IF(F43="","",IF(G43&lt;&gt;"",G43,IF(E43="JPY",IF(ISNUMBER($L$1),ROUND(F43/$L$1,2),"レート未入力"),F43)))</f>
        <v/>
      </c>
      <c r="I43" s="33"/>
      <c r="J43" s="16" t="str">
        <f aca="false">IF(ISNUMBER(H43),ROUND(H43*IF(I43="",1,I43),2),"")</f>
        <v/>
      </c>
      <c r="K43" s="35"/>
      <c r="L43" s="22" t="str">
        <f aca="false">IF(A43="","",IF(A43&lt;DATE(2025,4,6),"2024/25",IF(A43&lt;DATE(2026,4,6),"2025/26",IF(A43&lt;DATE(2027,4,6),"2026/27","2027/28"))))</f>
        <v/>
      </c>
      <c r="N43" s="13"/>
    </row>
    <row r="44" customFormat="false" ht="15" hidden="false" customHeight="false" outlineLevel="0" collapsed="false">
      <c r="A44" s="31"/>
      <c r="B44" s="13"/>
      <c r="C44" s="13"/>
      <c r="D44" s="32"/>
      <c r="E44" s="32"/>
      <c r="F44" s="14"/>
      <c r="G44" s="23"/>
      <c r="H44" s="16" t="str">
        <f aca="false">IF(F44="","",IF(G44&lt;&gt;"",G44,IF(E44="JPY",IF(ISNUMBER($L$1),ROUND(F44/$L$1,2),"レート未入力"),F44)))</f>
        <v/>
      </c>
      <c r="I44" s="33"/>
      <c r="J44" s="16" t="str">
        <f aca="false">IF(ISNUMBER(H44),ROUND(H44*IF(I44="",1,I44),2),"")</f>
        <v/>
      </c>
      <c r="K44" s="35"/>
      <c r="L44" s="22" t="str">
        <f aca="false">IF(A44="","",IF(A44&lt;DATE(2025,4,6),"2024/25",IF(A44&lt;DATE(2026,4,6),"2025/26",IF(A44&lt;DATE(2027,4,6),"2026/27","2027/28"))))</f>
        <v/>
      </c>
      <c r="N44" s="13"/>
    </row>
    <row r="45" customFormat="false" ht="15" hidden="false" customHeight="false" outlineLevel="0" collapsed="false">
      <c r="A45" s="31"/>
      <c r="B45" s="13"/>
      <c r="C45" s="13"/>
      <c r="D45" s="32"/>
      <c r="E45" s="32"/>
      <c r="F45" s="14"/>
      <c r="G45" s="23"/>
      <c r="H45" s="16" t="str">
        <f aca="false">IF(F45="","",IF(G45&lt;&gt;"",G45,IF(E45="JPY",IF(ISNUMBER($L$1),ROUND(F45/$L$1,2),"レート未入力"),F45)))</f>
        <v/>
      </c>
      <c r="I45" s="33"/>
      <c r="J45" s="16" t="str">
        <f aca="false">IF(ISNUMBER(H45),ROUND(H45*IF(I45="",1,I45),2),"")</f>
        <v/>
      </c>
      <c r="K45" s="35"/>
      <c r="L45" s="22" t="str">
        <f aca="false">IF(A45="","",IF(A45&lt;DATE(2025,4,6),"2024/25",IF(A45&lt;DATE(2026,4,6),"2025/26",IF(A45&lt;DATE(2027,4,6),"2026/27","2027/28"))))</f>
        <v/>
      </c>
      <c r="N45" s="13"/>
    </row>
    <row r="46" customFormat="false" ht="15" hidden="false" customHeight="false" outlineLevel="0" collapsed="false">
      <c r="A46" s="31"/>
      <c r="B46" s="13"/>
      <c r="C46" s="13"/>
      <c r="D46" s="32"/>
      <c r="E46" s="32"/>
      <c r="F46" s="14"/>
      <c r="G46" s="23"/>
      <c r="H46" s="16" t="str">
        <f aca="false">IF(F46="","",IF(G46&lt;&gt;"",G46,IF(E46="JPY",IF(ISNUMBER($L$1),ROUND(F46/$L$1,2),"レート未入力"),F46)))</f>
        <v/>
      </c>
      <c r="I46" s="33"/>
      <c r="J46" s="16" t="str">
        <f aca="false">IF(ISNUMBER(H46),ROUND(H46*IF(I46="",1,I46),2),"")</f>
        <v/>
      </c>
      <c r="K46" s="35"/>
      <c r="L46" s="22" t="str">
        <f aca="false">IF(A46="","",IF(A46&lt;DATE(2025,4,6),"2024/25",IF(A46&lt;DATE(2026,4,6),"2025/26",IF(A46&lt;DATE(2027,4,6),"2026/27","2027/28"))))</f>
        <v/>
      </c>
      <c r="N46" s="13"/>
    </row>
    <row r="47" customFormat="false" ht="15" hidden="false" customHeight="false" outlineLevel="0" collapsed="false">
      <c r="A47" s="31"/>
      <c r="B47" s="13"/>
      <c r="C47" s="13"/>
      <c r="D47" s="32"/>
      <c r="E47" s="32"/>
      <c r="F47" s="14"/>
      <c r="G47" s="23"/>
      <c r="H47" s="16" t="str">
        <f aca="false">IF(F47="","",IF(G47&lt;&gt;"",G47,IF(E47="JPY",IF(ISNUMBER($L$1),ROUND(F47/$L$1,2),"レート未入力"),F47)))</f>
        <v/>
      </c>
      <c r="I47" s="33"/>
      <c r="J47" s="16" t="str">
        <f aca="false">IF(ISNUMBER(H47),ROUND(H47*IF(I47="",1,I47),2),"")</f>
        <v/>
      </c>
      <c r="K47" s="35"/>
      <c r="L47" s="22" t="str">
        <f aca="false">IF(A47="","",IF(A47&lt;DATE(2025,4,6),"2024/25",IF(A47&lt;DATE(2026,4,6),"2025/26",IF(A47&lt;DATE(2027,4,6),"2026/27","2027/28"))))</f>
        <v/>
      </c>
      <c r="N47" s="13"/>
    </row>
    <row r="48" customFormat="false" ht="15" hidden="false" customHeight="false" outlineLevel="0" collapsed="false">
      <c r="A48" s="31"/>
      <c r="B48" s="13"/>
      <c r="C48" s="13"/>
      <c r="D48" s="32"/>
      <c r="E48" s="32"/>
      <c r="F48" s="14"/>
      <c r="G48" s="23"/>
      <c r="H48" s="16" t="str">
        <f aca="false">IF(F48="","",IF(G48&lt;&gt;"",G48,IF(E48="JPY",IF(ISNUMBER($L$1),ROUND(F48/$L$1,2),"レート未入力"),F48)))</f>
        <v/>
      </c>
      <c r="I48" s="33"/>
      <c r="J48" s="16" t="str">
        <f aca="false">IF(ISNUMBER(H48),ROUND(H48*IF(I48="",1,I48),2),"")</f>
        <v/>
      </c>
      <c r="K48" s="35"/>
      <c r="L48" s="22" t="str">
        <f aca="false">IF(A48="","",IF(A48&lt;DATE(2025,4,6),"2024/25",IF(A48&lt;DATE(2026,4,6),"2025/26",IF(A48&lt;DATE(2027,4,6),"2026/27","2027/28"))))</f>
        <v/>
      </c>
      <c r="N48" s="13"/>
    </row>
    <row r="49" customFormat="false" ht="15" hidden="false" customHeight="false" outlineLevel="0" collapsed="false">
      <c r="A49" s="31"/>
      <c r="B49" s="13"/>
      <c r="C49" s="13"/>
      <c r="D49" s="32"/>
      <c r="E49" s="32"/>
      <c r="F49" s="14"/>
      <c r="G49" s="23"/>
      <c r="H49" s="16" t="str">
        <f aca="false">IF(F49="","",IF(G49&lt;&gt;"",G49,IF(E49="JPY",IF(ISNUMBER($L$1),ROUND(F49/$L$1,2),"レート未入力"),F49)))</f>
        <v/>
      </c>
      <c r="I49" s="33"/>
      <c r="J49" s="16" t="str">
        <f aca="false">IF(ISNUMBER(H49),ROUND(H49*IF(I49="",1,I49),2),"")</f>
        <v/>
      </c>
      <c r="K49" s="35"/>
      <c r="L49" s="22" t="str">
        <f aca="false">IF(A49="","",IF(A49&lt;DATE(2025,4,6),"2024/25",IF(A49&lt;DATE(2026,4,6),"2025/26",IF(A49&lt;DATE(2027,4,6),"2026/27","2027/28"))))</f>
        <v/>
      </c>
      <c r="N49" s="13"/>
    </row>
    <row r="50" customFormat="false" ht="15" hidden="false" customHeight="false" outlineLevel="0" collapsed="false">
      <c r="A50" s="31"/>
      <c r="B50" s="13"/>
      <c r="C50" s="13"/>
      <c r="D50" s="32"/>
      <c r="E50" s="32"/>
      <c r="F50" s="14"/>
      <c r="G50" s="23"/>
      <c r="H50" s="16" t="str">
        <f aca="false">IF(F50="","",IF(G50&lt;&gt;"",G50,IF(E50="JPY",IF(ISNUMBER($L$1),ROUND(F50/$L$1,2),"レート未入力"),F50)))</f>
        <v/>
      </c>
      <c r="I50" s="33"/>
      <c r="J50" s="16" t="str">
        <f aca="false">IF(ISNUMBER(H50),ROUND(H50*IF(I50="",1,I50),2),"")</f>
        <v/>
      </c>
      <c r="K50" s="35"/>
      <c r="L50" s="22" t="str">
        <f aca="false">IF(A50="","",IF(A50&lt;DATE(2025,4,6),"2024/25",IF(A50&lt;DATE(2026,4,6),"2025/26",IF(A50&lt;DATE(2027,4,6),"2026/27","2027/28"))))</f>
        <v/>
      </c>
      <c r="N50" s="13"/>
    </row>
    <row r="51" customFormat="false" ht="15" hidden="false" customHeight="false" outlineLevel="0" collapsed="false">
      <c r="A51" s="31"/>
      <c r="B51" s="13"/>
      <c r="C51" s="13"/>
      <c r="D51" s="32"/>
      <c r="E51" s="32"/>
      <c r="F51" s="14"/>
      <c r="G51" s="23"/>
      <c r="H51" s="16" t="str">
        <f aca="false">IF(F51="","",IF(G51&lt;&gt;"",G51,IF(E51="JPY",IF(ISNUMBER($L$1),ROUND(F51/$L$1,2),"レート未入力"),F51)))</f>
        <v/>
      </c>
      <c r="I51" s="33"/>
      <c r="J51" s="16" t="str">
        <f aca="false">IF(ISNUMBER(H51),ROUND(H51*IF(I51="",1,I51),2),"")</f>
        <v/>
      </c>
      <c r="K51" s="35"/>
      <c r="L51" s="22" t="str">
        <f aca="false">IF(A51="","",IF(A51&lt;DATE(2025,4,6),"2024/25",IF(A51&lt;DATE(2026,4,6),"2025/26",IF(A51&lt;DATE(2027,4,6),"2026/27","2027/28"))))</f>
        <v/>
      </c>
      <c r="N51" s="13"/>
    </row>
    <row r="52" customFormat="false" ht="15" hidden="false" customHeight="false" outlineLevel="0" collapsed="false">
      <c r="A52" s="31"/>
      <c r="B52" s="13"/>
      <c r="C52" s="13"/>
      <c r="D52" s="32"/>
      <c r="E52" s="32"/>
      <c r="F52" s="14"/>
      <c r="G52" s="23"/>
      <c r="H52" s="16" t="str">
        <f aca="false">IF(F52="","",IF(G52&lt;&gt;"",G52,IF(E52="JPY",IF(ISNUMBER($L$1),ROUND(F52/$L$1,2),"レート未入力"),F52)))</f>
        <v/>
      </c>
      <c r="I52" s="33"/>
      <c r="J52" s="16" t="str">
        <f aca="false">IF(ISNUMBER(H52),ROUND(H52*IF(I52="",1,I52),2),"")</f>
        <v/>
      </c>
      <c r="K52" s="35"/>
      <c r="L52" s="22" t="str">
        <f aca="false">IF(A52="","",IF(A52&lt;DATE(2025,4,6),"2024/25",IF(A52&lt;DATE(2026,4,6),"2025/26",IF(A52&lt;DATE(2027,4,6),"2026/27","2027/28"))))</f>
        <v/>
      </c>
      <c r="N52" s="13"/>
    </row>
    <row r="53" customFormat="false" ht="15" hidden="false" customHeight="false" outlineLevel="0" collapsed="false">
      <c r="A53" s="31"/>
      <c r="B53" s="13"/>
      <c r="C53" s="13"/>
      <c r="D53" s="32"/>
      <c r="E53" s="32"/>
      <c r="F53" s="14"/>
      <c r="G53" s="23"/>
      <c r="H53" s="16" t="str">
        <f aca="false">IF(F53="","",IF(G53&lt;&gt;"",G53,IF(E53="JPY",IF(ISNUMBER($L$1),ROUND(F53/$L$1,2),"レート未入力"),F53)))</f>
        <v/>
      </c>
      <c r="I53" s="33"/>
      <c r="J53" s="16" t="str">
        <f aca="false">IF(ISNUMBER(H53),ROUND(H53*IF(I53="",1,I53),2),"")</f>
        <v/>
      </c>
      <c r="K53" s="35"/>
      <c r="L53" s="22" t="str">
        <f aca="false">IF(A53="","",IF(A53&lt;DATE(2025,4,6),"2024/25",IF(A53&lt;DATE(2026,4,6),"2025/26",IF(A53&lt;DATE(2027,4,6),"2026/27","2027/28"))))</f>
        <v/>
      </c>
      <c r="N53" s="13"/>
    </row>
    <row r="54" customFormat="false" ht="15" hidden="false" customHeight="false" outlineLevel="0" collapsed="false">
      <c r="A54" s="31"/>
      <c r="B54" s="13"/>
      <c r="C54" s="13"/>
      <c r="D54" s="32"/>
      <c r="E54" s="32"/>
      <c r="F54" s="14"/>
      <c r="G54" s="23"/>
      <c r="H54" s="16" t="str">
        <f aca="false">IF(F54="","",IF(G54&lt;&gt;"",G54,IF(E54="JPY",IF(ISNUMBER($L$1),ROUND(F54/$L$1,2),"レート未入力"),F54)))</f>
        <v/>
      </c>
      <c r="I54" s="33"/>
      <c r="J54" s="16" t="str">
        <f aca="false">IF(ISNUMBER(H54),ROUND(H54*IF(I54="",1,I54),2),"")</f>
        <v/>
      </c>
      <c r="K54" s="35"/>
      <c r="L54" s="22" t="str">
        <f aca="false">IF(A54="","",IF(A54&lt;DATE(2025,4,6),"2024/25",IF(A54&lt;DATE(2026,4,6),"2025/26",IF(A54&lt;DATE(2027,4,6),"2026/27","2027/28"))))</f>
        <v/>
      </c>
      <c r="N54" s="13"/>
    </row>
    <row r="55" customFormat="false" ht="15" hidden="false" customHeight="false" outlineLevel="0" collapsed="false">
      <c r="A55" s="31"/>
      <c r="B55" s="13"/>
      <c r="C55" s="13"/>
      <c r="D55" s="32"/>
      <c r="E55" s="32"/>
      <c r="F55" s="14"/>
      <c r="G55" s="23"/>
      <c r="H55" s="16" t="str">
        <f aca="false">IF(F55="","",IF(G55&lt;&gt;"",G55,IF(E55="JPY",IF(ISNUMBER($L$1),ROUND(F55/$L$1,2),"レート未入力"),F55)))</f>
        <v/>
      </c>
      <c r="I55" s="33"/>
      <c r="J55" s="16" t="str">
        <f aca="false">IF(ISNUMBER(H55),ROUND(H55*IF(I55="",1,I55),2),"")</f>
        <v/>
      </c>
      <c r="K55" s="35"/>
      <c r="L55" s="22" t="str">
        <f aca="false">IF(A55="","",IF(A55&lt;DATE(2025,4,6),"2024/25",IF(A55&lt;DATE(2026,4,6),"2025/26",IF(A55&lt;DATE(2027,4,6),"2026/27","2027/28"))))</f>
        <v/>
      </c>
      <c r="N55" s="13"/>
    </row>
    <row r="56" customFormat="false" ht="15" hidden="false" customHeight="false" outlineLevel="0" collapsed="false">
      <c r="A56" s="31"/>
      <c r="B56" s="13"/>
      <c r="C56" s="13"/>
      <c r="D56" s="32"/>
      <c r="E56" s="32"/>
      <c r="F56" s="14"/>
      <c r="G56" s="23"/>
      <c r="H56" s="16" t="str">
        <f aca="false">IF(F56="","",IF(G56&lt;&gt;"",G56,IF(E56="JPY",IF(ISNUMBER($L$1),ROUND(F56/$L$1,2),"レート未入力"),F56)))</f>
        <v/>
      </c>
      <c r="I56" s="33"/>
      <c r="J56" s="16" t="str">
        <f aca="false">IF(ISNUMBER(H56),ROUND(H56*IF(I56="",1,I56),2),"")</f>
        <v/>
      </c>
      <c r="K56" s="35"/>
      <c r="L56" s="22" t="str">
        <f aca="false">IF(A56="","",IF(A56&lt;DATE(2025,4,6),"2024/25",IF(A56&lt;DATE(2026,4,6),"2025/26",IF(A56&lt;DATE(2027,4,6),"2026/27","2027/28"))))</f>
        <v/>
      </c>
      <c r="N56" s="13"/>
    </row>
    <row r="57" customFormat="false" ht="15" hidden="false" customHeight="false" outlineLevel="0" collapsed="false">
      <c r="A57" s="31"/>
      <c r="B57" s="13"/>
      <c r="C57" s="13"/>
      <c r="D57" s="32"/>
      <c r="E57" s="32"/>
      <c r="F57" s="14"/>
      <c r="G57" s="23"/>
      <c r="H57" s="16" t="str">
        <f aca="false">IF(F57="","",IF(G57&lt;&gt;"",G57,IF(E57="JPY",IF(ISNUMBER($L$1),ROUND(F57/$L$1,2),"レート未入力"),F57)))</f>
        <v/>
      </c>
      <c r="I57" s="33"/>
      <c r="J57" s="16" t="str">
        <f aca="false">IF(ISNUMBER(H57),ROUND(H57*IF(I57="",1,I57),2),"")</f>
        <v/>
      </c>
      <c r="K57" s="35"/>
      <c r="L57" s="22" t="str">
        <f aca="false">IF(A57="","",IF(A57&lt;DATE(2025,4,6),"2024/25",IF(A57&lt;DATE(2026,4,6),"2025/26",IF(A57&lt;DATE(2027,4,6),"2026/27","2027/28"))))</f>
        <v/>
      </c>
      <c r="N57" s="13"/>
    </row>
    <row r="58" customFormat="false" ht="15" hidden="false" customHeight="false" outlineLevel="0" collapsed="false">
      <c r="A58" s="31"/>
      <c r="B58" s="13"/>
      <c r="C58" s="13"/>
      <c r="D58" s="32"/>
      <c r="E58" s="32"/>
      <c r="F58" s="14"/>
      <c r="G58" s="23"/>
      <c r="H58" s="16" t="str">
        <f aca="false">IF(F58="","",IF(G58&lt;&gt;"",G58,IF(E58="JPY",IF(ISNUMBER($L$1),ROUND(F58/$L$1,2),"レート未入力"),F58)))</f>
        <v/>
      </c>
      <c r="I58" s="33"/>
      <c r="J58" s="16" t="str">
        <f aca="false">IF(ISNUMBER(H58),ROUND(H58*IF(I58="",1,I58),2),"")</f>
        <v/>
      </c>
      <c r="K58" s="35"/>
      <c r="L58" s="22" t="str">
        <f aca="false">IF(A58="","",IF(A58&lt;DATE(2025,4,6),"2024/25",IF(A58&lt;DATE(2026,4,6),"2025/26",IF(A58&lt;DATE(2027,4,6),"2026/27","2027/28"))))</f>
        <v/>
      </c>
      <c r="N58" s="13"/>
    </row>
    <row r="59" customFormat="false" ht="15" hidden="false" customHeight="false" outlineLevel="0" collapsed="false">
      <c r="A59" s="31"/>
      <c r="B59" s="13"/>
      <c r="C59" s="13"/>
      <c r="D59" s="32"/>
      <c r="E59" s="32"/>
      <c r="F59" s="14"/>
      <c r="G59" s="23"/>
      <c r="H59" s="16" t="str">
        <f aca="false">IF(F59="","",IF(G59&lt;&gt;"",G59,IF(E59="JPY",IF(ISNUMBER($L$1),ROUND(F59/$L$1,2),"レート未入力"),F59)))</f>
        <v/>
      </c>
      <c r="I59" s="33"/>
      <c r="J59" s="16" t="str">
        <f aca="false">IF(ISNUMBER(H59),ROUND(H59*IF(I59="",1,I59),2),"")</f>
        <v/>
      </c>
      <c r="K59" s="35"/>
      <c r="L59" s="22" t="str">
        <f aca="false">IF(A59="","",IF(A59&lt;DATE(2025,4,6),"2024/25",IF(A59&lt;DATE(2026,4,6),"2025/26",IF(A59&lt;DATE(2027,4,6),"2026/27","2027/28"))))</f>
        <v/>
      </c>
      <c r="N59" s="13"/>
    </row>
    <row r="60" customFormat="false" ht="15" hidden="false" customHeight="false" outlineLevel="0" collapsed="false">
      <c r="A60" s="31"/>
      <c r="B60" s="13"/>
      <c r="C60" s="13"/>
      <c r="D60" s="32"/>
      <c r="E60" s="32"/>
      <c r="F60" s="14"/>
      <c r="G60" s="23"/>
      <c r="H60" s="16" t="str">
        <f aca="false">IF(F60="","",IF(G60&lt;&gt;"",G60,IF(E60="JPY",IF(ISNUMBER($L$1),ROUND(F60/$L$1,2),"レート未入力"),F60)))</f>
        <v/>
      </c>
      <c r="I60" s="33"/>
      <c r="J60" s="16" t="str">
        <f aca="false">IF(ISNUMBER(H60),ROUND(H60*IF(I60="",1,I60),2),"")</f>
        <v/>
      </c>
      <c r="K60" s="35"/>
      <c r="L60" s="22" t="str">
        <f aca="false">IF(A60="","",IF(A60&lt;DATE(2025,4,6),"2024/25",IF(A60&lt;DATE(2026,4,6),"2025/26",IF(A60&lt;DATE(2027,4,6),"2026/27","2027/28"))))</f>
        <v/>
      </c>
      <c r="N60" s="13"/>
    </row>
    <row r="61" customFormat="false" ht="15" hidden="false" customHeight="false" outlineLevel="0" collapsed="false">
      <c r="A61" s="31"/>
      <c r="B61" s="13"/>
      <c r="C61" s="13"/>
      <c r="D61" s="32"/>
      <c r="E61" s="32"/>
      <c r="F61" s="14"/>
      <c r="G61" s="23"/>
      <c r="H61" s="16" t="str">
        <f aca="false">IF(F61="","",IF(G61&lt;&gt;"",G61,IF(E61="JPY",IF(ISNUMBER($L$1),ROUND(F61/$L$1,2),"レート未入力"),F61)))</f>
        <v/>
      </c>
      <c r="I61" s="33"/>
      <c r="J61" s="16" t="str">
        <f aca="false">IF(ISNUMBER(H61),ROUND(H61*IF(I61="",1,I61),2),"")</f>
        <v/>
      </c>
      <c r="K61" s="35"/>
      <c r="L61" s="22" t="str">
        <f aca="false">IF(A61="","",IF(A61&lt;DATE(2025,4,6),"2024/25",IF(A61&lt;DATE(2026,4,6),"2025/26",IF(A61&lt;DATE(2027,4,6),"2026/27","2027/28"))))</f>
        <v/>
      </c>
      <c r="N61" s="13"/>
    </row>
    <row r="62" customFormat="false" ht="15" hidden="false" customHeight="false" outlineLevel="0" collapsed="false">
      <c r="A62" s="31"/>
      <c r="B62" s="13"/>
      <c r="C62" s="13"/>
      <c r="D62" s="32"/>
      <c r="E62" s="32"/>
      <c r="F62" s="14"/>
      <c r="G62" s="23"/>
      <c r="H62" s="16" t="str">
        <f aca="false">IF(F62="","",IF(G62&lt;&gt;"",G62,IF(E62="JPY",IF(ISNUMBER($L$1),ROUND(F62/$L$1,2),"レート未入力"),F62)))</f>
        <v/>
      </c>
      <c r="I62" s="33"/>
      <c r="J62" s="16" t="str">
        <f aca="false">IF(ISNUMBER(H62),ROUND(H62*IF(I62="",1,I62),2),"")</f>
        <v/>
      </c>
      <c r="K62" s="35"/>
      <c r="L62" s="22" t="str">
        <f aca="false">IF(A62="","",IF(A62&lt;DATE(2025,4,6),"2024/25",IF(A62&lt;DATE(2026,4,6),"2025/26",IF(A62&lt;DATE(2027,4,6),"2026/27","2027/28"))))</f>
        <v/>
      </c>
      <c r="N62" s="13"/>
    </row>
    <row r="63" customFormat="false" ht="15" hidden="false" customHeight="false" outlineLevel="0" collapsed="false">
      <c r="A63" s="31"/>
      <c r="B63" s="13"/>
      <c r="C63" s="13"/>
      <c r="D63" s="32"/>
      <c r="E63" s="32"/>
      <c r="F63" s="14"/>
      <c r="G63" s="23"/>
      <c r="H63" s="16" t="str">
        <f aca="false">IF(F63="","",IF(G63&lt;&gt;"",G63,IF(E63="JPY",IF(ISNUMBER($L$1),ROUND(F63/$L$1,2),"レート未入力"),F63)))</f>
        <v/>
      </c>
      <c r="I63" s="33"/>
      <c r="J63" s="16" t="str">
        <f aca="false">IF(ISNUMBER(H63),ROUND(H63*IF(I63="",1,I63),2),"")</f>
        <v/>
      </c>
      <c r="K63" s="35"/>
      <c r="L63" s="22" t="str">
        <f aca="false">IF(A63="","",IF(A63&lt;DATE(2025,4,6),"2024/25",IF(A63&lt;DATE(2026,4,6),"2025/26",IF(A63&lt;DATE(2027,4,6),"2026/27","2027/28"))))</f>
        <v/>
      </c>
      <c r="N63" s="13"/>
    </row>
    <row r="64" customFormat="false" ht="15" hidden="false" customHeight="false" outlineLevel="0" collapsed="false">
      <c r="A64" s="31"/>
      <c r="B64" s="13"/>
      <c r="C64" s="13"/>
      <c r="D64" s="32"/>
      <c r="E64" s="32"/>
      <c r="F64" s="14"/>
      <c r="G64" s="23"/>
      <c r="H64" s="16" t="str">
        <f aca="false">IF(F64="","",IF(G64&lt;&gt;"",G64,IF(E64="JPY",IF(ISNUMBER($L$1),ROUND(F64/$L$1,2),"レート未入力"),F64)))</f>
        <v/>
      </c>
      <c r="I64" s="33"/>
      <c r="J64" s="16" t="str">
        <f aca="false">IF(ISNUMBER(H64),ROUND(H64*IF(I64="",1,I64),2),"")</f>
        <v/>
      </c>
      <c r="K64" s="35"/>
      <c r="L64" s="22" t="str">
        <f aca="false">IF(A64="","",IF(A64&lt;DATE(2025,4,6),"2024/25",IF(A64&lt;DATE(2026,4,6),"2025/26",IF(A64&lt;DATE(2027,4,6),"2026/27","2027/28"))))</f>
        <v/>
      </c>
      <c r="N64" s="13"/>
    </row>
    <row r="65" customFormat="false" ht="15" hidden="false" customHeight="false" outlineLevel="0" collapsed="false">
      <c r="A65" s="31"/>
      <c r="B65" s="13"/>
      <c r="C65" s="13"/>
      <c r="D65" s="32"/>
      <c r="E65" s="32"/>
      <c r="F65" s="14"/>
      <c r="G65" s="23"/>
      <c r="H65" s="16" t="str">
        <f aca="false">IF(F65="","",IF(G65&lt;&gt;"",G65,IF(E65="JPY",IF(ISNUMBER($L$1),ROUND(F65/$L$1,2),"レート未入力"),F65)))</f>
        <v/>
      </c>
      <c r="I65" s="33"/>
      <c r="J65" s="16" t="str">
        <f aca="false">IF(ISNUMBER(H65),ROUND(H65*IF(I65="",1,I65),2),"")</f>
        <v/>
      </c>
      <c r="K65" s="35"/>
      <c r="L65" s="22" t="str">
        <f aca="false">IF(A65="","",IF(A65&lt;DATE(2025,4,6),"2024/25",IF(A65&lt;DATE(2026,4,6),"2025/26",IF(A65&lt;DATE(2027,4,6),"2026/27","2027/28"))))</f>
        <v/>
      </c>
      <c r="N65" s="13"/>
    </row>
    <row r="66" customFormat="false" ht="15" hidden="false" customHeight="false" outlineLevel="0" collapsed="false">
      <c r="A66" s="31"/>
      <c r="B66" s="13"/>
      <c r="C66" s="13"/>
      <c r="D66" s="32"/>
      <c r="E66" s="32"/>
      <c r="F66" s="14"/>
      <c r="G66" s="23"/>
      <c r="H66" s="16" t="str">
        <f aca="false">IF(F66="","",IF(G66&lt;&gt;"",G66,IF(E66="JPY",IF(ISNUMBER($L$1),ROUND(F66/$L$1,2),"レート未入力"),F66)))</f>
        <v/>
      </c>
      <c r="I66" s="33"/>
      <c r="J66" s="16" t="str">
        <f aca="false">IF(ISNUMBER(H66),ROUND(H66*IF(I66="",1,I66),2),"")</f>
        <v/>
      </c>
      <c r="K66" s="35"/>
      <c r="L66" s="22" t="str">
        <f aca="false">IF(A66="","",IF(A66&lt;DATE(2025,4,6),"2024/25",IF(A66&lt;DATE(2026,4,6),"2025/26",IF(A66&lt;DATE(2027,4,6),"2026/27","2027/28"))))</f>
        <v/>
      </c>
      <c r="N66" s="13"/>
    </row>
    <row r="67" customFormat="false" ht="15" hidden="false" customHeight="false" outlineLevel="0" collapsed="false">
      <c r="A67" s="31"/>
      <c r="B67" s="13"/>
      <c r="C67" s="13"/>
      <c r="D67" s="32"/>
      <c r="E67" s="32"/>
      <c r="F67" s="14"/>
      <c r="G67" s="23"/>
      <c r="H67" s="16" t="str">
        <f aca="false">IF(F67="","",IF(G67&lt;&gt;"",G67,IF(E67="JPY",IF(ISNUMBER($L$1),ROUND(F67/$L$1,2),"レート未入力"),F67)))</f>
        <v/>
      </c>
      <c r="I67" s="33"/>
      <c r="J67" s="16" t="str">
        <f aca="false">IF(ISNUMBER(H67),ROUND(H67*IF(I67="",1,I67),2),"")</f>
        <v/>
      </c>
      <c r="K67" s="35"/>
      <c r="L67" s="22" t="str">
        <f aca="false">IF(A67="","",IF(A67&lt;DATE(2025,4,6),"2024/25",IF(A67&lt;DATE(2026,4,6),"2025/26",IF(A67&lt;DATE(2027,4,6),"2026/27","2027/28"))))</f>
        <v/>
      </c>
      <c r="N67" s="13"/>
    </row>
    <row r="68" customFormat="false" ht="15" hidden="false" customHeight="false" outlineLevel="0" collapsed="false">
      <c r="A68" s="31"/>
      <c r="B68" s="13"/>
      <c r="C68" s="13"/>
      <c r="D68" s="32"/>
      <c r="E68" s="32"/>
      <c r="F68" s="14"/>
      <c r="G68" s="23"/>
      <c r="H68" s="16" t="str">
        <f aca="false">IF(F68="","",IF(G68&lt;&gt;"",G68,IF(E68="JPY",IF(ISNUMBER($L$1),ROUND(F68/$L$1,2),"レート未入力"),F68)))</f>
        <v/>
      </c>
      <c r="I68" s="33"/>
      <c r="J68" s="16" t="str">
        <f aca="false">IF(ISNUMBER(H68),ROUND(H68*IF(I68="",1,I68),2),"")</f>
        <v/>
      </c>
      <c r="K68" s="35"/>
      <c r="L68" s="22" t="str">
        <f aca="false">IF(A68="","",IF(A68&lt;DATE(2025,4,6),"2024/25",IF(A68&lt;DATE(2026,4,6),"2025/26",IF(A68&lt;DATE(2027,4,6),"2026/27","2027/28"))))</f>
        <v/>
      </c>
      <c r="N68" s="13"/>
    </row>
    <row r="69" customFormat="false" ht="15" hidden="false" customHeight="false" outlineLevel="0" collapsed="false">
      <c r="A69" s="31"/>
      <c r="B69" s="13"/>
      <c r="C69" s="13"/>
      <c r="D69" s="32"/>
      <c r="E69" s="32"/>
      <c r="F69" s="14"/>
      <c r="G69" s="23"/>
      <c r="H69" s="16" t="str">
        <f aca="false">IF(F69="","",IF(G69&lt;&gt;"",G69,IF(E69="JPY",IF(ISNUMBER($L$1),ROUND(F69/$L$1,2),"レート未入力"),F69)))</f>
        <v/>
      </c>
      <c r="I69" s="33"/>
      <c r="J69" s="16" t="str">
        <f aca="false">IF(ISNUMBER(H69),ROUND(H69*IF(I69="",1,I69),2),"")</f>
        <v/>
      </c>
      <c r="K69" s="35"/>
      <c r="L69" s="22" t="str">
        <f aca="false">IF(A69="","",IF(A69&lt;DATE(2025,4,6),"2024/25",IF(A69&lt;DATE(2026,4,6),"2025/26",IF(A69&lt;DATE(2027,4,6),"2026/27","2027/28"))))</f>
        <v/>
      </c>
      <c r="N69" s="13"/>
    </row>
    <row r="70" customFormat="false" ht="15" hidden="false" customHeight="false" outlineLevel="0" collapsed="false">
      <c r="A70" s="3" t="s">
        <v>196</v>
      </c>
      <c r="J70" s="18" t="n">
        <f aca="false">SUM(J30:J69)</f>
        <v>0</v>
      </c>
    </row>
    <row r="72" customFormat="false" ht="15" hidden="false" customHeight="false" outlineLevel="0" collapsed="false">
      <c r="A72" s="26" t="s">
        <v>197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customFormat="false" ht="15" hidden="false" customHeight="false" outlineLevel="0" collapsed="false">
      <c r="A73" s="17" t="s">
        <v>137</v>
      </c>
      <c r="D73" s="36" t="s">
        <v>16</v>
      </c>
      <c r="E73" s="36" t="s">
        <v>18</v>
      </c>
      <c r="F73" s="36"/>
    </row>
    <row r="74" customFormat="false" ht="15" hidden="false" customHeight="false" outlineLevel="0" collapsed="false">
      <c r="A74" s="17" t="s">
        <v>183</v>
      </c>
      <c r="D74" s="18" t="n">
        <f aca="false">SUMIFS($H$6:$H$25,$J$6:$J$25,"2025/26")</f>
        <v>0</v>
      </c>
      <c r="E74" s="18" t="n">
        <f aca="false">SUMIFS($H$6:$H$25,$J$6:$J$25,"2026/27")</f>
        <v>0</v>
      </c>
      <c r="F74" s="18"/>
    </row>
    <row r="75" customFormat="false" ht="15" hidden="false" customHeight="false" outlineLevel="0" collapsed="false">
      <c r="A75" s="21" t="s">
        <v>41</v>
      </c>
      <c r="D75" s="16" t="n">
        <f aca="false">SUMIFS($J$30:$J$69,$D$30:$D$69,$A75,$L$30:$L$69,"2025/26")</f>
        <v>0</v>
      </c>
      <c r="E75" s="16" t="n">
        <f aca="false">SUMIFS($J$30:$J$69,$D$30:$D$69,$A75,$L$30:$L$69,"2026/27")</f>
        <v>0</v>
      </c>
      <c r="F75" s="16"/>
    </row>
    <row r="76" customFormat="false" ht="15" hidden="false" customHeight="false" outlineLevel="0" collapsed="false">
      <c r="A76" s="21" t="s">
        <v>43</v>
      </c>
      <c r="D76" s="16" t="n">
        <f aca="false">SUMIFS($J$30:$J$69,$D$30:$D$69,$A76,$L$30:$L$69,"2025/26")</f>
        <v>0</v>
      </c>
      <c r="E76" s="16" t="n">
        <f aca="false">SUMIFS($J$30:$J$69,$D$30:$D$69,$A76,$L$30:$L$69,"2026/27")</f>
        <v>0</v>
      </c>
      <c r="F76" s="16"/>
    </row>
    <row r="77" customFormat="false" ht="15" hidden="false" customHeight="false" outlineLevel="0" collapsed="false">
      <c r="A77" s="21" t="s">
        <v>45</v>
      </c>
      <c r="D77" s="16" t="n">
        <f aca="false">SUMIFS($J$30:$J$69,$D$30:$D$69,$A77,$L$30:$L$69,"2025/26")</f>
        <v>0</v>
      </c>
      <c r="E77" s="16" t="n">
        <f aca="false">SUMIFS($J$30:$J$69,$D$30:$D$69,$A77,$L$30:$L$69,"2026/27")</f>
        <v>0</v>
      </c>
      <c r="F77" s="16"/>
    </row>
    <row r="78" customFormat="false" ht="15" hidden="false" customHeight="false" outlineLevel="0" collapsed="false">
      <c r="A78" s="21" t="s">
        <v>47</v>
      </c>
      <c r="D78" s="16" t="n">
        <f aca="false">SUMIFS($J$30:$J$69,$D$30:$D$69,$A78,$L$30:$L$69,"2025/26")</f>
        <v>0</v>
      </c>
      <c r="E78" s="16" t="n">
        <f aca="false">SUMIFS($J$30:$J$69,$D$30:$D$69,$A78,$L$30:$L$69,"2026/27")</f>
        <v>0</v>
      </c>
      <c r="F78" s="16"/>
    </row>
    <row r="79" customFormat="false" ht="15" hidden="false" customHeight="false" outlineLevel="0" collapsed="false">
      <c r="A79" s="21" t="s">
        <v>49</v>
      </c>
      <c r="D79" s="16" t="n">
        <f aca="false">SUMIFS($J$30:$J$69,$D$30:$D$69,$A79,$L$30:$L$69,"2025/26")</f>
        <v>0</v>
      </c>
      <c r="E79" s="16" t="n">
        <f aca="false">SUMIFS($J$30:$J$69,$D$30:$D$69,$A79,$L$30:$L$69,"2026/27")</f>
        <v>0</v>
      </c>
      <c r="F79" s="16"/>
    </row>
    <row r="80" customFormat="false" ht="15" hidden="false" customHeight="false" outlineLevel="0" collapsed="false">
      <c r="A80" s="21" t="s">
        <v>51</v>
      </c>
      <c r="D80" s="16" t="n">
        <f aca="false">SUMIFS($J$30:$J$69,$D$30:$D$69,$A80,$L$30:$L$69,"2025/26")</f>
        <v>0</v>
      </c>
      <c r="E80" s="16" t="n">
        <f aca="false">SUMIFS($J$30:$J$69,$D$30:$D$69,$A80,$L$30:$L$69,"2026/27")</f>
        <v>0</v>
      </c>
      <c r="F80" s="16"/>
    </row>
    <row r="81" customFormat="false" ht="15" hidden="false" customHeight="false" outlineLevel="0" collapsed="false">
      <c r="A81" s="21" t="s">
        <v>53</v>
      </c>
      <c r="D81" s="16" t="n">
        <f aca="false">SUMIFS($J$30:$J$69,$D$30:$D$69,$A81,$L$30:$L$69,"2025/26")</f>
        <v>0</v>
      </c>
      <c r="E81" s="16" t="n">
        <f aca="false">SUMIFS($J$30:$J$69,$D$30:$D$69,$A81,$L$30:$L$69,"2026/27")</f>
        <v>0</v>
      </c>
      <c r="F81" s="16"/>
    </row>
    <row r="82" customFormat="false" ht="15" hidden="false" customHeight="false" outlineLevel="0" collapsed="false">
      <c r="A82" s="21" t="s">
        <v>55</v>
      </c>
      <c r="D82" s="16" t="n">
        <f aca="false">SUMIFS($J$30:$J$69,$D$30:$D$69,$A82,$L$30:$L$69,"2025/26")</f>
        <v>0</v>
      </c>
      <c r="E82" s="16" t="n">
        <f aca="false">SUMIFS($J$30:$J$69,$D$30:$D$69,$A82,$L$30:$L$69,"2026/27")</f>
        <v>0</v>
      </c>
      <c r="F82" s="16"/>
    </row>
    <row r="83" customFormat="false" ht="15" hidden="false" customHeight="false" outlineLevel="0" collapsed="false">
      <c r="A83" s="21" t="s">
        <v>57</v>
      </c>
      <c r="D83" s="16" t="n">
        <f aca="false">SUMIFS($J$30:$J$69,$D$30:$D$69,$A83,$L$30:$L$69,"2025/26")</f>
        <v>0</v>
      </c>
      <c r="E83" s="16" t="n">
        <f aca="false">SUMIFS($J$30:$J$69,$D$30:$D$69,$A83,$L$30:$L$69,"2026/27")</f>
        <v>0</v>
      </c>
      <c r="F83" s="16"/>
    </row>
    <row r="84" customFormat="false" ht="15" hidden="false" customHeight="false" outlineLevel="0" collapsed="false">
      <c r="A84" s="21" t="s">
        <v>59</v>
      </c>
      <c r="D84" s="16" t="n">
        <f aca="false">SUMIFS($J$30:$J$69,$D$30:$D$69,$A84,$L$30:$L$69,"2025/26")</f>
        <v>0</v>
      </c>
      <c r="E84" s="16" t="n">
        <f aca="false">SUMIFS($J$30:$J$69,$D$30:$D$69,$A84,$L$30:$L$69,"2026/27")</f>
        <v>0</v>
      </c>
      <c r="F84" s="16"/>
    </row>
    <row r="85" customFormat="false" ht="15" hidden="false" customHeight="false" outlineLevel="0" collapsed="false">
      <c r="A85" s="21" t="s">
        <v>61</v>
      </c>
      <c r="D85" s="16" t="n">
        <f aca="false">SUMIFS($J$30:$J$69,$D$30:$D$69,$A85,$L$30:$L$69,"2025/26")</f>
        <v>0</v>
      </c>
      <c r="E85" s="16" t="n">
        <f aca="false">SUMIFS($J$30:$J$69,$D$30:$D$69,$A85,$L$30:$L$69,"2026/27")</f>
        <v>0</v>
      </c>
      <c r="F85" s="16"/>
    </row>
    <row r="86" customFormat="false" ht="15" hidden="false" customHeight="false" outlineLevel="0" collapsed="false">
      <c r="A86" s="21" t="s">
        <v>63</v>
      </c>
      <c r="D86" s="16" t="n">
        <f aca="false">SUMIFS($J$30:$J$69,$D$30:$D$69,$A86,$L$30:$L$69,"2025/26")</f>
        <v>0</v>
      </c>
      <c r="E86" s="16" t="n">
        <f aca="false">SUMIFS($J$30:$J$69,$D$30:$D$69,$A86,$L$30:$L$69,"2026/27")</f>
        <v>0</v>
      </c>
      <c r="F86" s="16"/>
    </row>
    <row r="87" customFormat="false" ht="15" hidden="false" customHeight="false" outlineLevel="0" collapsed="false">
      <c r="A87" s="21" t="s">
        <v>64</v>
      </c>
      <c r="D87" s="16" t="n">
        <f aca="false">SUMIFS($J$30:$J$69,$D$30:$D$69,$A87,$L$30:$L$69,"2025/26")</f>
        <v>0</v>
      </c>
      <c r="E87" s="16" t="n">
        <f aca="false">SUMIFS($J$30:$J$69,$D$30:$D$69,$A87,$L$30:$L$69,"2026/27")</f>
        <v>0</v>
      </c>
      <c r="F87" s="16"/>
    </row>
    <row r="88" customFormat="false" ht="15" hidden="false" customHeight="false" outlineLevel="0" collapsed="false">
      <c r="A88" s="17" t="s">
        <v>198</v>
      </c>
      <c r="D88" s="18" t="n">
        <f aca="false">SUM(D75:D86)</f>
        <v>0</v>
      </c>
      <c r="E88" s="18" t="n">
        <f aca="false">SUM(E75:E86)</f>
        <v>0</v>
      </c>
      <c r="F88" s="18"/>
    </row>
    <row r="89" customFormat="false" ht="15" hidden="false" customHeight="false" outlineLevel="0" collapsed="false">
      <c r="A89" s="17" t="s">
        <v>199</v>
      </c>
      <c r="D89" s="18" t="n">
        <f aca="false">D74-D88-D87</f>
        <v>0</v>
      </c>
      <c r="E89" s="18" t="n">
        <f aca="false">E74-E88-E87</f>
        <v>0</v>
      </c>
      <c r="F89" s="18"/>
    </row>
    <row r="90" customFormat="false" ht="15" hidden="false" customHeight="false" outlineLevel="0" collapsed="false">
      <c r="A90" s="37" t="s">
        <v>200</v>
      </c>
    </row>
    <row r="91" customFormat="false" ht="15" hidden="false" customHeight="false" outlineLevel="0" collapsed="false">
      <c r="A91" s="21" t="s">
        <v>201</v>
      </c>
      <c r="D91" s="16" t="n">
        <f aca="false">SUMIFS($J$30:$J$69,$D$30:$D$69,"")</f>
        <v>0</v>
      </c>
    </row>
  </sheetData>
  <mergeCells count="17"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</mergeCells>
  <dataValidations count="5">
    <dataValidation allowBlank="true" error="0%〜100%で入力してください" errorStyle="stop" operator="between" showDropDown="false" showErrorMessage="true" showInputMessage="false" sqref="I30:I69" type="decimal">
      <formula1>0</formula1>
      <formula2>1</formula2>
    </dataValidation>
    <dataValidation allowBlank="true" errorStyle="stop" operator="between" showDropDown="false" showErrorMessage="false" showInputMessage="false" sqref="E6:E25 E30:E69" type="list">
      <formula1>_list!$B$1:$B$2</formula1>
      <formula2>0</formula2>
    </dataValidation>
    <dataValidation allowBlank="true" errorStyle="stop" operator="between" showDropDown="false" showErrorMessage="false" showInputMessage="false" sqref="D30:D69" type="list">
      <formula1>_list!$A$1:$A$13</formula1>
      <formula2>0</formula2>
    </dataValidation>
    <dataValidation allowBlank="true" errorStyle="stop" operator="between" showDropDown="false" showErrorMessage="false" showInputMessage="false" sqref="D6:D25" type="list">
      <formula1>_list!$C$1:$C$7</formula1>
      <formula2>0</formula2>
    </dataValidation>
    <dataValidation allowBlank="true" error="日付で入力してください（例：2025/5/2）" errorStyle="stop" operator="between" showDropDown="false" showErrorMessage="true" showInputMessage="false" sqref="A6:A25 A30:A69" type="date">
      <formula1>DATE(2025,4,1)</formula1>
      <formula2>DATE(2027,12,31)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24"/>
  </cols>
  <sheetData>
    <row r="1" customFormat="false" ht="19.4" hidden="false" customHeight="false" outlineLevel="0" collapsed="false">
      <c r="A1" s="1" t="s">
        <v>214</v>
      </c>
      <c r="J1" s="3" t="s">
        <v>164</v>
      </c>
      <c r="L1" s="25" t="str">
        <f aca="false">IF(為替レート!$B$18="","未入力",為替レート!$B$18)</f>
        <v>未入力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26" t="s">
        <v>166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customFormat="false" ht="30" hidden="false" customHeight="true" outlineLevel="0" collapsed="false">
      <c r="A5" s="9" t="s">
        <v>167</v>
      </c>
      <c r="B5" s="9" t="s">
        <v>168</v>
      </c>
      <c r="C5" s="9" t="s">
        <v>169</v>
      </c>
      <c r="D5" s="9" t="s">
        <v>170</v>
      </c>
      <c r="E5" s="9" t="s">
        <v>171</v>
      </c>
      <c r="F5" s="9" t="s">
        <v>172</v>
      </c>
      <c r="G5" s="9" t="s">
        <v>173</v>
      </c>
      <c r="H5" s="9" t="s">
        <v>174</v>
      </c>
      <c r="I5" s="9" t="s">
        <v>175</v>
      </c>
      <c r="J5" s="9" t="s">
        <v>176</v>
      </c>
      <c r="K5" s="9"/>
      <c r="L5" s="9"/>
      <c r="M5" s="9"/>
      <c r="N5" s="9" t="s">
        <v>177</v>
      </c>
    </row>
    <row r="6" customFormat="false" ht="15" hidden="false" customHeight="false" outlineLevel="0" collapsed="false">
      <c r="A6" s="31"/>
      <c r="B6" s="13"/>
      <c r="C6" s="13"/>
      <c r="D6" s="32"/>
      <c r="E6" s="32"/>
      <c r="F6" s="14"/>
      <c r="G6" s="23"/>
      <c r="H6" s="16" t="str">
        <f aca="false">IF(F6="","",IF(G6&lt;&gt;"",G6,IF(E6="JPY",IF(ISNUMBER($L$1),ROUND(F6/$L$1,2),"レート未入力"),F6)))</f>
        <v/>
      </c>
      <c r="I6" s="13"/>
      <c r="J6" s="22" t="str">
        <f aca="false">IF(A6="","",IF(A6&lt;DATE(2025,4,6),"2024/25",IF(A6&lt;DATE(2026,4,6),"2025/26",IF(A6&lt;DATE(2027,4,6),"2026/27","2027/28"))))</f>
        <v/>
      </c>
      <c r="N6" s="13"/>
    </row>
    <row r="7" customFormat="false" ht="15" hidden="false" customHeight="false" outlineLevel="0" collapsed="false">
      <c r="A7" s="31"/>
      <c r="B7" s="13"/>
      <c r="C7" s="13"/>
      <c r="D7" s="32"/>
      <c r="E7" s="32"/>
      <c r="F7" s="14"/>
      <c r="G7" s="23"/>
      <c r="H7" s="16" t="str">
        <f aca="false">IF(F7="","",IF(G7&lt;&gt;"",G7,IF(E7="JPY",IF(ISNUMBER($L$1),ROUND(F7/$L$1,2),"レート未入力"),F7)))</f>
        <v/>
      </c>
      <c r="I7" s="13"/>
      <c r="J7" s="22" t="str">
        <f aca="false">IF(A7="","",IF(A7&lt;DATE(2025,4,6),"2024/25",IF(A7&lt;DATE(2026,4,6),"2025/26",IF(A7&lt;DATE(2027,4,6),"2026/27","2027/28"))))</f>
        <v/>
      </c>
      <c r="N7" s="13"/>
    </row>
    <row r="8" customFormat="false" ht="15" hidden="false" customHeight="false" outlineLevel="0" collapsed="false">
      <c r="A8" s="31"/>
      <c r="B8" s="13"/>
      <c r="C8" s="13"/>
      <c r="D8" s="32"/>
      <c r="E8" s="32"/>
      <c r="F8" s="14"/>
      <c r="G8" s="23"/>
      <c r="H8" s="16" t="str">
        <f aca="false">IF(F8="","",IF(G8&lt;&gt;"",G8,IF(E8="JPY",IF(ISNUMBER($L$1),ROUND(F8/$L$1,2),"レート未入力"),F8)))</f>
        <v/>
      </c>
      <c r="I8" s="13"/>
      <c r="J8" s="22" t="str">
        <f aca="false">IF(A8="","",IF(A8&lt;DATE(2025,4,6),"2024/25",IF(A8&lt;DATE(2026,4,6),"2025/26",IF(A8&lt;DATE(2027,4,6),"2026/27","2027/28"))))</f>
        <v/>
      </c>
      <c r="N8" s="13"/>
    </row>
    <row r="9" customFormat="false" ht="15" hidden="false" customHeight="false" outlineLevel="0" collapsed="false">
      <c r="A9" s="31"/>
      <c r="B9" s="13"/>
      <c r="C9" s="13"/>
      <c r="D9" s="32"/>
      <c r="E9" s="32"/>
      <c r="F9" s="14"/>
      <c r="G9" s="23"/>
      <c r="H9" s="16" t="str">
        <f aca="false">IF(F9="","",IF(G9&lt;&gt;"",G9,IF(E9="JPY",IF(ISNUMBER($L$1),ROUND(F9/$L$1,2),"レート未入力"),F9)))</f>
        <v/>
      </c>
      <c r="I9" s="13"/>
      <c r="J9" s="22" t="str">
        <f aca="false">IF(A9="","",IF(A9&lt;DATE(2025,4,6),"2024/25",IF(A9&lt;DATE(2026,4,6),"2025/26",IF(A9&lt;DATE(2027,4,6),"2026/27","2027/28"))))</f>
        <v/>
      </c>
      <c r="N9" s="13"/>
    </row>
    <row r="10" customFormat="false" ht="15" hidden="false" customHeight="false" outlineLevel="0" collapsed="false">
      <c r="A10" s="31"/>
      <c r="B10" s="13"/>
      <c r="C10" s="13"/>
      <c r="D10" s="32"/>
      <c r="E10" s="32"/>
      <c r="F10" s="14"/>
      <c r="G10" s="23"/>
      <c r="H10" s="16" t="str">
        <f aca="false">IF(F10="","",IF(G10&lt;&gt;"",G10,IF(E10="JPY",IF(ISNUMBER($L$1),ROUND(F10/$L$1,2),"レート未入力"),F10)))</f>
        <v/>
      </c>
      <c r="I10" s="13"/>
      <c r="J10" s="22" t="str">
        <f aca="false">IF(A10="","",IF(A10&lt;DATE(2025,4,6),"2024/25",IF(A10&lt;DATE(2026,4,6),"2025/26",IF(A10&lt;DATE(2027,4,6),"2026/27","2027/28"))))</f>
        <v/>
      </c>
      <c r="N10" s="13"/>
    </row>
    <row r="11" customFormat="false" ht="15" hidden="false" customHeight="false" outlineLevel="0" collapsed="false">
      <c r="A11" s="31"/>
      <c r="B11" s="13"/>
      <c r="C11" s="13"/>
      <c r="D11" s="32"/>
      <c r="E11" s="32"/>
      <c r="F11" s="14"/>
      <c r="G11" s="23"/>
      <c r="H11" s="16" t="str">
        <f aca="false">IF(F11="","",IF(G11&lt;&gt;"",G11,IF(E11="JPY",IF(ISNUMBER($L$1),ROUND(F11/$L$1,2),"レート未入力"),F11)))</f>
        <v/>
      </c>
      <c r="I11" s="13"/>
      <c r="J11" s="22" t="str">
        <f aca="false">IF(A11="","",IF(A11&lt;DATE(2025,4,6),"2024/25",IF(A11&lt;DATE(2026,4,6),"2025/26",IF(A11&lt;DATE(2027,4,6),"2026/27","2027/28"))))</f>
        <v/>
      </c>
      <c r="N11" s="13"/>
    </row>
    <row r="12" customFormat="false" ht="15" hidden="false" customHeight="false" outlineLevel="0" collapsed="false">
      <c r="A12" s="31"/>
      <c r="B12" s="13"/>
      <c r="C12" s="13"/>
      <c r="D12" s="32"/>
      <c r="E12" s="32"/>
      <c r="F12" s="14"/>
      <c r="G12" s="23"/>
      <c r="H12" s="16" t="str">
        <f aca="false">IF(F12="","",IF(G12&lt;&gt;"",G12,IF(E12="JPY",IF(ISNUMBER($L$1),ROUND(F12/$L$1,2),"レート未入力"),F12)))</f>
        <v/>
      </c>
      <c r="I12" s="13"/>
      <c r="J12" s="22" t="str">
        <f aca="false">IF(A12="","",IF(A12&lt;DATE(2025,4,6),"2024/25",IF(A12&lt;DATE(2026,4,6),"2025/26",IF(A12&lt;DATE(2027,4,6),"2026/27","2027/28"))))</f>
        <v/>
      </c>
      <c r="N12" s="13"/>
    </row>
    <row r="13" customFormat="false" ht="15" hidden="false" customHeight="false" outlineLevel="0" collapsed="false">
      <c r="A13" s="31"/>
      <c r="B13" s="13"/>
      <c r="C13" s="13"/>
      <c r="D13" s="32"/>
      <c r="E13" s="32"/>
      <c r="F13" s="14"/>
      <c r="G13" s="23"/>
      <c r="H13" s="16" t="str">
        <f aca="false">IF(F13="","",IF(G13&lt;&gt;"",G13,IF(E13="JPY",IF(ISNUMBER($L$1),ROUND(F13/$L$1,2),"レート未入力"),F13)))</f>
        <v/>
      </c>
      <c r="I13" s="13"/>
      <c r="J13" s="22" t="str">
        <f aca="false">IF(A13="","",IF(A13&lt;DATE(2025,4,6),"2024/25",IF(A13&lt;DATE(2026,4,6),"2025/26",IF(A13&lt;DATE(2027,4,6),"2026/27","2027/28"))))</f>
        <v/>
      </c>
      <c r="N13" s="13"/>
    </row>
    <row r="14" customFormat="false" ht="15" hidden="false" customHeight="false" outlineLevel="0" collapsed="false">
      <c r="A14" s="31"/>
      <c r="B14" s="13"/>
      <c r="C14" s="13"/>
      <c r="D14" s="32"/>
      <c r="E14" s="32"/>
      <c r="F14" s="14"/>
      <c r="G14" s="23"/>
      <c r="H14" s="16" t="str">
        <f aca="false">IF(F14="","",IF(G14&lt;&gt;"",G14,IF(E14="JPY",IF(ISNUMBER($L$1),ROUND(F14/$L$1,2),"レート未入力"),F14)))</f>
        <v/>
      </c>
      <c r="I14" s="13"/>
      <c r="J14" s="22" t="str">
        <f aca="false">IF(A14="","",IF(A14&lt;DATE(2025,4,6),"2024/25",IF(A14&lt;DATE(2026,4,6),"2025/26",IF(A14&lt;DATE(2027,4,6),"2026/27","2027/28"))))</f>
        <v/>
      </c>
      <c r="N14" s="13"/>
    </row>
    <row r="15" customFormat="false" ht="15" hidden="false" customHeight="false" outlineLevel="0" collapsed="false">
      <c r="A15" s="31"/>
      <c r="B15" s="13"/>
      <c r="C15" s="13"/>
      <c r="D15" s="32"/>
      <c r="E15" s="32"/>
      <c r="F15" s="14"/>
      <c r="G15" s="23"/>
      <c r="H15" s="16" t="str">
        <f aca="false">IF(F15="","",IF(G15&lt;&gt;"",G15,IF(E15="JPY",IF(ISNUMBER($L$1),ROUND(F15/$L$1,2),"レート未入力"),F15)))</f>
        <v/>
      </c>
      <c r="I15" s="13"/>
      <c r="J15" s="22" t="str">
        <f aca="false">IF(A15="","",IF(A15&lt;DATE(2025,4,6),"2024/25",IF(A15&lt;DATE(2026,4,6),"2025/26",IF(A15&lt;DATE(2027,4,6),"2026/27","2027/28"))))</f>
        <v/>
      </c>
      <c r="N15" s="13"/>
    </row>
    <row r="16" customFormat="false" ht="15" hidden="false" customHeight="false" outlineLevel="0" collapsed="false">
      <c r="A16" s="31"/>
      <c r="B16" s="13"/>
      <c r="C16" s="13"/>
      <c r="D16" s="32"/>
      <c r="E16" s="32"/>
      <c r="F16" s="14"/>
      <c r="G16" s="23"/>
      <c r="H16" s="16" t="str">
        <f aca="false">IF(F16="","",IF(G16&lt;&gt;"",G16,IF(E16="JPY",IF(ISNUMBER($L$1),ROUND(F16/$L$1,2),"レート未入力"),F16)))</f>
        <v/>
      </c>
      <c r="I16" s="13"/>
      <c r="J16" s="22" t="str">
        <f aca="false">IF(A16="","",IF(A16&lt;DATE(2025,4,6),"2024/25",IF(A16&lt;DATE(2026,4,6),"2025/26",IF(A16&lt;DATE(2027,4,6),"2026/27","2027/28"))))</f>
        <v/>
      </c>
      <c r="N16" s="13"/>
    </row>
    <row r="17" customFormat="false" ht="15" hidden="false" customHeight="false" outlineLevel="0" collapsed="false">
      <c r="A17" s="31"/>
      <c r="B17" s="13"/>
      <c r="C17" s="13"/>
      <c r="D17" s="32"/>
      <c r="E17" s="32"/>
      <c r="F17" s="14"/>
      <c r="G17" s="23"/>
      <c r="H17" s="16" t="str">
        <f aca="false">IF(F17="","",IF(G17&lt;&gt;"",G17,IF(E17="JPY",IF(ISNUMBER($L$1),ROUND(F17/$L$1,2),"レート未入力"),F17)))</f>
        <v/>
      </c>
      <c r="I17" s="13"/>
      <c r="J17" s="22" t="str">
        <f aca="false">IF(A17="","",IF(A17&lt;DATE(2025,4,6),"2024/25",IF(A17&lt;DATE(2026,4,6),"2025/26",IF(A17&lt;DATE(2027,4,6),"2026/27","2027/28"))))</f>
        <v/>
      </c>
      <c r="N17" s="13"/>
    </row>
    <row r="18" customFormat="false" ht="15" hidden="false" customHeight="false" outlineLevel="0" collapsed="false">
      <c r="A18" s="31"/>
      <c r="B18" s="13"/>
      <c r="C18" s="13"/>
      <c r="D18" s="32"/>
      <c r="E18" s="32"/>
      <c r="F18" s="14"/>
      <c r="G18" s="23"/>
      <c r="H18" s="16" t="str">
        <f aca="false">IF(F18="","",IF(G18&lt;&gt;"",G18,IF(E18="JPY",IF(ISNUMBER($L$1),ROUND(F18/$L$1,2),"レート未入力"),F18)))</f>
        <v/>
      </c>
      <c r="I18" s="13"/>
      <c r="J18" s="22" t="str">
        <f aca="false">IF(A18="","",IF(A18&lt;DATE(2025,4,6),"2024/25",IF(A18&lt;DATE(2026,4,6),"2025/26",IF(A18&lt;DATE(2027,4,6),"2026/27","2027/28"))))</f>
        <v/>
      </c>
      <c r="N18" s="13"/>
    </row>
    <row r="19" customFormat="false" ht="15" hidden="false" customHeight="false" outlineLevel="0" collapsed="false">
      <c r="A19" s="31"/>
      <c r="B19" s="13"/>
      <c r="C19" s="13"/>
      <c r="D19" s="32"/>
      <c r="E19" s="32"/>
      <c r="F19" s="14"/>
      <c r="G19" s="23"/>
      <c r="H19" s="16" t="str">
        <f aca="false">IF(F19="","",IF(G19&lt;&gt;"",G19,IF(E19="JPY",IF(ISNUMBER($L$1),ROUND(F19/$L$1,2),"レート未入力"),F19)))</f>
        <v/>
      </c>
      <c r="I19" s="13"/>
      <c r="J19" s="22" t="str">
        <f aca="false">IF(A19="","",IF(A19&lt;DATE(2025,4,6),"2024/25",IF(A19&lt;DATE(2026,4,6),"2025/26",IF(A19&lt;DATE(2027,4,6),"2026/27","2027/28"))))</f>
        <v/>
      </c>
      <c r="N19" s="13"/>
    </row>
    <row r="20" customFormat="false" ht="15" hidden="false" customHeight="false" outlineLevel="0" collapsed="false">
      <c r="A20" s="31"/>
      <c r="B20" s="13"/>
      <c r="C20" s="13"/>
      <c r="D20" s="32"/>
      <c r="E20" s="32"/>
      <c r="F20" s="14"/>
      <c r="G20" s="23"/>
      <c r="H20" s="16" t="str">
        <f aca="false">IF(F20="","",IF(G20&lt;&gt;"",G20,IF(E20="JPY",IF(ISNUMBER($L$1),ROUND(F20/$L$1,2),"レート未入力"),F20)))</f>
        <v/>
      </c>
      <c r="I20" s="13"/>
      <c r="J20" s="22" t="str">
        <f aca="false">IF(A20="","",IF(A20&lt;DATE(2025,4,6),"2024/25",IF(A20&lt;DATE(2026,4,6),"2025/26",IF(A20&lt;DATE(2027,4,6),"2026/27","2027/28"))))</f>
        <v/>
      </c>
      <c r="N20" s="13"/>
    </row>
    <row r="21" customFormat="false" ht="15" hidden="false" customHeight="false" outlineLevel="0" collapsed="false">
      <c r="A21" s="31"/>
      <c r="B21" s="13"/>
      <c r="C21" s="13"/>
      <c r="D21" s="32"/>
      <c r="E21" s="32"/>
      <c r="F21" s="14"/>
      <c r="G21" s="23"/>
      <c r="H21" s="16" t="str">
        <f aca="false">IF(F21="","",IF(G21&lt;&gt;"",G21,IF(E21="JPY",IF(ISNUMBER($L$1),ROUND(F21/$L$1,2),"レート未入力"),F21)))</f>
        <v/>
      </c>
      <c r="I21" s="13"/>
      <c r="J21" s="22" t="str">
        <f aca="false">IF(A21="","",IF(A21&lt;DATE(2025,4,6),"2024/25",IF(A21&lt;DATE(2026,4,6),"2025/26",IF(A21&lt;DATE(2027,4,6),"2026/27","2027/28"))))</f>
        <v/>
      </c>
      <c r="N21" s="13"/>
    </row>
    <row r="22" customFormat="false" ht="15" hidden="false" customHeight="false" outlineLevel="0" collapsed="false">
      <c r="A22" s="31"/>
      <c r="B22" s="13"/>
      <c r="C22" s="13"/>
      <c r="D22" s="32"/>
      <c r="E22" s="32"/>
      <c r="F22" s="14"/>
      <c r="G22" s="23"/>
      <c r="H22" s="16" t="str">
        <f aca="false">IF(F22="","",IF(G22&lt;&gt;"",G22,IF(E22="JPY",IF(ISNUMBER($L$1),ROUND(F22/$L$1,2),"レート未入力"),F22)))</f>
        <v/>
      </c>
      <c r="I22" s="13"/>
      <c r="J22" s="22" t="str">
        <f aca="false">IF(A22="","",IF(A22&lt;DATE(2025,4,6),"2024/25",IF(A22&lt;DATE(2026,4,6),"2025/26",IF(A22&lt;DATE(2027,4,6),"2026/27","2027/28"))))</f>
        <v/>
      </c>
      <c r="N22" s="13"/>
    </row>
    <row r="23" customFormat="false" ht="15" hidden="false" customHeight="false" outlineLevel="0" collapsed="false">
      <c r="A23" s="31"/>
      <c r="B23" s="13"/>
      <c r="C23" s="13"/>
      <c r="D23" s="32"/>
      <c r="E23" s="32"/>
      <c r="F23" s="14"/>
      <c r="G23" s="23"/>
      <c r="H23" s="16" t="str">
        <f aca="false">IF(F23="","",IF(G23&lt;&gt;"",G23,IF(E23="JPY",IF(ISNUMBER($L$1),ROUND(F23/$L$1,2),"レート未入力"),F23)))</f>
        <v/>
      </c>
      <c r="I23" s="13"/>
      <c r="J23" s="22" t="str">
        <f aca="false">IF(A23="","",IF(A23&lt;DATE(2025,4,6),"2024/25",IF(A23&lt;DATE(2026,4,6),"2025/26",IF(A23&lt;DATE(2027,4,6),"2026/27","2027/28"))))</f>
        <v/>
      </c>
      <c r="N23" s="13"/>
    </row>
    <row r="24" customFormat="false" ht="15" hidden="false" customHeight="false" outlineLevel="0" collapsed="false">
      <c r="A24" s="31"/>
      <c r="B24" s="13"/>
      <c r="C24" s="13"/>
      <c r="D24" s="32"/>
      <c r="E24" s="32"/>
      <c r="F24" s="14"/>
      <c r="G24" s="23"/>
      <c r="H24" s="16" t="str">
        <f aca="false">IF(F24="","",IF(G24&lt;&gt;"",G24,IF(E24="JPY",IF(ISNUMBER($L$1),ROUND(F24/$L$1,2),"レート未入力"),F24)))</f>
        <v/>
      </c>
      <c r="I24" s="13"/>
      <c r="J24" s="22" t="str">
        <f aca="false">IF(A24="","",IF(A24&lt;DATE(2025,4,6),"2024/25",IF(A24&lt;DATE(2026,4,6),"2025/26",IF(A24&lt;DATE(2027,4,6),"2026/27","2027/28"))))</f>
        <v/>
      </c>
      <c r="N24" s="13"/>
    </row>
    <row r="25" customFormat="false" ht="15" hidden="false" customHeight="false" outlineLevel="0" collapsed="false">
      <c r="A25" s="31"/>
      <c r="B25" s="13"/>
      <c r="C25" s="13"/>
      <c r="D25" s="32"/>
      <c r="E25" s="32"/>
      <c r="F25" s="14"/>
      <c r="G25" s="23"/>
      <c r="H25" s="16" t="str">
        <f aca="false">IF(F25="","",IF(G25&lt;&gt;"",G25,IF(E25="JPY",IF(ISNUMBER($L$1),ROUND(F25/$L$1,2),"レート未入力"),F25)))</f>
        <v/>
      </c>
      <c r="I25" s="13"/>
      <c r="J25" s="22" t="str">
        <f aca="false">IF(A25="","",IF(A25&lt;DATE(2025,4,6),"2024/25",IF(A25&lt;DATE(2026,4,6),"2025/26",IF(A25&lt;DATE(2027,4,6),"2026/27","2027/28"))))</f>
        <v/>
      </c>
      <c r="N25" s="13"/>
    </row>
    <row r="26" customFormat="false" ht="15" hidden="false" customHeight="false" outlineLevel="0" collapsed="false">
      <c r="A26" s="3" t="s">
        <v>183</v>
      </c>
      <c r="H26" s="18" t="n">
        <f aca="false">SUM(H6:H25)</f>
        <v>0</v>
      </c>
    </row>
    <row r="28" customFormat="false" ht="15" hidden="false" customHeight="false" outlineLevel="0" collapsed="false">
      <c r="A28" s="26" t="s">
        <v>184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</row>
    <row r="29" customFormat="false" ht="30" hidden="false" customHeight="true" outlineLevel="0" collapsed="false">
      <c r="A29" s="9" t="s">
        <v>167</v>
      </c>
      <c r="B29" s="9" t="s">
        <v>185</v>
      </c>
      <c r="C29" s="9" t="s">
        <v>169</v>
      </c>
      <c r="D29" s="9" t="s">
        <v>38</v>
      </c>
      <c r="E29" s="9" t="s">
        <v>171</v>
      </c>
      <c r="F29" s="9" t="s">
        <v>172</v>
      </c>
      <c r="G29" s="9" t="s">
        <v>173</v>
      </c>
      <c r="H29" s="10" t="s">
        <v>186</v>
      </c>
      <c r="I29" s="9" t="s">
        <v>187</v>
      </c>
      <c r="J29" s="9" t="s">
        <v>188</v>
      </c>
      <c r="K29" s="9" t="s">
        <v>189</v>
      </c>
      <c r="L29" s="9" t="s">
        <v>176</v>
      </c>
      <c r="M29" s="9"/>
      <c r="N29" s="9" t="s">
        <v>177</v>
      </c>
    </row>
    <row r="30" customFormat="false" ht="15" hidden="false" customHeight="false" outlineLevel="0" collapsed="false">
      <c r="A30" s="31"/>
      <c r="B30" s="13"/>
      <c r="C30" s="13"/>
      <c r="D30" s="32"/>
      <c r="E30" s="32"/>
      <c r="F30" s="14"/>
      <c r="G30" s="23"/>
      <c r="H30" s="16" t="str">
        <f aca="false">IF(F30="","",IF(G30&lt;&gt;"",G30,IF(E30="JPY",IF(ISNUMBER($L$1),ROUND(F30/$L$1,2),"レート未入力"),F30)))</f>
        <v/>
      </c>
      <c r="I30" s="33"/>
      <c r="J30" s="16" t="str">
        <f aca="false">IF(ISNUMBER(H30),ROUND(H30*IF(I30="",1,I30),2),"")</f>
        <v/>
      </c>
      <c r="K30" s="35"/>
      <c r="L30" s="22" t="str">
        <f aca="false">IF(A30="","",IF(A30&lt;DATE(2025,4,6),"2024/25",IF(A30&lt;DATE(2026,4,6),"2025/26",IF(A30&lt;DATE(2027,4,6),"2026/27","2027/28"))))</f>
        <v/>
      </c>
      <c r="N30" s="13"/>
    </row>
    <row r="31" customFormat="false" ht="15" hidden="false" customHeight="false" outlineLevel="0" collapsed="false">
      <c r="A31" s="31"/>
      <c r="B31" s="13"/>
      <c r="C31" s="13"/>
      <c r="D31" s="32"/>
      <c r="E31" s="32"/>
      <c r="F31" s="14"/>
      <c r="G31" s="23"/>
      <c r="H31" s="16" t="str">
        <f aca="false">IF(F31="","",IF(G31&lt;&gt;"",G31,IF(E31="JPY",IF(ISNUMBER($L$1),ROUND(F31/$L$1,2),"レート未入力"),F31)))</f>
        <v/>
      </c>
      <c r="I31" s="33"/>
      <c r="J31" s="16" t="str">
        <f aca="false">IF(ISNUMBER(H31),ROUND(H31*IF(I31="",1,I31),2),"")</f>
        <v/>
      </c>
      <c r="K31" s="35"/>
      <c r="L31" s="22" t="str">
        <f aca="false">IF(A31="","",IF(A31&lt;DATE(2025,4,6),"2024/25",IF(A31&lt;DATE(2026,4,6),"2025/26",IF(A31&lt;DATE(2027,4,6),"2026/27","2027/28"))))</f>
        <v/>
      </c>
      <c r="N31" s="13"/>
    </row>
    <row r="32" customFormat="false" ht="15" hidden="false" customHeight="false" outlineLevel="0" collapsed="false">
      <c r="A32" s="31"/>
      <c r="B32" s="13"/>
      <c r="C32" s="13"/>
      <c r="D32" s="32"/>
      <c r="E32" s="32"/>
      <c r="F32" s="14"/>
      <c r="G32" s="23"/>
      <c r="H32" s="16" t="str">
        <f aca="false">IF(F32="","",IF(G32&lt;&gt;"",G32,IF(E32="JPY",IF(ISNUMBER($L$1),ROUND(F32/$L$1,2),"レート未入力"),F32)))</f>
        <v/>
      </c>
      <c r="I32" s="33"/>
      <c r="J32" s="16" t="str">
        <f aca="false">IF(ISNUMBER(H32),ROUND(H32*IF(I32="",1,I32),2),"")</f>
        <v/>
      </c>
      <c r="K32" s="35"/>
      <c r="L32" s="22" t="str">
        <f aca="false">IF(A32="","",IF(A32&lt;DATE(2025,4,6),"2024/25",IF(A32&lt;DATE(2026,4,6),"2025/26",IF(A32&lt;DATE(2027,4,6),"2026/27","2027/28"))))</f>
        <v/>
      </c>
      <c r="N32" s="13"/>
    </row>
    <row r="33" customFormat="false" ht="15" hidden="false" customHeight="false" outlineLevel="0" collapsed="false">
      <c r="A33" s="31"/>
      <c r="B33" s="13"/>
      <c r="C33" s="13"/>
      <c r="D33" s="32"/>
      <c r="E33" s="32"/>
      <c r="F33" s="14"/>
      <c r="G33" s="23"/>
      <c r="H33" s="16" t="str">
        <f aca="false">IF(F33="","",IF(G33&lt;&gt;"",G33,IF(E33="JPY",IF(ISNUMBER($L$1),ROUND(F33/$L$1,2),"レート未入力"),F33)))</f>
        <v/>
      </c>
      <c r="I33" s="33"/>
      <c r="J33" s="16" t="str">
        <f aca="false">IF(ISNUMBER(H33),ROUND(H33*IF(I33="",1,I33),2),"")</f>
        <v/>
      </c>
      <c r="K33" s="35"/>
      <c r="L33" s="22" t="str">
        <f aca="false">IF(A33="","",IF(A33&lt;DATE(2025,4,6),"2024/25",IF(A33&lt;DATE(2026,4,6),"2025/26",IF(A33&lt;DATE(2027,4,6),"2026/27","2027/28"))))</f>
        <v/>
      </c>
      <c r="N33" s="13"/>
    </row>
    <row r="34" customFormat="false" ht="15" hidden="false" customHeight="false" outlineLevel="0" collapsed="false">
      <c r="A34" s="31"/>
      <c r="B34" s="13"/>
      <c r="C34" s="13"/>
      <c r="D34" s="32"/>
      <c r="E34" s="32"/>
      <c r="F34" s="14"/>
      <c r="G34" s="23"/>
      <c r="H34" s="16" t="str">
        <f aca="false">IF(F34="","",IF(G34&lt;&gt;"",G34,IF(E34="JPY",IF(ISNUMBER($L$1),ROUND(F34/$L$1,2),"レート未入力"),F34)))</f>
        <v/>
      </c>
      <c r="I34" s="33"/>
      <c r="J34" s="16" t="str">
        <f aca="false">IF(ISNUMBER(H34),ROUND(H34*IF(I34="",1,I34),2),"")</f>
        <v/>
      </c>
      <c r="K34" s="35"/>
      <c r="L34" s="22" t="str">
        <f aca="false">IF(A34="","",IF(A34&lt;DATE(2025,4,6),"2024/25",IF(A34&lt;DATE(2026,4,6),"2025/26",IF(A34&lt;DATE(2027,4,6),"2026/27","2027/28"))))</f>
        <v/>
      </c>
      <c r="N34" s="13"/>
    </row>
    <row r="35" customFormat="false" ht="15" hidden="false" customHeight="false" outlineLevel="0" collapsed="false">
      <c r="A35" s="31"/>
      <c r="B35" s="13"/>
      <c r="C35" s="13"/>
      <c r="D35" s="32"/>
      <c r="E35" s="32"/>
      <c r="F35" s="14"/>
      <c r="G35" s="23"/>
      <c r="H35" s="16" t="str">
        <f aca="false">IF(F35="","",IF(G35&lt;&gt;"",G35,IF(E35="JPY",IF(ISNUMBER($L$1),ROUND(F35/$L$1,2),"レート未入力"),F35)))</f>
        <v/>
      </c>
      <c r="I35" s="33"/>
      <c r="J35" s="16" t="str">
        <f aca="false">IF(ISNUMBER(H35),ROUND(H35*IF(I35="",1,I35),2),"")</f>
        <v/>
      </c>
      <c r="K35" s="35"/>
      <c r="L35" s="22" t="str">
        <f aca="false">IF(A35="","",IF(A35&lt;DATE(2025,4,6),"2024/25",IF(A35&lt;DATE(2026,4,6),"2025/26",IF(A35&lt;DATE(2027,4,6),"2026/27","2027/28"))))</f>
        <v/>
      </c>
      <c r="N35" s="13"/>
    </row>
    <row r="36" customFormat="false" ht="15" hidden="false" customHeight="false" outlineLevel="0" collapsed="false">
      <c r="A36" s="31"/>
      <c r="B36" s="13"/>
      <c r="C36" s="13"/>
      <c r="D36" s="32"/>
      <c r="E36" s="32"/>
      <c r="F36" s="14"/>
      <c r="G36" s="23"/>
      <c r="H36" s="16" t="str">
        <f aca="false">IF(F36="","",IF(G36&lt;&gt;"",G36,IF(E36="JPY",IF(ISNUMBER($L$1),ROUND(F36/$L$1,2),"レート未入力"),F36)))</f>
        <v/>
      </c>
      <c r="I36" s="33"/>
      <c r="J36" s="16" t="str">
        <f aca="false">IF(ISNUMBER(H36),ROUND(H36*IF(I36="",1,I36),2),"")</f>
        <v/>
      </c>
      <c r="K36" s="35"/>
      <c r="L36" s="22" t="str">
        <f aca="false">IF(A36="","",IF(A36&lt;DATE(2025,4,6),"2024/25",IF(A36&lt;DATE(2026,4,6),"2025/26",IF(A36&lt;DATE(2027,4,6),"2026/27","2027/28"))))</f>
        <v/>
      </c>
      <c r="N36" s="13"/>
    </row>
    <row r="37" customFormat="false" ht="15" hidden="false" customHeight="false" outlineLevel="0" collapsed="false">
      <c r="A37" s="31"/>
      <c r="B37" s="13"/>
      <c r="C37" s="13"/>
      <c r="D37" s="32"/>
      <c r="E37" s="32"/>
      <c r="F37" s="14"/>
      <c r="G37" s="23"/>
      <c r="H37" s="16" t="str">
        <f aca="false">IF(F37="","",IF(G37&lt;&gt;"",G37,IF(E37="JPY",IF(ISNUMBER($L$1),ROUND(F37/$L$1,2),"レート未入力"),F37)))</f>
        <v/>
      </c>
      <c r="I37" s="33"/>
      <c r="J37" s="16" t="str">
        <f aca="false">IF(ISNUMBER(H37),ROUND(H37*IF(I37="",1,I37),2),"")</f>
        <v/>
      </c>
      <c r="K37" s="35"/>
      <c r="L37" s="22" t="str">
        <f aca="false">IF(A37="","",IF(A37&lt;DATE(2025,4,6),"2024/25",IF(A37&lt;DATE(2026,4,6),"2025/26",IF(A37&lt;DATE(2027,4,6),"2026/27","2027/28"))))</f>
        <v/>
      </c>
      <c r="N37" s="13"/>
    </row>
    <row r="38" customFormat="false" ht="15" hidden="false" customHeight="false" outlineLevel="0" collapsed="false">
      <c r="A38" s="31"/>
      <c r="B38" s="13"/>
      <c r="C38" s="13"/>
      <c r="D38" s="32"/>
      <c r="E38" s="32"/>
      <c r="F38" s="14"/>
      <c r="G38" s="23"/>
      <c r="H38" s="16" t="str">
        <f aca="false">IF(F38="","",IF(G38&lt;&gt;"",G38,IF(E38="JPY",IF(ISNUMBER($L$1),ROUND(F38/$L$1,2),"レート未入力"),F38)))</f>
        <v/>
      </c>
      <c r="I38" s="33"/>
      <c r="J38" s="16" t="str">
        <f aca="false">IF(ISNUMBER(H38),ROUND(H38*IF(I38="",1,I38),2),"")</f>
        <v/>
      </c>
      <c r="K38" s="35"/>
      <c r="L38" s="22" t="str">
        <f aca="false">IF(A38="","",IF(A38&lt;DATE(2025,4,6),"2024/25",IF(A38&lt;DATE(2026,4,6),"2025/26",IF(A38&lt;DATE(2027,4,6),"2026/27","2027/28"))))</f>
        <v/>
      </c>
      <c r="N38" s="13"/>
    </row>
    <row r="39" customFormat="false" ht="15" hidden="false" customHeight="false" outlineLevel="0" collapsed="false">
      <c r="A39" s="31"/>
      <c r="B39" s="13"/>
      <c r="C39" s="13"/>
      <c r="D39" s="32"/>
      <c r="E39" s="32"/>
      <c r="F39" s="14"/>
      <c r="G39" s="23"/>
      <c r="H39" s="16" t="str">
        <f aca="false">IF(F39="","",IF(G39&lt;&gt;"",G39,IF(E39="JPY",IF(ISNUMBER($L$1),ROUND(F39/$L$1,2),"レート未入力"),F39)))</f>
        <v/>
      </c>
      <c r="I39" s="33"/>
      <c r="J39" s="16" t="str">
        <f aca="false">IF(ISNUMBER(H39),ROUND(H39*IF(I39="",1,I39),2),"")</f>
        <v/>
      </c>
      <c r="K39" s="35"/>
      <c r="L39" s="22" t="str">
        <f aca="false">IF(A39="","",IF(A39&lt;DATE(2025,4,6),"2024/25",IF(A39&lt;DATE(2026,4,6),"2025/26",IF(A39&lt;DATE(2027,4,6),"2026/27","2027/28"))))</f>
        <v/>
      </c>
      <c r="N39" s="13"/>
    </row>
    <row r="40" customFormat="false" ht="15" hidden="false" customHeight="false" outlineLevel="0" collapsed="false">
      <c r="A40" s="31"/>
      <c r="B40" s="13"/>
      <c r="C40" s="13"/>
      <c r="D40" s="32"/>
      <c r="E40" s="32"/>
      <c r="F40" s="14"/>
      <c r="G40" s="23"/>
      <c r="H40" s="16" t="str">
        <f aca="false">IF(F40="","",IF(G40&lt;&gt;"",G40,IF(E40="JPY",IF(ISNUMBER($L$1),ROUND(F40/$L$1,2),"レート未入力"),F40)))</f>
        <v/>
      </c>
      <c r="I40" s="33"/>
      <c r="J40" s="16" t="str">
        <f aca="false">IF(ISNUMBER(H40),ROUND(H40*IF(I40="",1,I40),2),"")</f>
        <v/>
      </c>
      <c r="K40" s="35"/>
      <c r="L40" s="22" t="str">
        <f aca="false">IF(A40="","",IF(A40&lt;DATE(2025,4,6),"2024/25",IF(A40&lt;DATE(2026,4,6),"2025/26",IF(A40&lt;DATE(2027,4,6),"2026/27","2027/28"))))</f>
        <v/>
      </c>
      <c r="N40" s="13"/>
    </row>
    <row r="41" customFormat="false" ht="15" hidden="false" customHeight="false" outlineLevel="0" collapsed="false">
      <c r="A41" s="31"/>
      <c r="B41" s="13"/>
      <c r="C41" s="13"/>
      <c r="D41" s="32"/>
      <c r="E41" s="32"/>
      <c r="F41" s="14"/>
      <c r="G41" s="23"/>
      <c r="H41" s="16" t="str">
        <f aca="false">IF(F41="","",IF(G41&lt;&gt;"",G41,IF(E41="JPY",IF(ISNUMBER($L$1),ROUND(F41/$L$1,2),"レート未入力"),F41)))</f>
        <v/>
      </c>
      <c r="I41" s="33"/>
      <c r="J41" s="16" t="str">
        <f aca="false">IF(ISNUMBER(H41),ROUND(H41*IF(I41="",1,I41),2),"")</f>
        <v/>
      </c>
      <c r="K41" s="35"/>
      <c r="L41" s="22" t="str">
        <f aca="false">IF(A41="","",IF(A41&lt;DATE(2025,4,6),"2024/25",IF(A41&lt;DATE(2026,4,6),"2025/26",IF(A41&lt;DATE(2027,4,6),"2026/27","2027/28"))))</f>
        <v/>
      </c>
      <c r="N41" s="13"/>
    </row>
    <row r="42" customFormat="false" ht="15" hidden="false" customHeight="false" outlineLevel="0" collapsed="false">
      <c r="A42" s="31"/>
      <c r="B42" s="13"/>
      <c r="C42" s="13"/>
      <c r="D42" s="32"/>
      <c r="E42" s="32"/>
      <c r="F42" s="14"/>
      <c r="G42" s="23"/>
      <c r="H42" s="16" t="str">
        <f aca="false">IF(F42="","",IF(G42&lt;&gt;"",G42,IF(E42="JPY",IF(ISNUMBER($L$1),ROUND(F42/$L$1,2),"レート未入力"),F42)))</f>
        <v/>
      </c>
      <c r="I42" s="33"/>
      <c r="J42" s="16" t="str">
        <f aca="false">IF(ISNUMBER(H42),ROUND(H42*IF(I42="",1,I42),2),"")</f>
        <v/>
      </c>
      <c r="K42" s="35"/>
      <c r="L42" s="22" t="str">
        <f aca="false">IF(A42="","",IF(A42&lt;DATE(2025,4,6),"2024/25",IF(A42&lt;DATE(2026,4,6),"2025/26",IF(A42&lt;DATE(2027,4,6),"2026/27","2027/28"))))</f>
        <v/>
      </c>
      <c r="N42" s="13"/>
    </row>
    <row r="43" customFormat="false" ht="15" hidden="false" customHeight="false" outlineLevel="0" collapsed="false">
      <c r="A43" s="31"/>
      <c r="B43" s="13"/>
      <c r="C43" s="13"/>
      <c r="D43" s="32"/>
      <c r="E43" s="32"/>
      <c r="F43" s="14"/>
      <c r="G43" s="23"/>
      <c r="H43" s="16" t="str">
        <f aca="false">IF(F43="","",IF(G43&lt;&gt;"",G43,IF(E43="JPY",IF(ISNUMBER($L$1),ROUND(F43/$L$1,2),"レート未入力"),F43)))</f>
        <v/>
      </c>
      <c r="I43" s="33"/>
      <c r="J43" s="16" t="str">
        <f aca="false">IF(ISNUMBER(H43),ROUND(H43*IF(I43="",1,I43),2),"")</f>
        <v/>
      </c>
      <c r="K43" s="35"/>
      <c r="L43" s="22" t="str">
        <f aca="false">IF(A43="","",IF(A43&lt;DATE(2025,4,6),"2024/25",IF(A43&lt;DATE(2026,4,6),"2025/26",IF(A43&lt;DATE(2027,4,6),"2026/27","2027/28"))))</f>
        <v/>
      </c>
      <c r="N43" s="13"/>
    </row>
    <row r="44" customFormat="false" ht="15" hidden="false" customHeight="false" outlineLevel="0" collapsed="false">
      <c r="A44" s="31"/>
      <c r="B44" s="13"/>
      <c r="C44" s="13"/>
      <c r="D44" s="32"/>
      <c r="E44" s="32"/>
      <c r="F44" s="14"/>
      <c r="G44" s="23"/>
      <c r="H44" s="16" t="str">
        <f aca="false">IF(F44="","",IF(G44&lt;&gt;"",G44,IF(E44="JPY",IF(ISNUMBER($L$1),ROUND(F44/$L$1,2),"レート未入力"),F44)))</f>
        <v/>
      </c>
      <c r="I44" s="33"/>
      <c r="J44" s="16" t="str">
        <f aca="false">IF(ISNUMBER(H44),ROUND(H44*IF(I44="",1,I44),2),"")</f>
        <v/>
      </c>
      <c r="K44" s="35"/>
      <c r="L44" s="22" t="str">
        <f aca="false">IF(A44="","",IF(A44&lt;DATE(2025,4,6),"2024/25",IF(A44&lt;DATE(2026,4,6),"2025/26",IF(A44&lt;DATE(2027,4,6),"2026/27","2027/28"))))</f>
        <v/>
      </c>
      <c r="N44" s="13"/>
    </row>
    <row r="45" customFormat="false" ht="15" hidden="false" customHeight="false" outlineLevel="0" collapsed="false">
      <c r="A45" s="31"/>
      <c r="B45" s="13"/>
      <c r="C45" s="13"/>
      <c r="D45" s="32"/>
      <c r="E45" s="32"/>
      <c r="F45" s="14"/>
      <c r="G45" s="23"/>
      <c r="H45" s="16" t="str">
        <f aca="false">IF(F45="","",IF(G45&lt;&gt;"",G45,IF(E45="JPY",IF(ISNUMBER($L$1),ROUND(F45/$L$1,2),"レート未入力"),F45)))</f>
        <v/>
      </c>
      <c r="I45" s="33"/>
      <c r="J45" s="16" t="str">
        <f aca="false">IF(ISNUMBER(H45),ROUND(H45*IF(I45="",1,I45),2),"")</f>
        <v/>
      </c>
      <c r="K45" s="35"/>
      <c r="L45" s="22" t="str">
        <f aca="false">IF(A45="","",IF(A45&lt;DATE(2025,4,6),"2024/25",IF(A45&lt;DATE(2026,4,6),"2025/26",IF(A45&lt;DATE(2027,4,6),"2026/27","2027/28"))))</f>
        <v/>
      </c>
      <c r="N45" s="13"/>
    </row>
    <row r="46" customFormat="false" ht="15" hidden="false" customHeight="false" outlineLevel="0" collapsed="false">
      <c r="A46" s="31"/>
      <c r="B46" s="13"/>
      <c r="C46" s="13"/>
      <c r="D46" s="32"/>
      <c r="E46" s="32"/>
      <c r="F46" s="14"/>
      <c r="G46" s="23"/>
      <c r="H46" s="16" t="str">
        <f aca="false">IF(F46="","",IF(G46&lt;&gt;"",G46,IF(E46="JPY",IF(ISNUMBER($L$1),ROUND(F46/$L$1,2),"レート未入力"),F46)))</f>
        <v/>
      </c>
      <c r="I46" s="33"/>
      <c r="J46" s="16" t="str">
        <f aca="false">IF(ISNUMBER(H46),ROUND(H46*IF(I46="",1,I46),2),"")</f>
        <v/>
      </c>
      <c r="K46" s="35"/>
      <c r="L46" s="22" t="str">
        <f aca="false">IF(A46="","",IF(A46&lt;DATE(2025,4,6),"2024/25",IF(A46&lt;DATE(2026,4,6),"2025/26",IF(A46&lt;DATE(2027,4,6),"2026/27","2027/28"))))</f>
        <v/>
      </c>
      <c r="N46" s="13"/>
    </row>
    <row r="47" customFormat="false" ht="15" hidden="false" customHeight="false" outlineLevel="0" collapsed="false">
      <c r="A47" s="31"/>
      <c r="B47" s="13"/>
      <c r="C47" s="13"/>
      <c r="D47" s="32"/>
      <c r="E47" s="32"/>
      <c r="F47" s="14"/>
      <c r="G47" s="23"/>
      <c r="H47" s="16" t="str">
        <f aca="false">IF(F47="","",IF(G47&lt;&gt;"",G47,IF(E47="JPY",IF(ISNUMBER($L$1),ROUND(F47/$L$1,2),"レート未入力"),F47)))</f>
        <v/>
      </c>
      <c r="I47" s="33"/>
      <c r="J47" s="16" t="str">
        <f aca="false">IF(ISNUMBER(H47),ROUND(H47*IF(I47="",1,I47),2),"")</f>
        <v/>
      </c>
      <c r="K47" s="35"/>
      <c r="L47" s="22" t="str">
        <f aca="false">IF(A47="","",IF(A47&lt;DATE(2025,4,6),"2024/25",IF(A47&lt;DATE(2026,4,6),"2025/26",IF(A47&lt;DATE(2027,4,6),"2026/27","2027/28"))))</f>
        <v/>
      </c>
      <c r="N47" s="13"/>
    </row>
    <row r="48" customFormat="false" ht="15" hidden="false" customHeight="false" outlineLevel="0" collapsed="false">
      <c r="A48" s="31"/>
      <c r="B48" s="13"/>
      <c r="C48" s="13"/>
      <c r="D48" s="32"/>
      <c r="E48" s="32"/>
      <c r="F48" s="14"/>
      <c r="G48" s="23"/>
      <c r="H48" s="16" t="str">
        <f aca="false">IF(F48="","",IF(G48&lt;&gt;"",G48,IF(E48="JPY",IF(ISNUMBER($L$1),ROUND(F48/$L$1,2),"レート未入力"),F48)))</f>
        <v/>
      </c>
      <c r="I48" s="33"/>
      <c r="J48" s="16" t="str">
        <f aca="false">IF(ISNUMBER(H48),ROUND(H48*IF(I48="",1,I48),2),"")</f>
        <v/>
      </c>
      <c r="K48" s="35"/>
      <c r="L48" s="22" t="str">
        <f aca="false">IF(A48="","",IF(A48&lt;DATE(2025,4,6),"2024/25",IF(A48&lt;DATE(2026,4,6),"2025/26",IF(A48&lt;DATE(2027,4,6),"2026/27","2027/28"))))</f>
        <v/>
      </c>
      <c r="N48" s="13"/>
    </row>
    <row r="49" customFormat="false" ht="15" hidden="false" customHeight="false" outlineLevel="0" collapsed="false">
      <c r="A49" s="31"/>
      <c r="B49" s="13"/>
      <c r="C49" s="13"/>
      <c r="D49" s="32"/>
      <c r="E49" s="32"/>
      <c r="F49" s="14"/>
      <c r="G49" s="23"/>
      <c r="H49" s="16" t="str">
        <f aca="false">IF(F49="","",IF(G49&lt;&gt;"",G49,IF(E49="JPY",IF(ISNUMBER($L$1),ROUND(F49/$L$1,2),"レート未入力"),F49)))</f>
        <v/>
      </c>
      <c r="I49" s="33"/>
      <c r="J49" s="16" t="str">
        <f aca="false">IF(ISNUMBER(H49),ROUND(H49*IF(I49="",1,I49),2),"")</f>
        <v/>
      </c>
      <c r="K49" s="35"/>
      <c r="L49" s="22" t="str">
        <f aca="false">IF(A49="","",IF(A49&lt;DATE(2025,4,6),"2024/25",IF(A49&lt;DATE(2026,4,6),"2025/26",IF(A49&lt;DATE(2027,4,6),"2026/27","2027/28"))))</f>
        <v/>
      </c>
      <c r="N49" s="13"/>
    </row>
    <row r="50" customFormat="false" ht="15" hidden="false" customHeight="false" outlineLevel="0" collapsed="false">
      <c r="A50" s="31"/>
      <c r="B50" s="13"/>
      <c r="C50" s="13"/>
      <c r="D50" s="32"/>
      <c r="E50" s="32"/>
      <c r="F50" s="14"/>
      <c r="G50" s="23"/>
      <c r="H50" s="16" t="str">
        <f aca="false">IF(F50="","",IF(G50&lt;&gt;"",G50,IF(E50="JPY",IF(ISNUMBER($L$1),ROUND(F50/$L$1,2),"レート未入力"),F50)))</f>
        <v/>
      </c>
      <c r="I50" s="33"/>
      <c r="J50" s="16" t="str">
        <f aca="false">IF(ISNUMBER(H50),ROUND(H50*IF(I50="",1,I50),2),"")</f>
        <v/>
      </c>
      <c r="K50" s="35"/>
      <c r="L50" s="22" t="str">
        <f aca="false">IF(A50="","",IF(A50&lt;DATE(2025,4,6),"2024/25",IF(A50&lt;DATE(2026,4,6),"2025/26",IF(A50&lt;DATE(2027,4,6),"2026/27","2027/28"))))</f>
        <v/>
      </c>
      <c r="N50" s="13"/>
    </row>
    <row r="51" customFormat="false" ht="15" hidden="false" customHeight="false" outlineLevel="0" collapsed="false">
      <c r="A51" s="31"/>
      <c r="B51" s="13"/>
      <c r="C51" s="13"/>
      <c r="D51" s="32"/>
      <c r="E51" s="32"/>
      <c r="F51" s="14"/>
      <c r="G51" s="23"/>
      <c r="H51" s="16" t="str">
        <f aca="false">IF(F51="","",IF(G51&lt;&gt;"",G51,IF(E51="JPY",IF(ISNUMBER($L$1),ROUND(F51/$L$1,2),"レート未入力"),F51)))</f>
        <v/>
      </c>
      <c r="I51" s="33"/>
      <c r="J51" s="16" t="str">
        <f aca="false">IF(ISNUMBER(H51),ROUND(H51*IF(I51="",1,I51),2),"")</f>
        <v/>
      </c>
      <c r="K51" s="35"/>
      <c r="L51" s="22" t="str">
        <f aca="false">IF(A51="","",IF(A51&lt;DATE(2025,4,6),"2024/25",IF(A51&lt;DATE(2026,4,6),"2025/26",IF(A51&lt;DATE(2027,4,6),"2026/27","2027/28"))))</f>
        <v/>
      </c>
      <c r="N51" s="13"/>
    </row>
    <row r="52" customFormat="false" ht="15" hidden="false" customHeight="false" outlineLevel="0" collapsed="false">
      <c r="A52" s="31"/>
      <c r="B52" s="13"/>
      <c r="C52" s="13"/>
      <c r="D52" s="32"/>
      <c r="E52" s="32"/>
      <c r="F52" s="14"/>
      <c r="G52" s="23"/>
      <c r="H52" s="16" t="str">
        <f aca="false">IF(F52="","",IF(G52&lt;&gt;"",G52,IF(E52="JPY",IF(ISNUMBER($L$1),ROUND(F52/$L$1,2),"レート未入力"),F52)))</f>
        <v/>
      </c>
      <c r="I52" s="33"/>
      <c r="J52" s="16" t="str">
        <f aca="false">IF(ISNUMBER(H52),ROUND(H52*IF(I52="",1,I52),2),"")</f>
        <v/>
      </c>
      <c r="K52" s="35"/>
      <c r="L52" s="22" t="str">
        <f aca="false">IF(A52="","",IF(A52&lt;DATE(2025,4,6),"2024/25",IF(A52&lt;DATE(2026,4,6),"2025/26",IF(A52&lt;DATE(2027,4,6),"2026/27","2027/28"))))</f>
        <v/>
      </c>
      <c r="N52" s="13"/>
    </row>
    <row r="53" customFormat="false" ht="15" hidden="false" customHeight="false" outlineLevel="0" collapsed="false">
      <c r="A53" s="31"/>
      <c r="B53" s="13"/>
      <c r="C53" s="13"/>
      <c r="D53" s="32"/>
      <c r="E53" s="32"/>
      <c r="F53" s="14"/>
      <c r="G53" s="23"/>
      <c r="H53" s="16" t="str">
        <f aca="false">IF(F53="","",IF(G53&lt;&gt;"",G53,IF(E53="JPY",IF(ISNUMBER($L$1),ROUND(F53/$L$1,2),"レート未入力"),F53)))</f>
        <v/>
      </c>
      <c r="I53" s="33"/>
      <c r="J53" s="16" t="str">
        <f aca="false">IF(ISNUMBER(H53),ROUND(H53*IF(I53="",1,I53),2),"")</f>
        <v/>
      </c>
      <c r="K53" s="35"/>
      <c r="L53" s="22" t="str">
        <f aca="false">IF(A53="","",IF(A53&lt;DATE(2025,4,6),"2024/25",IF(A53&lt;DATE(2026,4,6),"2025/26",IF(A53&lt;DATE(2027,4,6),"2026/27","2027/28"))))</f>
        <v/>
      </c>
      <c r="N53" s="13"/>
    </row>
    <row r="54" customFormat="false" ht="15" hidden="false" customHeight="false" outlineLevel="0" collapsed="false">
      <c r="A54" s="31"/>
      <c r="B54" s="13"/>
      <c r="C54" s="13"/>
      <c r="D54" s="32"/>
      <c r="E54" s="32"/>
      <c r="F54" s="14"/>
      <c r="G54" s="23"/>
      <c r="H54" s="16" t="str">
        <f aca="false">IF(F54="","",IF(G54&lt;&gt;"",G54,IF(E54="JPY",IF(ISNUMBER($L$1),ROUND(F54/$L$1,2),"レート未入力"),F54)))</f>
        <v/>
      </c>
      <c r="I54" s="33"/>
      <c r="J54" s="16" t="str">
        <f aca="false">IF(ISNUMBER(H54),ROUND(H54*IF(I54="",1,I54),2),"")</f>
        <v/>
      </c>
      <c r="K54" s="35"/>
      <c r="L54" s="22" t="str">
        <f aca="false">IF(A54="","",IF(A54&lt;DATE(2025,4,6),"2024/25",IF(A54&lt;DATE(2026,4,6),"2025/26",IF(A54&lt;DATE(2027,4,6),"2026/27","2027/28"))))</f>
        <v/>
      </c>
      <c r="N54" s="13"/>
    </row>
    <row r="55" customFormat="false" ht="15" hidden="false" customHeight="false" outlineLevel="0" collapsed="false">
      <c r="A55" s="31"/>
      <c r="B55" s="13"/>
      <c r="C55" s="13"/>
      <c r="D55" s="32"/>
      <c r="E55" s="32"/>
      <c r="F55" s="14"/>
      <c r="G55" s="23"/>
      <c r="H55" s="16" t="str">
        <f aca="false">IF(F55="","",IF(G55&lt;&gt;"",G55,IF(E55="JPY",IF(ISNUMBER($L$1),ROUND(F55/$L$1,2),"レート未入力"),F55)))</f>
        <v/>
      </c>
      <c r="I55" s="33"/>
      <c r="J55" s="16" t="str">
        <f aca="false">IF(ISNUMBER(H55),ROUND(H55*IF(I55="",1,I55),2),"")</f>
        <v/>
      </c>
      <c r="K55" s="35"/>
      <c r="L55" s="22" t="str">
        <f aca="false">IF(A55="","",IF(A55&lt;DATE(2025,4,6),"2024/25",IF(A55&lt;DATE(2026,4,6),"2025/26",IF(A55&lt;DATE(2027,4,6),"2026/27","2027/28"))))</f>
        <v/>
      </c>
      <c r="N55" s="13"/>
    </row>
    <row r="56" customFormat="false" ht="15" hidden="false" customHeight="false" outlineLevel="0" collapsed="false">
      <c r="A56" s="31"/>
      <c r="B56" s="13"/>
      <c r="C56" s="13"/>
      <c r="D56" s="32"/>
      <c r="E56" s="32"/>
      <c r="F56" s="14"/>
      <c r="G56" s="23"/>
      <c r="H56" s="16" t="str">
        <f aca="false">IF(F56="","",IF(G56&lt;&gt;"",G56,IF(E56="JPY",IF(ISNUMBER($L$1),ROUND(F56/$L$1,2),"レート未入力"),F56)))</f>
        <v/>
      </c>
      <c r="I56" s="33"/>
      <c r="J56" s="16" t="str">
        <f aca="false">IF(ISNUMBER(H56),ROUND(H56*IF(I56="",1,I56),2),"")</f>
        <v/>
      </c>
      <c r="K56" s="35"/>
      <c r="L56" s="22" t="str">
        <f aca="false">IF(A56="","",IF(A56&lt;DATE(2025,4,6),"2024/25",IF(A56&lt;DATE(2026,4,6),"2025/26",IF(A56&lt;DATE(2027,4,6),"2026/27","2027/28"))))</f>
        <v/>
      </c>
      <c r="N56" s="13"/>
    </row>
    <row r="57" customFormat="false" ht="15" hidden="false" customHeight="false" outlineLevel="0" collapsed="false">
      <c r="A57" s="31"/>
      <c r="B57" s="13"/>
      <c r="C57" s="13"/>
      <c r="D57" s="32"/>
      <c r="E57" s="32"/>
      <c r="F57" s="14"/>
      <c r="G57" s="23"/>
      <c r="H57" s="16" t="str">
        <f aca="false">IF(F57="","",IF(G57&lt;&gt;"",G57,IF(E57="JPY",IF(ISNUMBER($L$1),ROUND(F57/$L$1,2),"レート未入力"),F57)))</f>
        <v/>
      </c>
      <c r="I57" s="33"/>
      <c r="J57" s="16" t="str">
        <f aca="false">IF(ISNUMBER(H57),ROUND(H57*IF(I57="",1,I57),2),"")</f>
        <v/>
      </c>
      <c r="K57" s="35"/>
      <c r="L57" s="22" t="str">
        <f aca="false">IF(A57="","",IF(A57&lt;DATE(2025,4,6),"2024/25",IF(A57&lt;DATE(2026,4,6),"2025/26",IF(A57&lt;DATE(2027,4,6),"2026/27","2027/28"))))</f>
        <v/>
      </c>
      <c r="N57" s="13"/>
    </row>
    <row r="58" customFormat="false" ht="15" hidden="false" customHeight="false" outlineLevel="0" collapsed="false">
      <c r="A58" s="31"/>
      <c r="B58" s="13"/>
      <c r="C58" s="13"/>
      <c r="D58" s="32"/>
      <c r="E58" s="32"/>
      <c r="F58" s="14"/>
      <c r="G58" s="23"/>
      <c r="H58" s="16" t="str">
        <f aca="false">IF(F58="","",IF(G58&lt;&gt;"",G58,IF(E58="JPY",IF(ISNUMBER($L$1),ROUND(F58/$L$1,2),"レート未入力"),F58)))</f>
        <v/>
      </c>
      <c r="I58" s="33"/>
      <c r="J58" s="16" t="str">
        <f aca="false">IF(ISNUMBER(H58),ROUND(H58*IF(I58="",1,I58),2),"")</f>
        <v/>
      </c>
      <c r="K58" s="35"/>
      <c r="L58" s="22" t="str">
        <f aca="false">IF(A58="","",IF(A58&lt;DATE(2025,4,6),"2024/25",IF(A58&lt;DATE(2026,4,6),"2025/26",IF(A58&lt;DATE(2027,4,6),"2026/27","2027/28"))))</f>
        <v/>
      </c>
      <c r="N58" s="13"/>
    </row>
    <row r="59" customFormat="false" ht="15" hidden="false" customHeight="false" outlineLevel="0" collapsed="false">
      <c r="A59" s="31"/>
      <c r="B59" s="13"/>
      <c r="C59" s="13"/>
      <c r="D59" s="32"/>
      <c r="E59" s="32"/>
      <c r="F59" s="14"/>
      <c r="G59" s="23"/>
      <c r="H59" s="16" t="str">
        <f aca="false">IF(F59="","",IF(G59&lt;&gt;"",G59,IF(E59="JPY",IF(ISNUMBER($L$1),ROUND(F59/$L$1,2),"レート未入力"),F59)))</f>
        <v/>
      </c>
      <c r="I59" s="33"/>
      <c r="J59" s="16" t="str">
        <f aca="false">IF(ISNUMBER(H59),ROUND(H59*IF(I59="",1,I59),2),"")</f>
        <v/>
      </c>
      <c r="K59" s="35"/>
      <c r="L59" s="22" t="str">
        <f aca="false">IF(A59="","",IF(A59&lt;DATE(2025,4,6),"2024/25",IF(A59&lt;DATE(2026,4,6),"2025/26",IF(A59&lt;DATE(2027,4,6),"2026/27","2027/28"))))</f>
        <v/>
      </c>
      <c r="N59" s="13"/>
    </row>
    <row r="60" customFormat="false" ht="15" hidden="false" customHeight="false" outlineLevel="0" collapsed="false">
      <c r="A60" s="31"/>
      <c r="B60" s="13"/>
      <c r="C60" s="13"/>
      <c r="D60" s="32"/>
      <c r="E60" s="32"/>
      <c r="F60" s="14"/>
      <c r="G60" s="23"/>
      <c r="H60" s="16" t="str">
        <f aca="false">IF(F60="","",IF(G60&lt;&gt;"",G60,IF(E60="JPY",IF(ISNUMBER($L$1),ROUND(F60/$L$1,2),"レート未入力"),F60)))</f>
        <v/>
      </c>
      <c r="I60" s="33"/>
      <c r="J60" s="16" t="str">
        <f aca="false">IF(ISNUMBER(H60),ROUND(H60*IF(I60="",1,I60),2),"")</f>
        <v/>
      </c>
      <c r="K60" s="35"/>
      <c r="L60" s="22" t="str">
        <f aca="false">IF(A60="","",IF(A60&lt;DATE(2025,4,6),"2024/25",IF(A60&lt;DATE(2026,4,6),"2025/26",IF(A60&lt;DATE(2027,4,6),"2026/27","2027/28"))))</f>
        <v/>
      </c>
      <c r="N60" s="13"/>
    </row>
    <row r="61" customFormat="false" ht="15" hidden="false" customHeight="false" outlineLevel="0" collapsed="false">
      <c r="A61" s="31"/>
      <c r="B61" s="13"/>
      <c r="C61" s="13"/>
      <c r="D61" s="32"/>
      <c r="E61" s="32"/>
      <c r="F61" s="14"/>
      <c r="G61" s="23"/>
      <c r="H61" s="16" t="str">
        <f aca="false">IF(F61="","",IF(G61&lt;&gt;"",G61,IF(E61="JPY",IF(ISNUMBER($L$1),ROUND(F61/$L$1,2),"レート未入力"),F61)))</f>
        <v/>
      </c>
      <c r="I61" s="33"/>
      <c r="J61" s="16" t="str">
        <f aca="false">IF(ISNUMBER(H61),ROUND(H61*IF(I61="",1,I61),2),"")</f>
        <v/>
      </c>
      <c r="K61" s="35"/>
      <c r="L61" s="22" t="str">
        <f aca="false">IF(A61="","",IF(A61&lt;DATE(2025,4,6),"2024/25",IF(A61&lt;DATE(2026,4,6),"2025/26",IF(A61&lt;DATE(2027,4,6),"2026/27","2027/28"))))</f>
        <v/>
      </c>
      <c r="N61" s="13"/>
    </row>
    <row r="62" customFormat="false" ht="15" hidden="false" customHeight="false" outlineLevel="0" collapsed="false">
      <c r="A62" s="31"/>
      <c r="B62" s="13"/>
      <c r="C62" s="13"/>
      <c r="D62" s="32"/>
      <c r="E62" s="32"/>
      <c r="F62" s="14"/>
      <c r="G62" s="23"/>
      <c r="H62" s="16" t="str">
        <f aca="false">IF(F62="","",IF(G62&lt;&gt;"",G62,IF(E62="JPY",IF(ISNUMBER($L$1),ROUND(F62/$L$1,2),"レート未入力"),F62)))</f>
        <v/>
      </c>
      <c r="I62" s="33"/>
      <c r="J62" s="16" t="str">
        <f aca="false">IF(ISNUMBER(H62),ROUND(H62*IF(I62="",1,I62),2),"")</f>
        <v/>
      </c>
      <c r="K62" s="35"/>
      <c r="L62" s="22" t="str">
        <f aca="false">IF(A62="","",IF(A62&lt;DATE(2025,4,6),"2024/25",IF(A62&lt;DATE(2026,4,6),"2025/26",IF(A62&lt;DATE(2027,4,6),"2026/27","2027/28"))))</f>
        <v/>
      </c>
      <c r="N62" s="13"/>
    </row>
    <row r="63" customFormat="false" ht="15" hidden="false" customHeight="false" outlineLevel="0" collapsed="false">
      <c r="A63" s="31"/>
      <c r="B63" s="13"/>
      <c r="C63" s="13"/>
      <c r="D63" s="32"/>
      <c r="E63" s="32"/>
      <c r="F63" s="14"/>
      <c r="G63" s="23"/>
      <c r="H63" s="16" t="str">
        <f aca="false">IF(F63="","",IF(G63&lt;&gt;"",G63,IF(E63="JPY",IF(ISNUMBER($L$1),ROUND(F63/$L$1,2),"レート未入力"),F63)))</f>
        <v/>
      </c>
      <c r="I63" s="33"/>
      <c r="J63" s="16" t="str">
        <f aca="false">IF(ISNUMBER(H63),ROUND(H63*IF(I63="",1,I63),2),"")</f>
        <v/>
      </c>
      <c r="K63" s="35"/>
      <c r="L63" s="22" t="str">
        <f aca="false">IF(A63="","",IF(A63&lt;DATE(2025,4,6),"2024/25",IF(A63&lt;DATE(2026,4,6),"2025/26",IF(A63&lt;DATE(2027,4,6),"2026/27","2027/28"))))</f>
        <v/>
      </c>
      <c r="N63" s="13"/>
    </row>
    <row r="64" customFormat="false" ht="15" hidden="false" customHeight="false" outlineLevel="0" collapsed="false">
      <c r="A64" s="31"/>
      <c r="B64" s="13"/>
      <c r="C64" s="13"/>
      <c r="D64" s="32"/>
      <c r="E64" s="32"/>
      <c r="F64" s="14"/>
      <c r="G64" s="23"/>
      <c r="H64" s="16" t="str">
        <f aca="false">IF(F64="","",IF(G64&lt;&gt;"",G64,IF(E64="JPY",IF(ISNUMBER($L$1),ROUND(F64/$L$1,2),"レート未入力"),F64)))</f>
        <v/>
      </c>
      <c r="I64" s="33"/>
      <c r="J64" s="16" t="str">
        <f aca="false">IF(ISNUMBER(H64),ROUND(H64*IF(I64="",1,I64),2),"")</f>
        <v/>
      </c>
      <c r="K64" s="35"/>
      <c r="L64" s="22" t="str">
        <f aca="false">IF(A64="","",IF(A64&lt;DATE(2025,4,6),"2024/25",IF(A64&lt;DATE(2026,4,6),"2025/26",IF(A64&lt;DATE(2027,4,6),"2026/27","2027/28"))))</f>
        <v/>
      </c>
      <c r="N64" s="13"/>
    </row>
    <row r="65" customFormat="false" ht="15" hidden="false" customHeight="false" outlineLevel="0" collapsed="false">
      <c r="A65" s="31"/>
      <c r="B65" s="13"/>
      <c r="C65" s="13"/>
      <c r="D65" s="32"/>
      <c r="E65" s="32"/>
      <c r="F65" s="14"/>
      <c r="G65" s="23"/>
      <c r="H65" s="16" t="str">
        <f aca="false">IF(F65="","",IF(G65&lt;&gt;"",G65,IF(E65="JPY",IF(ISNUMBER($L$1),ROUND(F65/$L$1,2),"レート未入力"),F65)))</f>
        <v/>
      </c>
      <c r="I65" s="33"/>
      <c r="J65" s="16" t="str">
        <f aca="false">IF(ISNUMBER(H65),ROUND(H65*IF(I65="",1,I65),2),"")</f>
        <v/>
      </c>
      <c r="K65" s="35"/>
      <c r="L65" s="22" t="str">
        <f aca="false">IF(A65="","",IF(A65&lt;DATE(2025,4,6),"2024/25",IF(A65&lt;DATE(2026,4,6),"2025/26",IF(A65&lt;DATE(2027,4,6),"2026/27","2027/28"))))</f>
        <v/>
      </c>
      <c r="N65" s="13"/>
    </row>
    <row r="66" customFormat="false" ht="15" hidden="false" customHeight="false" outlineLevel="0" collapsed="false">
      <c r="A66" s="31"/>
      <c r="B66" s="13"/>
      <c r="C66" s="13"/>
      <c r="D66" s="32"/>
      <c r="E66" s="32"/>
      <c r="F66" s="14"/>
      <c r="G66" s="23"/>
      <c r="H66" s="16" t="str">
        <f aca="false">IF(F66="","",IF(G66&lt;&gt;"",G66,IF(E66="JPY",IF(ISNUMBER($L$1),ROUND(F66/$L$1,2),"レート未入力"),F66)))</f>
        <v/>
      </c>
      <c r="I66" s="33"/>
      <c r="J66" s="16" t="str">
        <f aca="false">IF(ISNUMBER(H66),ROUND(H66*IF(I66="",1,I66),2),"")</f>
        <v/>
      </c>
      <c r="K66" s="35"/>
      <c r="L66" s="22" t="str">
        <f aca="false">IF(A66="","",IF(A66&lt;DATE(2025,4,6),"2024/25",IF(A66&lt;DATE(2026,4,6),"2025/26",IF(A66&lt;DATE(2027,4,6),"2026/27","2027/28"))))</f>
        <v/>
      </c>
      <c r="N66" s="13"/>
    </row>
    <row r="67" customFormat="false" ht="15" hidden="false" customHeight="false" outlineLevel="0" collapsed="false">
      <c r="A67" s="31"/>
      <c r="B67" s="13"/>
      <c r="C67" s="13"/>
      <c r="D67" s="32"/>
      <c r="E67" s="32"/>
      <c r="F67" s="14"/>
      <c r="G67" s="23"/>
      <c r="H67" s="16" t="str">
        <f aca="false">IF(F67="","",IF(G67&lt;&gt;"",G67,IF(E67="JPY",IF(ISNUMBER($L$1),ROUND(F67/$L$1,2),"レート未入力"),F67)))</f>
        <v/>
      </c>
      <c r="I67" s="33"/>
      <c r="J67" s="16" t="str">
        <f aca="false">IF(ISNUMBER(H67),ROUND(H67*IF(I67="",1,I67),2),"")</f>
        <v/>
      </c>
      <c r="K67" s="35"/>
      <c r="L67" s="22" t="str">
        <f aca="false">IF(A67="","",IF(A67&lt;DATE(2025,4,6),"2024/25",IF(A67&lt;DATE(2026,4,6),"2025/26",IF(A67&lt;DATE(2027,4,6),"2026/27","2027/28"))))</f>
        <v/>
      </c>
      <c r="N67" s="13"/>
    </row>
    <row r="68" customFormat="false" ht="15" hidden="false" customHeight="false" outlineLevel="0" collapsed="false">
      <c r="A68" s="31"/>
      <c r="B68" s="13"/>
      <c r="C68" s="13"/>
      <c r="D68" s="32"/>
      <c r="E68" s="32"/>
      <c r="F68" s="14"/>
      <c r="G68" s="23"/>
      <c r="H68" s="16" t="str">
        <f aca="false">IF(F68="","",IF(G68&lt;&gt;"",G68,IF(E68="JPY",IF(ISNUMBER($L$1),ROUND(F68/$L$1,2),"レート未入力"),F68)))</f>
        <v/>
      </c>
      <c r="I68" s="33"/>
      <c r="J68" s="16" t="str">
        <f aca="false">IF(ISNUMBER(H68),ROUND(H68*IF(I68="",1,I68),2),"")</f>
        <v/>
      </c>
      <c r="K68" s="35"/>
      <c r="L68" s="22" t="str">
        <f aca="false">IF(A68="","",IF(A68&lt;DATE(2025,4,6),"2024/25",IF(A68&lt;DATE(2026,4,6),"2025/26",IF(A68&lt;DATE(2027,4,6),"2026/27","2027/28"))))</f>
        <v/>
      </c>
      <c r="N68" s="13"/>
    </row>
    <row r="69" customFormat="false" ht="15" hidden="false" customHeight="false" outlineLevel="0" collapsed="false">
      <c r="A69" s="31"/>
      <c r="B69" s="13"/>
      <c r="C69" s="13"/>
      <c r="D69" s="32"/>
      <c r="E69" s="32"/>
      <c r="F69" s="14"/>
      <c r="G69" s="23"/>
      <c r="H69" s="16" t="str">
        <f aca="false">IF(F69="","",IF(G69&lt;&gt;"",G69,IF(E69="JPY",IF(ISNUMBER($L$1),ROUND(F69/$L$1,2),"レート未入力"),F69)))</f>
        <v/>
      </c>
      <c r="I69" s="33"/>
      <c r="J69" s="16" t="str">
        <f aca="false">IF(ISNUMBER(H69),ROUND(H69*IF(I69="",1,I69),2),"")</f>
        <v/>
      </c>
      <c r="K69" s="35"/>
      <c r="L69" s="22" t="str">
        <f aca="false">IF(A69="","",IF(A69&lt;DATE(2025,4,6),"2024/25",IF(A69&lt;DATE(2026,4,6),"2025/26",IF(A69&lt;DATE(2027,4,6),"2026/27","2027/28"))))</f>
        <v/>
      </c>
      <c r="N69" s="13"/>
    </row>
    <row r="70" customFormat="false" ht="15" hidden="false" customHeight="false" outlineLevel="0" collapsed="false">
      <c r="A70" s="3" t="s">
        <v>196</v>
      </c>
      <c r="J70" s="18" t="n">
        <f aca="false">SUM(J30:J69)</f>
        <v>0</v>
      </c>
    </row>
    <row r="72" customFormat="false" ht="15" hidden="false" customHeight="false" outlineLevel="0" collapsed="false">
      <c r="A72" s="26" t="s">
        <v>197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customFormat="false" ht="15" hidden="false" customHeight="false" outlineLevel="0" collapsed="false">
      <c r="A73" s="17" t="s">
        <v>137</v>
      </c>
      <c r="D73" s="36" t="s">
        <v>16</v>
      </c>
      <c r="E73" s="36" t="s">
        <v>18</v>
      </c>
      <c r="F73" s="36"/>
    </row>
    <row r="74" customFormat="false" ht="15" hidden="false" customHeight="false" outlineLevel="0" collapsed="false">
      <c r="A74" s="17" t="s">
        <v>183</v>
      </c>
      <c r="D74" s="18" t="n">
        <f aca="false">SUMIFS($H$6:$H$25,$J$6:$J$25,"2025/26")</f>
        <v>0</v>
      </c>
      <c r="E74" s="18" t="n">
        <f aca="false">SUMIFS($H$6:$H$25,$J$6:$J$25,"2026/27")</f>
        <v>0</v>
      </c>
      <c r="F74" s="18"/>
    </row>
    <row r="75" customFormat="false" ht="15" hidden="false" customHeight="false" outlineLevel="0" collapsed="false">
      <c r="A75" s="21" t="s">
        <v>41</v>
      </c>
      <c r="D75" s="16" t="n">
        <f aca="false">SUMIFS($J$30:$J$69,$D$30:$D$69,$A75,$L$30:$L$69,"2025/26")</f>
        <v>0</v>
      </c>
      <c r="E75" s="16" t="n">
        <f aca="false">SUMIFS($J$30:$J$69,$D$30:$D$69,$A75,$L$30:$L$69,"2026/27")</f>
        <v>0</v>
      </c>
      <c r="F75" s="16"/>
    </row>
    <row r="76" customFormat="false" ht="15" hidden="false" customHeight="false" outlineLevel="0" collapsed="false">
      <c r="A76" s="21" t="s">
        <v>43</v>
      </c>
      <c r="D76" s="16" t="n">
        <f aca="false">SUMIFS($J$30:$J$69,$D$30:$D$69,$A76,$L$30:$L$69,"2025/26")</f>
        <v>0</v>
      </c>
      <c r="E76" s="16" t="n">
        <f aca="false">SUMIFS($J$30:$J$69,$D$30:$D$69,$A76,$L$30:$L$69,"2026/27")</f>
        <v>0</v>
      </c>
      <c r="F76" s="16"/>
    </row>
    <row r="77" customFormat="false" ht="15" hidden="false" customHeight="false" outlineLevel="0" collapsed="false">
      <c r="A77" s="21" t="s">
        <v>45</v>
      </c>
      <c r="D77" s="16" t="n">
        <f aca="false">SUMIFS($J$30:$J$69,$D$30:$D$69,$A77,$L$30:$L$69,"2025/26")</f>
        <v>0</v>
      </c>
      <c r="E77" s="16" t="n">
        <f aca="false">SUMIFS($J$30:$J$69,$D$30:$D$69,$A77,$L$30:$L$69,"2026/27")</f>
        <v>0</v>
      </c>
      <c r="F77" s="16"/>
    </row>
    <row r="78" customFormat="false" ht="15" hidden="false" customHeight="false" outlineLevel="0" collapsed="false">
      <c r="A78" s="21" t="s">
        <v>47</v>
      </c>
      <c r="D78" s="16" t="n">
        <f aca="false">SUMIFS($J$30:$J$69,$D$30:$D$69,$A78,$L$30:$L$69,"2025/26")</f>
        <v>0</v>
      </c>
      <c r="E78" s="16" t="n">
        <f aca="false">SUMIFS($J$30:$J$69,$D$30:$D$69,$A78,$L$30:$L$69,"2026/27")</f>
        <v>0</v>
      </c>
      <c r="F78" s="16"/>
    </row>
    <row r="79" customFormat="false" ht="15" hidden="false" customHeight="false" outlineLevel="0" collapsed="false">
      <c r="A79" s="21" t="s">
        <v>49</v>
      </c>
      <c r="D79" s="16" t="n">
        <f aca="false">SUMIFS($J$30:$J$69,$D$30:$D$69,$A79,$L$30:$L$69,"2025/26")</f>
        <v>0</v>
      </c>
      <c r="E79" s="16" t="n">
        <f aca="false">SUMIFS($J$30:$J$69,$D$30:$D$69,$A79,$L$30:$L$69,"2026/27")</f>
        <v>0</v>
      </c>
      <c r="F79" s="16"/>
    </row>
    <row r="80" customFormat="false" ht="15" hidden="false" customHeight="false" outlineLevel="0" collapsed="false">
      <c r="A80" s="21" t="s">
        <v>51</v>
      </c>
      <c r="D80" s="16" t="n">
        <f aca="false">SUMIFS($J$30:$J$69,$D$30:$D$69,$A80,$L$30:$L$69,"2025/26")</f>
        <v>0</v>
      </c>
      <c r="E80" s="16" t="n">
        <f aca="false">SUMIFS($J$30:$J$69,$D$30:$D$69,$A80,$L$30:$L$69,"2026/27")</f>
        <v>0</v>
      </c>
      <c r="F80" s="16"/>
    </row>
    <row r="81" customFormat="false" ht="15" hidden="false" customHeight="false" outlineLevel="0" collapsed="false">
      <c r="A81" s="21" t="s">
        <v>53</v>
      </c>
      <c r="D81" s="16" t="n">
        <f aca="false">SUMIFS($J$30:$J$69,$D$30:$D$69,$A81,$L$30:$L$69,"2025/26")</f>
        <v>0</v>
      </c>
      <c r="E81" s="16" t="n">
        <f aca="false">SUMIFS($J$30:$J$69,$D$30:$D$69,$A81,$L$30:$L$69,"2026/27")</f>
        <v>0</v>
      </c>
      <c r="F81" s="16"/>
    </row>
    <row r="82" customFormat="false" ht="15" hidden="false" customHeight="false" outlineLevel="0" collapsed="false">
      <c r="A82" s="21" t="s">
        <v>55</v>
      </c>
      <c r="D82" s="16" t="n">
        <f aca="false">SUMIFS($J$30:$J$69,$D$30:$D$69,$A82,$L$30:$L$69,"2025/26")</f>
        <v>0</v>
      </c>
      <c r="E82" s="16" t="n">
        <f aca="false">SUMIFS($J$30:$J$69,$D$30:$D$69,$A82,$L$30:$L$69,"2026/27")</f>
        <v>0</v>
      </c>
      <c r="F82" s="16"/>
    </row>
    <row r="83" customFormat="false" ht="15" hidden="false" customHeight="false" outlineLevel="0" collapsed="false">
      <c r="A83" s="21" t="s">
        <v>57</v>
      </c>
      <c r="D83" s="16" t="n">
        <f aca="false">SUMIFS($J$30:$J$69,$D$30:$D$69,$A83,$L$30:$L$69,"2025/26")</f>
        <v>0</v>
      </c>
      <c r="E83" s="16" t="n">
        <f aca="false">SUMIFS($J$30:$J$69,$D$30:$D$69,$A83,$L$30:$L$69,"2026/27")</f>
        <v>0</v>
      </c>
      <c r="F83" s="16"/>
    </row>
    <row r="84" customFormat="false" ht="15" hidden="false" customHeight="false" outlineLevel="0" collapsed="false">
      <c r="A84" s="21" t="s">
        <v>59</v>
      </c>
      <c r="D84" s="16" t="n">
        <f aca="false">SUMIFS($J$30:$J$69,$D$30:$D$69,$A84,$L$30:$L$69,"2025/26")</f>
        <v>0</v>
      </c>
      <c r="E84" s="16" t="n">
        <f aca="false">SUMIFS($J$30:$J$69,$D$30:$D$69,$A84,$L$30:$L$69,"2026/27")</f>
        <v>0</v>
      </c>
      <c r="F84" s="16"/>
    </row>
    <row r="85" customFormat="false" ht="15" hidden="false" customHeight="false" outlineLevel="0" collapsed="false">
      <c r="A85" s="21" t="s">
        <v>61</v>
      </c>
      <c r="D85" s="16" t="n">
        <f aca="false">SUMIFS($J$30:$J$69,$D$30:$D$69,$A85,$L$30:$L$69,"2025/26")</f>
        <v>0</v>
      </c>
      <c r="E85" s="16" t="n">
        <f aca="false">SUMIFS($J$30:$J$69,$D$30:$D$69,$A85,$L$30:$L$69,"2026/27")</f>
        <v>0</v>
      </c>
      <c r="F85" s="16"/>
    </row>
    <row r="86" customFormat="false" ht="15" hidden="false" customHeight="false" outlineLevel="0" collapsed="false">
      <c r="A86" s="21" t="s">
        <v>63</v>
      </c>
      <c r="D86" s="16" t="n">
        <f aca="false">SUMIFS($J$30:$J$69,$D$30:$D$69,$A86,$L$30:$L$69,"2025/26")</f>
        <v>0</v>
      </c>
      <c r="E86" s="16" t="n">
        <f aca="false">SUMIFS($J$30:$J$69,$D$30:$D$69,$A86,$L$30:$L$69,"2026/27")</f>
        <v>0</v>
      </c>
      <c r="F86" s="16"/>
    </row>
    <row r="87" customFormat="false" ht="15" hidden="false" customHeight="false" outlineLevel="0" collapsed="false">
      <c r="A87" s="21" t="s">
        <v>64</v>
      </c>
      <c r="D87" s="16" t="n">
        <f aca="false">SUMIFS($J$30:$J$69,$D$30:$D$69,$A87,$L$30:$L$69,"2025/26")</f>
        <v>0</v>
      </c>
      <c r="E87" s="16" t="n">
        <f aca="false">SUMIFS($J$30:$J$69,$D$30:$D$69,$A87,$L$30:$L$69,"2026/27")</f>
        <v>0</v>
      </c>
      <c r="F87" s="16"/>
    </row>
    <row r="88" customFormat="false" ht="15" hidden="false" customHeight="false" outlineLevel="0" collapsed="false">
      <c r="A88" s="17" t="s">
        <v>198</v>
      </c>
      <c r="D88" s="18" t="n">
        <f aca="false">SUM(D75:D86)</f>
        <v>0</v>
      </c>
      <c r="E88" s="18" t="n">
        <f aca="false">SUM(E75:E86)</f>
        <v>0</v>
      </c>
      <c r="F88" s="18"/>
    </row>
    <row r="89" customFormat="false" ht="15" hidden="false" customHeight="false" outlineLevel="0" collapsed="false">
      <c r="A89" s="17" t="s">
        <v>199</v>
      </c>
      <c r="D89" s="18" t="n">
        <f aca="false">D74-D88-D87</f>
        <v>0</v>
      </c>
      <c r="E89" s="18" t="n">
        <f aca="false">E74-E88-E87</f>
        <v>0</v>
      </c>
      <c r="F89" s="18"/>
    </row>
    <row r="90" customFormat="false" ht="15" hidden="false" customHeight="false" outlineLevel="0" collapsed="false">
      <c r="A90" s="37" t="s">
        <v>200</v>
      </c>
    </row>
    <row r="91" customFormat="false" ht="15" hidden="false" customHeight="false" outlineLevel="0" collapsed="false">
      <c r="A91" s="21" t="s">
        <v>201</v>
      </c>
      <c r="D91" s="16" t="n">
        <f aca="false">SUMIFS($J$30:$J$69,$D$30:$D$69,"")</f>
        <v>0</v>
      </c>
    </row>
  </sheetData>
  <mergeCells count="17"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</mergeCells>
  <dataValidations count="5">
    <dataValidation allowBlank="true" error="0%〜100%で入力してください" errorStyle="stop" operator="between" showDropDown="false" showErrorMessage="true" showInputMessage="false" sqref="I30:I69" type="decimal">
      <formula1>0</formula1>
      <formula2>1</formula2>
    </dataValidation>
    <dataValidation allowBlank="true" errorStyle="stop" operator="between" showDropDown="false" showErrorMessage="false" showInputMessage="false" sqref="E6:E25 E30:E69" type="list">
      <formula1>_list!$B$1:$B$2</formula1>
      <formula2>0</formula2>
    </dataValidation>
    <dataValidation allowBlank="true" errorStyle="stop" operator="between" showDropDown="false" showErrorMessage="false" showInputMessage="false" sqref="D30:D69" type="list">
      <formula1>_list!$A$1:$A$13</formula1>
      <formula2>0</formula2>
    </dataValidation>
    <dataValidation allowBlank="true" errorStyle="stop" operator="between" showDropDown="false" showErrorMessage="false" showInputMessage="false" sqref="D6:D25" type="list">
      <formula1>_list!$C$1:$C$7</formula1>
      <formula2>0</formula2>
    </dataValidation>
    <dataValidation allowBlank="true" error="日付で入力してください（例：2025/5/2）" errorStyle="stop" operator="between" showDropDown="false" showErrorMessage="true" showInputMessage="false" sqref="A6:A25 A30:A69" type="date">
      <formula1>DATE(2025,4,1)</formula1>
      <formula2>DATE(2027,12,31)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24"/>
  </cols>
  <sheetData>
    <row r="1" customFormat="false" ht="19.4" hidden="false" customHeight="false" outlineLevel="0" collapsed="false">
      <c r="A1" s="1" t="s">
        <v>215</v>
      </c>
      <c r="J1" s="3" t="s">
        <v>164</v>
      </c>
      <c r="L1" s="25" t="str">
        <f aca="false">IF(為替レート!$B$19="","未入力",為替レート!$B$19)</f>
        <v>未入力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26" t="s">
        <v>166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customFormat="false" ht="30" hidden="false" customHeight="true" outlineLevel="0" collapsed="false">
      <c r="A5" s="9" t="s">
        <v>167</v>
      </c>
      <c r="B5" s="9" t="s">
        <v>168</v>
      </c>
      <c r="C5" s="9" t="s">
        <v>169</v>
      </c>
      <c r="D5" s="9" t="s">
        <v>170</v>
      </c>
      <c r="E5" s="9" t="s">
        <v>171</v>
      </c>
      <c r="F5" s="9" t="s">
        <v>172</v>
      </c>
      <c r="G5" s="9" t="s">
        <v>173</v>
      </c>
      <c r="H5" s="9" t="s">
        <v>174</v>
      </c>
      <c r="I5" s="9" t="s">
        <v>175</v>
      </c>
      <c r="J5" s="9" t="s">
        <v>176</v>
      </c>
      <c r="K5" s="9"/>
      <c r="L5" s="9"/>
      <c r="M5" s="9"/>
      <c r="N5" s="9" t="s">
        <v>177</v>
      </c>
    </row>
    <row r="6" customFormat="false" ht="15" hidden="false" customHeight="false" outlineLevel="0" collapsed="false">
      <c r="A6" s="31"/>
      <c r="B6" s="13"/>
      <c r="C6" s="13"/>
      <c r="D6" s="32"/>
      <c r="E6" s="32"/>
      <c r="F6" s="14"/>
      <c r="G6" s="23"/>
      <c r="H6" s="16" t="str">
        <f aca="false">IF(F6="","",IF(G6&lt;&gt;"",G6,IF(E6="JPY",IF(ISNUMBER($L$1),ROUND(F6/$L$1,2),"レート未入力"),F6)))</f>
        <v/>
      </c>
      <c r="I6" s="13"/>
      <c r="J6" s="22" t="str">
        <f aca="false">IF(A6="","",IF(A6&lt;DATE(2025,4,6),"2024/25",IF(A6&lt;DATE(2026,4,6),"2025/26",IF(A6&lt;DATE(2027,4,6),"2026/27","2027/28"))))</f>
        <v/>
      </c>
      <c r="N6" s="13"/>
    </row>
    <row r="7" customFormat="false" ht="15" hidden="false" customHeight="false" outlineLevel="0" collapsed="false">
      <c r="A7" s="31"/>
      <c r="B7" s="13"/>
      <c r="C7" s="13"/>
      <c r="D7" s="32"/>
      <c r="E7" s="32"/>
      <c r="F7" s="14"/>
      <c r="G7" s="23"/>
      <c r="H7" s="16" t="str">
        <f aca="false">IF(F7="","",IF(G7&lt;&gt;"",G7,IF(E7="JPY",IF(ISNUMBER($L$1),ROUND(F7/$L$1,2),"レート未入力"),F7)))</f>
        <v/>
      </c>
      <c r="I7" s="13"/>
      <c r="J7" s="22" t="str">
        <f aca="false">IF(A7="","",IF(A7&lt;DATE(2025,4,6),"2024/25",IF(A7&lt;DATE(2026,4,6),"2025/26",IF(A7&lt;DATE(2027,4,6),"2026/27","2027/28"))))</f>
        <v/>
      </c>
      <c r="N7" s="13"/>
    </row>
    <row r="8" customFormat="false" ht="15" hidden="false" customHeight="false" outlineLevel="0" collapsed="false">
      <c r="A8" s="31"/>
      <c r="B8" s="13"/>
      <c r="C8" s="13"/>
      <c r="D8" s="32"/>
      <c r="E8" s="32"/>
      <c r="F8" s="14"/>
      <c r="G8" s="23"/>
      <c r="H8" s="16" t="str">
        <f aca="false">IF(F8="","",IF(G8&lt;&gt;"",G8,IF(E8="JPY",IF(ISNUMBER($L$1),ROUND(F8/$L$1,2),"レート未入力"),F8)))</f>
        <v/>
      </c>
      <c r="I8" s="13"/>
      <c r="J8" s="22" t="str">
        <f aca="false">IF(A8="","",IF(A8&lt;DATE(2025,4,6),"2024/25",IF(A8&lt;DATE(2026,4,6),"2025/26",IF(A8&lt;DATE(2027,4,6),"2026/27","2027/28"))))</f>
        <v/>
      </c>
      <c r="N8" s="13"/>
    </row>
    <row r="9" customFormat="false" ht="15" hidden="false" customHeight="false" outlineLevel="0" collapsed="false">
      <c r="A9" s="31"/>
      <c r="B9" s="13"/>
      <c r="C9" s="13"/>
      <c r="D9" s="32"/>
      <c r="E9" s="32"/>
      <c r="F9" s="14"/>
      <c r="G9" s="23"/>
      <c r="H9" s="16" t="str">
        <f aca="false">IF(F9="","",IF(G9&lt;&gt;"",G9,IF(E9="JPY",IF(ISNUMBER($L$1),ROUND(F9/$L$1,2),"レート未入力"),F9)))</f>
        <v/>
      </c>
      <c r="I9" s="13"/>
      <c r="J9" s="22" t="str">
        <f aca="false">IF(A9="","",IF(A9&lt;DATE(2025,4,6),"2024/25",IF(A9&lt;DATE(2026,4,6),"2025/26",IF(A9&lt;DATE(2027,4,6),"2026/27","2027/28"))))</f>
        <v/>
      </c>
      <c r="N9" s="13"/>
    </row>
    <row r="10" customFormat="false" ht="15" hidden="false" customHeight="false" outlineLevel="0" collapsed="false">
      <c r="A10" s="31"/>
      <c r="B10" s="13"/>
      <c r="C10" s="13"/>
      <c r="D10" s="32"/>
      <c r="E10" s="32"/>
      <c r="F10" s="14"/>
      <c r="G10" s="23"/>
      <c r="H10" s="16" t="str">
        <f aca="false">IF(F10="","",IF(G10&lt;&gt;"",G10,IF(E10="JPY",IF(ISNUMBER($L$1),ROUND(F10/$L$1,2),"レート未入力"),F10)))</f>
        <v/>
      </c>
      <c r="I10" s="13"/>
      <c r="J10" s="22" t="str">
        <f aca="false">IF(A10="","",IF(A10&lt;DATE(2025,4,6),"2024/25",IF(A10&lt;DATE(2026,4,6),"2025/26",IF(A10&lt;DATE(2027,4,6),"2026/27","2027/28"))))</f>
        <v/>
      </c>
      <c r="N10" s="13"/>
    </row>
    <row r="11" customFormat="false" ht="15" hidden="false" customHeight="false" outlineLevel="0" collapsed="false">
      <c r="A11" s="31"/>
      <c r="B11" s="13"/>
      <c r="C11" s="13"/>
      <c r="D11" s="32"/>
      <c r="E11" s="32"/>
      <c r="F11" s="14"/>
      <c r="G11" s="23"/>
      <c r="H11" s="16" t="str">
        <f aca="false">IF(F11="","",IF(G11&lt;&gt;"",G11,IF(E11="JPY",IF(ISNUMBER($L$1),ROUND(F11/$L$1,2),"レート未入力"),F11)))</f>
        <v/>
      </c>
      <c r="I11" s="13"/>
      <c r="J11" s="22" t="str">
        <f aca="false">IF(A11="","",IF(A11&lt;DATE(2025,4,6),"2024/25",IF(A11&lt;DATE(2026,4,6),"2025/26",IF(A11&lt;DATE(2027,4,6),"2026/27","2027/28"))))</f>
        <v/>
      </c>
      <c r="N11" s="13"/>
    </row>
    <row r="12" customFormat="false" ht="15" hidden="false" customHeight="false" outlineLevel="0" collapsed="false">
      <c r="A12" s="31"/>
      <c r="B12" s="13"/>
      <c r="C12" s="13"/>
      <c r="D12" s="32"/>
      <c r="E12" s="32"/>
      <c r="F12" s="14"/>
      <c r="G12" s="23"/>
      <c r="H12" s="16" t="str">
        <f aca="false">IF(F12="","",IF(G12&lt;&gt;"",G12,IF(E12="JPY",IF(ISNUMBER($L$1),ROUND(F12/$L$1,2),"レート未入力"),F12)))</f>
        <v/>
      </c>
      <c r="I12" s="13"/>
      <c r="J12" s="22" t="str">
        <f aca="false">IF(A12="","",IF(A12&lt;DATE(2025,4,6),"2024/25",IF(A12&lt;DATE(2026,4,6),"2025/26",IF(A12&lt;DATE(2027,4,6),"2026/27","2027/28"))))</f>
        <v/>
      </c>
      <c r="N12" s="13"/>
    </row>
    <row r="13" customFormat="false" ht="15" hidden="false" customHeight="false" outlineLevel="0" collapsed="false">
      <c r="A13" s="31"/>
      <c r="B13" s="13"/>
      <c r="C13" s="13"/>
      <c r="D13" s="32"/>
      <c r="E13" s="32"/>
      <c r="F13" s="14"/>
      <c r="G13" s="23"/>
      <c r="H13" s="16" t="str">
        <f aca="false">IF(F13="","",IF(G13&lt;&gt;"",G13,IF(E13="JPY",IF(ISNUMBER($L$1),ROUND(F13/$L$1,2),"レート未入力"),F13)))</f>
        <v/>
      </c>
      <c r="I13" s="13"/>
      <c r="J13" s="22" t="str">
        <f aca="false">IF(A13="","",IF(A13&lt;DATE(2025,4,6),"2024/25",IF(A13&lt;DATE(2026,4,6),"2025/26",IF(A13&lt;DATE(2027,4,6),"2026/27","2027/28"))))</f>
        <v/>
      </c>
      <c r="N13" s="13"/>
    </row>
    <row r="14" customFormat="false" ht="15" hidden="false" customHeight="false" outlineLevel="0" collapsed="false">
      <c r="A14" s="31"/>
      <c r="B14" s="13"/>
      <c r="C14" s="13"/>
      <c r="D14" s="32"/>
      <c r="E14" s="32"/>
      <c r="F14" s="14"/>
      <c r="G14" s="23"/>
      <c r="H14" s="16" t="str">
        <f aca="false">IF(F14="","",IF(G14&lt;&gt;"",G14,IF(E14="JPY",IF(ISNUMBER($L$1),ROUND(F14/$L$1,2),"レート未入力"),F14)))</f>
        <v/>
      </c>
      <c r="I14" s="13"/>
      <c r="J14" s="22" t="str">
        <f aca="false">IF(A14="","",IF(A14&lt;DATE(2025,4,6),"2024/25",IF(A14&lt;DATE(2026,4,6),"2025/26",IF(A14&lt;DATE(2027,4,6),"2026/27","2027/28"))))</f>
        <v/>
      </c>
      <c r="N14" s="13"/>
    </row>
    <row r="15" customFormat="false" ht="15" hidden="false" customHeight="false" outlineLevel="0" collapsed="false">
      <c r="A15" s="31"/>
      <c r="B15" s="13"/>
      <c r="C15" s="13"/>
      <c r="D15" s="32"/>
      <c r="E15" s="32"/>
      <c r="F15" s="14"/>
      <c r="G15" s="23"/>
      <c r="H15" s="16" t="str">
        <f aca="false">IF(F15="","",IF(G15&lt;&gt;"",G15,IF(E15="JPY",IF(ISNUMBER($L$1),ROUND(F15/$L$1,2),"レート未入力"),F15)))</f>
        <v/>
      </c>
      <c r="I15" s="13"/>
      <c r="J15" s="22" t="str">
        <f aca="false">IF(A15="","",IF(A15&lt;DATE(2025,4,6),"2024/25",IF(A15&lt;DATE(2026,4,6),"2025/26",IF(A15&lt;DATE(2027,4,6),"2026/27","2027/28"))))</f>
        <v/>
      </c>
      <c r="N15" s="13"/>
    </row>
    <row r="16" customFormat="false" ht="15" hidden="false" customHeight="false" outlineLevel="0" collapsed="false">
      <c r="A16" s="31"/>
      <c r="B16" s="13"/>
      <c r="C16" s="13"/>
      <c r="D16" s="32"/>
      <c r="E16" s="32"/>
      <c r="F16" s="14"/>
      <c r="G16" s="23"/>
      <c r="H16" s="16" t="str">
        <f aca="false">IF(F16="","",IF(G16&lt;&gt;"",G16,IF(E16="JPY",IF(ISNUMBER($L$1),ROUND(F16/$L$1,2),"レート未入力"),F16)))</f>
        <v/>
      </c>
      <c r="I16" s="13"/>
      <c r="J16" s="22" t="str">
        <f aca="false">IF(A16="","",IF(A16&lt;DATE(2025,4,6),"2024/25",IF(A16&lt;DATE(2026,4,6),"2025/26",IF(A16&lt;DATE(2027,4,6),"2026/27","2027/28"))))</f>
        <v/>
      </c>
      <c r="N16" s="13"/>
    </row>
    <row r="17" customFormat="false" ht="15" hidden="false" customHeight="false" outlineLevel="0" collapsed="false">
      <c r="A17" s="31"/>
      <c r="B17" s="13"/>
      <c r="C17" s="13"/>
      <c r="D17" s="32"/>
      <c r="E17" s="32"/>
      <c r="F17" s="14"/>
      <c r="G17" s="23"/>
      <c r="H17" s="16" t="str">
        <f aca="false">IF(F17="","",IF(G17&lt;&gt;"",G17,IF(E17="JPY",IF(ISNUMBER($L$1),ROUND(F17/$L$1,2),"レート未入力"),F17)))</f>
        <v/>
      </c>
      <c r="I17" s="13"/>
      <c r="J17" s="22" t="str">
        <f aca="false">IF(A17="","",IF(A17&lt;DATE(2025,4,6),"2024/25",IF(A17&lt;DATE(2026,4,6),"2025/26",IF(A17&lt;DATE(2027,4,6),"2026/27","2027/28"))))</f>
        <v/>
      </c>
      <c r="N17" s="13"/>
    </row>
    <row r="18" customFormat="false" ht="15" hidden="false" customHeight="false" outlineLevel="0" collapsed="false">
      <c r="A18" s="31"/>
      <c r="B18" s="13"/>
      <c r="C18" s="13"/>
      <c r="D18" s="32"/>
      <c r="E18" s="32"/>
      <c r="F18" s="14"/>
      <c r="G18" s="23"/>
      <c r="H18" s="16" t="str">
        <f aca="false">IF(F18="","",IF(G18&lt;&gt;"",G18,IF(E18="JPY",IF(ISNUMBER($L$1),ROUND(F18/$L$1,2),"レート未入力"),F18)))</f>
        <v/>
      </c>
      <c r="I18" s="13"/>
      <c r="J18" s="22" t="str">
        <f aca="false">IF(A18="","",IF(A18&lt;DATE(2025,4,6),"2024/25",IF(A18&lt;DATE(2026,4,6),"2025/26",IF(A18&lt;DATE(2027,4,6),"2026/27","2027/28"))))</f>
        <v/>
      </c>
      <c r="N18" s="13"/>
    </row>
    <row r="19" customFormat="false" ht="15" hidden="false" customHeight="false" outlineLevel="0" collapsed="false">
      <c r="A19" s="31"/>
      <c r="B19" s="13"/>
      <c r="C19" s="13"/>
      <c r="D19" s="32"/>
      <c r="E19" s="32"/>
      <c r="F19" s="14"/>
      <c r="G19" s="23"/>
      <c r="H19" s="16" t="str">
        <f aca="false">IF(F19="","",IF(G19&lt;&gt;"",G19,IF(E19="JPY",IF(ISNUMBER($L$1),ROUND(F19/$L$1,2),"レート未入力"),F19)))</f>
        <v/>
      </c>
      <c r="I19" s="13"/>
      <c r="J19" s="22" t="str">
        <f aca="false">IF(A19="","",IF(A19&lt;DATE(2025,4,6),"2024/25",IF(A19&lt;DATE(2026,4,6),"2025/26",IF(A19&lt;DATE(2027,4,6),"2026/27","2027/28"))))</f>
        <v/>
      </c>
      <c r="N19" s="13"/>
    </row>
    <row r="20" customFormat="false" ht="15" hidden="false" customHeight="false" outlineLevel="0" collapsed="false">
      <c r="A20" s="31"/>
      <c r="B20" s="13"/>
      <c r="C20" s="13"/>
      <c r="D20" s="32"/>
      <c r="E20" s="32"/>
      <c r="F20" s="14"/>
      <c r="G20" s="23"/>
      <c r="H20" s="16" t="str">
        <f aca="false">IF(F20="","",IF(G20&lt;&gt;"",G20,IF(E20="JPY",IF(ISNUMBER($L$1),ROUND(F20/$L$1,2),"レート未入力"),F20)))</f>
        <v/>
      </c>
      <c r="I20" s="13"/>
      <c r="J20" s="22" t="str">
        <f aca="false">IF(A20="","",IF(A20&lt;DATE(2025,4,6),"2024/25",IF(A20&lt;DATE(2026,4,6),"2025/26",IF(A20&lt;DATE(2027,4,6),"2026/27","2027/28"))))</f>
        <v/>
      </c>
      <c r="N20" s="13"/>
    </row>
    <row r="21" customFormat="false" ht="15" hidden="false" customHeight="false" outlineLevel="0" collapsed="false">
      <c r="A21" s="31"/>
      <c r="B21" s="13"/>
      <c r="C21" s="13"/>
      <c r="D21" s="32"/>
      <c r="E21" s="32"/>
      <c r="F21" s="14"/>
      <c r="G21" s="23"/>
      <c r="H21" s="16" t="str">
        <f aca="false">IF(F21="","",IF(G21&lt;&gt;"",G21,IF(E21="JPY",IF(ISNUMBER($L$1),ROUND(F21/$L$1,2),"レート未入力"),F21)))</f>
        <v/>
      </c>
      <c r="I21" s="13"/>
      <c r="J21" s="22" t="str">
        <f aca="false">IF(A21="","",IF(A21&lt;DATE(2025,4,6),"2024/25",IF(A21&lt;DATE(2026,4,6),"2025/26",IF(A21&lt;DATE(2027,4,6),"2026/27","2027/28"))))</f>
        <v/>
      </c>
      <c r="N21" s="13"/>
    </row>
    <row r="22" customFormat="false" ht="15" hidden="false" customHeight="false" outlineLevel="0" collapsed="false">
      <c r="A22" s="31"/>
      <c r="B22" s="13"/>
      <c r="C22" s="13"/>
      <c r="D22" s="32"/>
      <c r="E22" s="32"/>
      <c r="F22" s="14"/>
      <c r="G22" s="23"/>
      <c r="H22" s="16" t="str">
        <f aca="false">IF(F22="","",IF(G22&lt;&gt;"",G22,IF(E22="JPY",IF(ISNUMBER($L$1),ROUND(F22/$L$1,2),"レート未入力"),F22)))</f>
        <v/>
      </c>
      <c r="I22" s="13"/>
      <c r="J22" s="22" t="str">
        <f aca="false">IF(A22="","",IF(A22&lt;DATE(2025,4,6),"2024/25",IF(A22&lt;DATE(2026,4,6),"2025/26",IF(A22&lt;DATE(2027,4,6),"2026/27","2027/28"))))</f>
        <v/>
      </c>
      <c r="N22" s="13"/>
    </row>
    <row r="23" customFormat="false" ht="15" hidden="false" customHeight="false" outlineLevel="0" collapsed="false">
      <c r="A23" s="31"/>
      <c r="B23" s="13"/>
      <c r="C23" s="13"/>
      <c r="D23" s="32"/>
      <c r="E23" s="32"/>
      <c r="F23" s="14"/>
      <c r="G23" s="23"/>
      <c r="H23" s="16" t="str">
        <f aca="false">IF(F23="","",IF(G23&lt;&gt;"",G23,IF(E23="JPY",IF(ISNUMBER($L$1),ROUND(F23/$L$1,2),"レート未入力"),F23)))</f>
        <v/>
      </c>
      <c r="I23" s="13"/>
      <c r="J23" s="22" t="str">
        <f aca="false">IF(A23="","",IF(A23&lt;DATE(2025,4,6),"2024/25",IF(A23&lt;DATE(2026,4,6),"2025/26",IF(A23&lt;DATE(2027,4,6),"2026/27","2027/28"))))</f>
        <v/>
      </c>
      <c r="N23" s="13"/>
    </row>
    <row r="24" customFormat="false" ht="15" hidden="false" customHeight="false" outlineLevel="0" collapsed="false">
      <c r="A24" s="31"/>
      <c r="B24" s="13"/>
      <c r="C24" s="13"/>
      <c r="D24" s="32"/>
      <c r="E24" s="32"/>
      <c r="F24" s="14"/>
      <c r="G24" s="23"/>
      <c r="H24" s="16" t="str">
        <f aca="false">IF(F24="","",IF(G24&lt;&gt;"",G24,IF(E24="JPY",IF(ISNUMBER($L$1),ROUND(F24/$L$1,2),"レート未入力"),F24)))</f>
        <v/>
      </c>
      <c r="I24" s="13"/>
      <c r="J24" s="22" t="str">
        <f aca="false">IF(A24="","",IF(A24&lt;DATE(2025,4,6),"2024/25",IF(A24&lt;DATE(2026,4,6),"2025/26",IF(A24&lt;DATE(2027,4,6),"2026/27","2027/28"))))</f>
        <v/>
      </c>
      <c r="N24" s="13"/>
    </row>
    <row r="25" customFormat="false" ht="15" hidden="false" customHeight="false" outlineLevel="0" collapsed="false">
      <c r="A25" s="31"/>
      <c r="B25" s="13"/>
      <c r="C25" s="13"/>
      <c r="D25" s="32"/>
      <c r="E25" s="32"/>
      <c r="F25" s="14"/>
      <c r="G25" s="23"/>
      <c r="H25" s="16" t="str">
        <f aca="false">IF(F25="","",IF(G25&lt;&gt;"",G25,IF(E25="JPY",IF(ISNUMBER($L$1),ROUND(F25/$L$1,2),"レート未入力"),F25)))</f>
        <v/>
      </c>
      <c r="I25" s="13"/>
      <c r="J25" s="22" t="str">
        <f aca="false">IF(A25="","",IF(A25&lt;DATE(2025,4,6),"2024/25",IF(A25&lt;DATE(2026,4,6),"2025/26",IF(A25&lt;DATE(2027,4,6),"2026/27","2027/28"))))</f>
        <v/>
      </c>
      <c r="N25" s="13"/>
    </row>
    <row r="26" customFormat="false" ht="15" hidden="false" customHeight="false" outlineLevel="0" collapsed="false">
      <c r="A26" s="3" t="s">
        <v>183</v>
      </c>
      <c r="H26" s="18" t="n">
        <f aca="false">SUM(H6:H25)</f>
        <v>0</v>
      </c>
    </row>
    <row r="28" customFormat="false" ht="15" hidden="false" customHeight="false" outlineLevel="0" collapsed="false">
      <c r="A28" s="26" t="s">
        <v>184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</row>
    <row r="29" customFormat="false" ht="30" hidden="false" customHeight="true" outlineLevel="0" collapsed="false">
      <c r="A29" s="9" t="s">
        <v>167</v>
      </c>
      <c r="B29" s="9" t="s">
        <v>185</v>
      </c>
      <c r="C29" s="9" t="s">
        <v>169</v>
      </c>
      <c r="D29" s="9" t="s">
        <v>38</v>
      </c>
      <c r="E29" s="9" t="s">
        <v>171</v>
      </c>
      <c r="F29" s="9" t="s">
        <v>172</v>
      </c>
      <c r="G29" s="9" t="s">
        <v>173</v>
      </c>
      <c r="H29" s="10" t="s">
        <v>186</v>
      </c>
      <c r="I29" s="9" t="s">
        <v>187</v>
      </c>
      <c r="J29" s="9" t="s">
        <v>188</v>
      </c>
      <c r="K29" s="9" t="s">
        <v>189</v>
      </c>
      <c r="L29" s="9" t="s">
        <v>176</v>
      </c>
      <c r="M29" s="9"/>
      <c r="N29" s="9" t="s">
        <v>177</v>
      </c>
    </row>
    <row r="30" customFormat="false" ht="15" hidden="false" customHeight="false" outlineLevel="0" collapsed="false">
      <c r="A30" s="31"/>
      <c r="B30" s="13"/>
      <c r="C30" s="13"/>
      <c r="D30" s="32"/>
      <c r="E30" s="32"/>
      <c r="F30" s="14"/>
      <c r="G30" s="23"/>
      <c r="H30" s="16" t="str">
        <f aca="false">IF(F30="","",IF(G30&lt;&gt;"",G30,IF(E30="JPY",IF(ISNUMBER($L$1),ROUND(F30/$L$1,2),"レート未入力"),F30)))</f>
        <v/>
      </c>
      <c r="I30" s="33"/>
      <c r="J30" s="16" t="str">
        <f aca="false">IF(ISNUMBER(H30),ROUND(H30*IF(I30="",1,I30),2),"")</f>
        <v/>
      </c>
      <c r="K30" s="35"/>
      <c r="L30" s="22" t="str">
        <f aca="false">IF(A30="","",IF(A30&lt;DATE(2025,4,6),"2024/25",IF(A30&lt;DATE(2026,4,6),"2025/26",IF(A30&lt;DATE(2027,4,6),"2026/27","2027/28"))))</f>
        <v/>
      </c>
      <c r="N30" s="13"/>
    </row>
    <row r="31" customFormat="false" ht="15" hidden="false" customHeight="false" outlineLevel="0" collapsed="false">
      <c r="A31" s="31"/>
      <c r="B31" s="13"/>
      <c r="C31" s="13"/>
      <c r="D31" s="32"/>
      <c r="E31" s="32"/>
      <c r="F31" s="14"/>
      <c r="G31" s="23"/>
      <c r="H31" s="16" t="str">
        <f aca="false">IF(F31="","",IF(G31&lt;&gt;"",G31,IF(E31="JPY",IF(ISNUMBER($L$1),ROUND(F31/$L$1,2),"レート未入力"),F31)))</f>
        <v/>
      </c>
      <c r="I31" s="33"/>
      <c r="J31" s="16" t="str">
        <f aca="false">IF(ISNUMBER(H31),ROUND(H31*IF(I31="",1,I31),2),"")</f>
        <v/>
      </c>
      <c r="K31" s="35"/>
      <c r="L31" s="22" t="str">
        <f aca="false">IF(A31="","",IF(A31&lt;DATE(2025,4,6),"2024/25",IF(A31&lt;DATE(2026,4,6),"2025/26",IF(A31&lt;DATE(2027,4,6),"2026/27","2027/28"))))</f>
        <v/>
      </c>
      <c r="N31" s="13"/>
    </row>
    <row r="32" customFormat="false" ht="15" hidden="false" customHeight="false" outlineLevel="0" collapsed="false">
      <c r="A32" s="31"/>
      <c r="B32" s="13"/>
      <c r="C32" s="13"/>
      <c r="D32" s="32"/>
      <c r="E32" s="32"/>
      <c r="F32" s="14"/>
      <c r="G32" s="23"/>
      <c r="H32" s="16" t="str">
        <f aca="false">IF(F32="","",IF(G32&lt;&gt;"",G32,IF(E32="JPY",IF(ISNUMBER($L$1),ROUND(F32/$L$1,2),"レート未入力"),F32)))</f>
        <v/>
      </c>
      <c r="I32" s="33"/>
      <c r="J32" s="16" t="str">
        <f aca="false">IF(ISNUMBER(H32),ROUND(H32*IF(I32="",1,I32),2),"")</f>
        <v/>
      </c>
      <c r="K32" s="35"/>
      <c r="L32" s="22" t="str">
        <f aca="false">IF(A32="","",IF(A32&lt;DATE(2025,4,6),"2024/25",IF(A32&lt;DATE(2026,4,6),"2025/26",IF(A32&lt;DATE(2027,4,6),"2026/27","2027/28"))))</f>
        <v/>
      </c>
      <c r="N32" s="13"/>
    </row>
    <row r="33" customFormat="false" ht="15" hidden="false" customHeight="false" outlineLevel="0" collapsed="false">
      <c r="A33" s="31"/>
      <c r="B33" s="13"/>
      <c r="C33" s="13"/>
      <c r="D33" s="32"/>
      <c r="E33" s="32"/>
      <c r="F33" s="14"/>
      <c r="G33" s="23"/>
      <c r="H33" s="16" t="str">
        <f aca="false">IF(F33="","",IF(G33&lt;&gt;"",G33,IF(E33="JPY",IF(ISNUMBER($L$1),ROUND(F33/$L$1,2),"レート未入力"),F33)))</f>
        <v/>
      </c>
      <c r="I33" s="33"/>
      <c r="J33" s="16" t="str">
        <f aca="false">IF(ISNUMBER(H33),ROUND(H33*IF(I33="",1,I33),2),"")</f>
        <v/>
      </c>
      <c r="K33" s="35"/>
      <c r="L33" s="22" t="str">
        <f aca="false">IF(A33="","",IF(A33&lt;DATE(2025,4,6),"2024/25",IF(A33&lt;DATE(2026,4,6),"2025/26",IF(A33&lt;DATE(2027,4,6),"2026/27","2027/28"))))</f>
        <v/>
      </c>
      <c r="N33" s="13"/>
    </row>
    <row r="34" customFormat="false" ht="15" hidden="false" customHeight="false" outlineLevel="0" collapsed="false">
      <c r="A34" s="31"/>
      <c r="B34" s="13"/>
      <c r="C34" s="13"/>
      <c r="D34" s="32"/>
      <c r="E34" s="32"/>
      <c r="F34" s="14"/>
      <c r="G34" s="23"/>
      <c r="H34" s="16" t="str">
        <f aca="false">IF(F34="","",IF(G34&lt;&gt;"",G34,IF(E34="JPY",IF(ISNUMBER($L$1),ROUND(F34/$L$1,2),"レート未入力"),F34)))</f>
        <v/>
      </c>
      <c r="I34" s="33"/>
      <c r="J34" s="16" t="str">
        <f aca="false">IF(ISNUMBER(H34),ROUND(H34*IF(I34="",1,I34),2),"")</f>
        <v/>
      </c>
      <c r="K34" s="35"/>
      <c r="L34" s="22" t="str">
        <f aca="false">IF(A34="","",IF(A34&lt;DATE(2025,4,6),"2024/25",IF(A34&lt;DATE(2026,4,6),"2025/26",IF(A34&lt;DATE(2027,4,6),"2026/27","2027/28"))))</f>
        <v/>
      </c>
      <c r="N34" s="13"/>
    </row>
    <row r="35" customFormat="false" ht="15" hidden="false" customHeight="false" outlineLevel="0" collapsed="false">
      <c r="A35" s="31"/>
      <c r="B35" s="13"/>
      <c r="C35" s="13"/>
      <c r="D35" s="32"/>
      <c r="E35" s="32"/>
      <c r="F35" s="14"/>
      <c r="G35" s="23"/>
      <c r="H35" s="16" t="str">
        <f aca="false">IF(F35="","",IF(G35&lt;&gt;"",G35,IF(E35="JPY",IF(ISNUMBER($L$1),ROUND(F35/$L$1,2),"レート未入力"),F35)))</f>
        <v/>
      </c>
      <c r="I35" s="33"/>
      <c r="J35" s="16" t="str">
        <f aca="false">IF(ISNUMBER(H35),ROUND(H35*IF(I35="",1,I35),2),"")</f>
        <v/>
      </c>
      <c r="K35" s="35"/>
      <c r="L35" s="22" t="str">
        <f aca="false">IF(A35="","",IF(A35&lt;DATE(2025,4,6),"2024/25",IF(A35&lt;DATE(2026,4,6),"2025/26",IF(A35&lt;DATE(2027,4,6),"2026/27","2027/28"))))</f>
        <v/>
      </c>
      <c r="N35" s="13"/>
    </row>
    <row r="36" customFormat="false" ht="15" hidden="false" customHeight="false" outlineLevel="0" collapsed="false">
      <c r="A36" s="31"/>
      <c r="B36" s="13"/>
      <c r="C36" s="13"/>
      <c r="D36" s="32"/>
      <c r="E36" s="32"/>
      <c r="F36" s="14"/>
      <c r="G36" s="23"/>
      <c r="H36" s="16" t="str">
        <f aca="false">IF(F36="","",IF(G36&lt;&gt;"",G36,IF(E36="JPY",IF(ISNUMBER($L$1),ROUND(F36/$L$1,2),"レート未入力"),F36)))</f>
        <v/>
      </c>
      <c r="I36" s="33"/>
      <c r="J36" s="16" t="str">
        <f aca="false">IF(ISNUMBER(H36),ROUND(H36*IF(I36="",1,I36),2),"")</f>
        <v/>
      </c>
      <c r="K36" s="35"/>
      <c r="L36" s="22" t="str">
        <f aca="false">IF(A36="","",IF(A36&lt;DATE(2025,4,6),"2024/25",IF(A36&lt;DATE(2026,4,6),"2025/26",IF(A36&lt;DATE(2027,4,6),"2026/27","2027/28"))))</f>
        <v/>
      </c>
      <c r="N36" s="13"/>
    </row>
    <row r="37" customFormat="false" ht="15" hidden="false" customHeight="false" outlineLevel="0" collapsed="false">
      <c r="A37" s="31"/>
      <c r="B37" s="13"/>
      <c r="C37" s="13"/>
      <c r="D37" s="32"/>
      <c r="E37" s="32"/>
      <c r="F37" s="14"/>
      <c r="G37" s="23"/>
      <c r="H37" s="16" t="str">
        <f aca="false">IF(F37="","",IF(G37&lt;&gt;"",G37,IF(E37="JPY",IF(ISNUMBER($L$1),ROUND(F37/$L$1,2),"レート未入力"),F37)))</f>
        <v/>
      </c>
      <c r="I37" s="33"/>
      <c r="J37" s="16" t="str">
        <f aca="false">IF(ISNUMBER(H37),ROUND(H37*IF(I37="",1,I37),2),"")</f>
        <v/>
      </c>
      <c r="K37" s="35"/>
      <c r="L37" s="22" t="str">
        <f aca="false">IF(A37="","",IF(A37&lt;DATE(2025,4,6),"2024/25",IF(A37&lt;DATE(2026,4,6),"2025/26",IF(A37&lt;DATE(2027,4,6),"2026/27","2027/28"))))</f>
        <v/>
      </c>
      <c r="N37" s="13"/>
    </row>
    <row r="38" customFormat="false" ht="15" hidden="false" customHeight="false" outlineLevel="0" collapsed="false">
      <c r="A38" s="31"/>
      <c r="B38" s="13"/>
      <c r="C38" s="13"/>
      <c r="D38" s="32"/>
      <c r="E38" s="32"/>
      <c r="F38" s="14"/>
      <c r="G38" s="23"/>
      <c r="H38" s="16" t="str">
        <f aca="false">IF(F38="","",IF(G38&lt;&gt;"",G38,IF(E38="JPY",IF(ISNUMBER($L$1),ROUND(F38/$L$1,2),"レート未入力"),F38)))</f>
        <v/>
      </c>
      <c r="I38" s="33"/>
      <c r="J38" s="16" t="str">
        <f aca="false">IF(ISNUMBER(H38),ROUND(H38*IF(I38="",1,I38),2),"")</f>
        <v/>
      </c>
      <c r="K38" s="35"/>
      <c r="L38" s="22" t="str">
        <f aca="false">IF(A38="","",IF(A38&lt;DATE(2025,4,6),"2024/25",IF(A38&lt;DATE(2026,4,6),"2025/26",IF(A38&lt;DATE(2027,4,6),"2026/27","2027/28"))))</f>
        <v/>
      </c>
      <c r="N38" s="13"/>
    </row>
    <row r="39" customFormat="false" ht="15" hidden="false" customHeight="false" outlineLevel="0" collapsed="false">
      <c r="A39" s="31"/>
      <c r="B39" s="13"/>
      <c r="C39" s="13"/>
      <c r="D39" s="32"/>
      <c r="E39" s="32"/>
      <c r="F39" s="14"/>
      <c r="G39" s="23"/>
      <c r="H39" s="16" t="str">
        <f aca="false">IF(F39="","",IF(G39&lt;&gt;"",G39,IF(E39="JPY",IF(ISNUMBER($L$1),ROUND(F39/$L$1,2),"レート未入力"),F39)))</f>
        <v/>
      </c>
      <c r="I39" s="33"/>
      <c r="J39" s="16" t="str">
        <f aca="false">IF(ISNUMBER(H39),ROUND(H39*IF(I39="",1,I39),2),"")</f>
        <v/>
      </c>
      <c r="K39" s="35"/>
      <c r="L39" s="22" t="str">
        <f aca="false">IF(A39="","",IF(A39&lt;DATE(2025,4,6),"2024/25",IF(A39&lt;DATE(2026,4,6),"2025/26",IF(A39&lt;DATE(2027,4,6),"2026/27","2027/28"))))</f>
        <v/>
      </c>
      <c r="N39" s="13"/>
    </row>
    <row r="40" customFormat="false" ht="15" hidden="false" customHeight="false" outlineLevel="0" collapsed="false">
      <c r="A40" s="31"/>
      <c r="B40" s="13"/>
      <c r="C40" s="13"/>
      <c r="D40" s="32"/>
      <c r="E40" s="32"/>
      <c r="F40" s="14"/>
      <c r="G40" s="23"/>
      <c r="H40" s="16" t="str">
        <f aca="false">IF(F40="","",IF(G40&lt;&gt;"",G40,IF(E40="JPY",IF(ISNUMBER($L$1),ROUND(F40/$L$1,2),"レート未入力"),F40)))</f>
        <v/>
      </c>
      <c r="I40" s="33"/>
      <c r="J40" s="16" t="str">
        <f aca="false">IF(ISNUMBER(H40),ROUND(H40*IF(I40="",1,I40),2),"")</f>
        <v/>
      </c>
      <c r="K40" s="35"/>
      <c r="L40" s="22" t="str">
        <f aca="false">IF(A40="","",IF(A40&lt;DATE(2025,4,6),"2024/25",IF(A40&lt;DATE(2026,4,6),"2025/26",IF(A40&lt;DATE(2027,4,6),"2026/27","2027/28"))))</f>
        <v/>
      </c>
      <c r="N40" s="13"/>
    </row>
    <row r="41" customFormat="false" ht="15" hidden="false" customHeight="false" outlineLevel="0" collapsed="false">
      <c r="A41" s="31"/>
      <c r="B41" s="13"/>
      <c r="C41" s="13"/>
      <c r="D41" s="32"/>
      <c r="E41" s="32"/>
      <c r="F41" s="14"/>
      <c r="G41" s="23"/>
      <c r="H41" s="16" t="str">
        <f aca="false">IF(F41="","",IF(G41&lt;&gt;"",G41,IF(E41="JPY",IF(ISNUMBER($L$1),ROUND(F41/$L$1,2),"レート未入力"),F41)))</f>
        <v/>
      </c>
      <c r="I41" s="33"/>
      <c r="J41" s="16" t="str">
        <f aca="false">IF(ISNUMBER(H41),ROUND(H41*IF(I41="",1,I41),2),"")</f>
        <v/>
      </c>
      <c r="K41" s="35"/>
      <c r="L41" s="22" t="str">
        <f aca="false">IF(A41="","",IF(A41&lt;DATE(2025,4,6),"2024/25",IF(A41&lt;DATE(2026,4,6),"2025/26",IF(A41&lt;DATE(2027,4,6),"2026/27","2027/28"))))</f>
        <v/>
      </c>
      <c r="N41" s="13"/>
    </row>
    <row r="42" customFormat="false" ht="15" hidden="false" customHeight="false" outlineLevel="0" collapsed="false">
      <c r="A42" s="31"/>
      <c r="B42" s="13"/>
      <c r="C42" s="13"/>
      <c r="D42" s="32"/>
      <c r="E42" s="32"/>
      <c r="F42" s="14"/>
      <c r="G42" s="23"/>
      <c r="H42" s="16" t="str">
        <f aca="false">IF(F42="","",IF(G42&lt;&gt;"",G42,IF(E42="JPY",IF(ISNUMBER($L$1),ROUND(F42/$L$1,2),"レート未入力"),F42)))</f>
        <v/>
      </c>
      <c r="I42" s="33"/>
      <c r="J42" s="16" t="str">
        <f aca="false">IF(ISNUMBER(H42),ROUND(H42*IF(I42="",1,I42),2),"")</f>
        <v/>
      </c>
      <c r="K42" s="35"/>
      <c r="L42" s="22" t="str">
        <f aca="false">IF(A42="","",IF(A42&lt;DATE(2025,4,6),"2024/25",IF(A42&lt;DATE(2026,4,6),"2025/26",IF(A42&lt;DATE(2027,4,6),"2026/27","2027/28"))))</f>
        <v/>
      </c>
      <c r="N42" s="13"/>
    </row>
    <row r="43" customFormat="false" ht="15" hidden="false" customHeight="false" outlineLevel="0" collapsed="false">
      <c r="A43" s="31"/>
      <c r="B43" s="13"/>
      <c r="C43" s="13"/>
      <c r="D43" s="32"/>
      <c r="E43" s="32"/>
      <c r="F43" s="14"/>
      <c r="G43" s="23"/>
      <c r="H43" s="16" t="str">
        <f aca="false">IF(F43="","",IF(G43&lt;&gt;"",G43,IF(E43="JPY",IF(ISNUMBER($L$1),ROUND(F43/$L$1,2),"レート未入力"),F43)))</f>
        <v/>
      </c>
      <c r="I43" s="33"/>
      <c r="J43" s="16" t="str">
        <f aca="false">IF(ISNUMBER(H43),ROUND(H43*IF(I43="",1,I43),2),"")</f>
        <v/>
      </c>
      <c r="K43" s="35"/>
      <c r="L43" s="22" t="str">
        <f aca="false">IF(A43="","",IF(A43&lt;DATE(2025,4,6),"2024/25",IF(A43&lt;DATE(2026,4,6),"2025/26",IF(A43&lt;DATE(2027,4,6),"2026/27","2027/28"))))</f>
        <v/>
      </c>
      <c r="N43" s="13"/>
    </row>
    <row r="44" customFormat="false" ht="15" hidden="false" customHeight="false" outlineLevel="0" collapsed="false">
      <c r="A44" s="31"/>
      <c r="B44" s="13"/>
      <c r="C44" s="13"/>
      <c r="D44" s="32"/>
      <c r="E44" s="32"/>
      <c r="F44" s="14"/>
      <c r="G44" s="23"/>
      <c r="H44" s="16" t="str">
        <f aca="false">IF(F44="","",IF(G44&lt;&gt;"",G44,IF(E44="JPY",IF(ISNUMBER($L$1),ROUND(F44/$L$1,2),"レート未入力"),F44)))</f>
        <v/>
      </c>
      <c r="I44" s="33"/>
      <c r="J44" s="16" t="str">
        <f aca="false">IF(ISNUMBER(H44),ROUND(H44*IF(I44="",1,I44),2),"")</f>
        <v/>
      </c>
      <c r="K44" s="35"/>
      <c r="L44" s="22" t="str">
        <f aca="false">IF(A44="","",IF(A44&lt;DATE(2025,4,6),"2024/25",IF(A44&lt;DATE(2026,4,6),"2025/26",IF(A44&lt;DATE(2027,4,6),"2026/27","2027/28"))))</f>
        <v/>
      </c>
      <c r="N44" s="13"/>
    </row>
    <row r="45" customFormat="false" ht="15" hidden="false" customHeight="false" outlineLevel="0" collapsed="false">
      <c r="A45" s="31"/>
      <c r="B45" s="13"/>
      <c r="C45" s="13"/>
      <c r="D45" s="32"/>
      <c r="E45" s="32"/>
      <c r="F45" s="14"/>
      <c r="G45" s="23"/>
      <c r="H45" s="16" t="str">
        <f aca="false">IF(F45="","",IF(G45&lt;&gt;"",G45,IF(E45="JPY",IF(ISNUMBER($L$1),ROUND(F45/$L$1,2),"レート未入力"),F45)))</f>
        <v/>
      </c>
      <c r="I45" s="33"/>
      <c r="J45" s="16" t="str">
        <f aca="false">IF(ISNUMBER(H45),ROUND(H45*IF(I45="",1,I45),2),"")</f>
        <v/>
      </c>
      <c r="K45" s="35"/>
      <c r="L45" s="22" t="str">
        <f aca="false">IF(A45="","",IF(A45&lt;DATE(2025,4,6),"2024/25",IF(A45&lt;DATE(2026,4,6),"2025/26",IF(A45&lt;DATE(2027,4,6),"2026/27","2027/28"))))</f>
        <v/>
      </c>
      <c r="N45" s="13"/>
    </row>
    <row r="46" customFormat="false" ht="15" hidden="false" customHeight="false" outlineLevel="0" collapsed="false">
      <c r="A46" s="31"/>
      <c r="B46" s="13"/>
      <c r="C46" s="13"/>
      <c r="D46" s="32"/>
      <c r="E46" s="32"/>
      <c r="F46" s="14"/>
      <c r="G46" s="23"/>
      <c r="H46" s="16" t="str">
        <f aca="false">IF(F46="","",IF(G46&lt;&gt;"",G46,IF(E46="JPY",IF(ISNUMBER($L$1),ROUND(F46/$L$1,2),"レート未入力"),F46)))</f>
        <v/>
      </c>
      <c r="I46" s="33"/>
      <c r="J46" s="16" t="str">
        <f aca="false">IF(ISNUMBER(H46),ROUND(H46*IF(I46="",1,I46),2),"")</f>
        <v/>
      </c>
      <c r="K46" s="35"/>
      <c r="L46" s="22" t="str">
        <f aca="false">IF(A46="","",IF(A46&lt;DATE(2025,4,6),"2024/25",IF(A46&lt;DATE(2026,4,6),"2025/26",IF(A46&lt;DATE(2027,4,6),"2026/27","2027/28"))))</f>
        <v/>
      </c>
      <c r="N46" s="13"/>
    </row>
    <row r="47" customFormat="false" ht="15" hidden="false" customHeight="false" outlineLevel="0" collapsed="false">
      <c r="A47" s="31"/>
      <c r="B47" s="13"/>
      <c r="C47" s="13"/>
      <c r="D47" s="32"/>
      <c r="E47" s="32"/>
      <c r="F47" s="14"/>
      <c r="G47" s="23"/>
      <c r="H47" s="16" t="str">
        <f aca="false">IF(F47="","",IF(G47&lt;&gt;"",G47,IF(E47="JPY",IF(ISNUMBER($L$1),ROUND(F47/$L$1,2),"レート未入力"),F47)))</f>
        <v/>
      </c>
      <c r="I47" s="33"/>
      <c r="J47" s="16" t="str">
        <f aca="false">IF(ISNUMBER(H47),ROUND(H47*IF(I47="",1,I47),2),"")</f>
        <v/>
      </c>
      <c r="K47" s="35"/>
      <c r="L47" s="22" t="str">
        <f aca="false">IF(A47="","",IF(A47&lt;DATE(2025,4,6),"2024/25",IF(A47&lt;DATE(2026,4,6),"2025/26",IF(A47&lt;DATE(2027,4,6),"2026/27","2027/28"))))</f>
        <v/>
      </c>
      <c r="N47" s="13"/>
    </row>
    <row r="48" customFormat="false" ht="15" hidden="false" customHeight="false" outlineLevel="0" collapsed="false">
      <c r="A48" s="31"/>
      <c r="B48" s="13"/>
      <c r="C48" s="13"/>
      <c r="D48" s="32"/>
      <c r="E48" s="32"/>
      <c r="F48" s="14"/>
      <c r="G48" s="23"/>
      <c r="H48" s="16" t="str">
        <f aca="false">IF(F48="","",IF(G48&lt;&gt;"",G48,IF(E48="JPY",IF(ISNUMBER($L$1),ROUND(F48/$L$1,2),"レート未入力"),F48)))</f>
        <v/>
      </c>
      <c r="I48" s="33"/>
      <c r="J48" s="16" t="str">
        <f aca="false">IF(ISNUMBER(H48),ROUND(H48*IF(I48="",1,I48),2),"")</f>
        <v/>
      </c>
      <c r="K48" s="35"/>
      <c r="L48" s="22" t="str">
        <f aca="false">IF(A48="","",IF(A48&lt;DATE(2025,4,6),"2024/25",IF(A48&lt;DATE(2026,4,6),"2025/26",IF(A48&lt;DATE(2027,4,6),"2026/27","2027/28"))))</f>
        <v/>
      </c>
      <c r="N48" s="13"/>
    </row>
    <row r="49" customFormat="false" ht="15" hidden="false" customHeight="false" outlineLevel="0" collapsed="false">
      <c r="A49" s="31"/>
      <c r="B49" s="13"/>
      <c r="C49" s="13"/>
      <c r="D49" s="32"/>
      <c r="E49" s="32"/>
      <c r="F49" s="14"/>
      <c r="G49" s="23"/>
      <c r="H49" s="16" t="str">
        <f aca="false">IF(F49="","",IF(G49&lt;&gt;"",G49,IF(E49="JPY",IF(ISNUMBER($L$1),ROUND(F49/$L$1,2),"レート未入力"),F49)))</f>
        <v/>
      </c>
      <c r="I49" s="33"/>
      <c r="J49" s="16" t="str">
        <f aca="false">IF(ISNUMBER(H49),ROUND(H49*IF(I49="",1,I49),2),"")</f>
        <v/>
      </c>
      <c r="K49" s="35"/>
      <c r="L49" s="22" t="str">
        <f aca="false">IF(A49="","",IF(A49&lt;DATE(2025,4,6),"2024/25",IF(A49&lt;DATE(2026,4,6),"2025/26",IF(A49&lt;DATE(2027,4,6),"2026/27","2027/28"))))</f>
        <v/>
      </c>
      <c r="N49" s="13"/>
    </row>
    <row r="50" customFormat="false" ht="15" hidden="false" customHeight="false" outlineLevel="0" collapsed="false">
      <c r="A50" s="31"/>
      <c r="B50" s="13"/>
      <c r="C50" s="13"/>
      <c r="D50" s="32"/>
      <c r="E50" s="32"/>
      <c r="F50" s="14"/>
      <c r="G50" s="23"/>
      <c r="H50" s="16" t="str">
        <f aca="false">IF(F50="","",IF(G50&lt;&gt;"",G50,IF(E50="JPY",IF(ISNUMBER($L$1),ROUND(F50/$L$1,2),"レート未入力"),F50)))</f>
        <v/>
      </c>
      <c r="I50" s="33"/>
      <c r="J50" s="16" t="str">
        <f aca="false">IF(ISNUMBER(H50),ROUND(H50*IF(I50="",1,I50),2),"")</f>
        <v/>
      </c>
      <c r="K50" s="35"/>
      <c r="L50" s="22" t="str">
        <f aca="false">IF(A50="","",IF(A50&lt;DATE(2025,4,6),"2024/25",IF(A50&lt;DATE(2026,4,6),"2025/26",IF(A50&lt;DATE(2027,4,6),"2026/27","2027/28"))))</f>
        <v/>
      </c>
      <c r="N50" s="13"/>
    </row>
    <row r="51" customFormat="false" ht="15" hidden="false" customHeight="false" outlineLevel="0" collapsed="false">
      <c r="A51" s="31"/>
      <c r="B51" s="13"/>
      <c r="C51" s="13"/>
      <c r="D51" s="32"/>
      <c r="E51" s="32"/>
      <c r="F51" s="14"/>
      <c r="G51" s="23"/>
      <c r="H51" s="16" t="str">
        <f aca="false">IF(F51="","",IF(G51&lt;&gt;"",G51,IF(E51="JPY",IF(ISNUMBER($L$1),ROUND(F51/$L$1,2),"レート未入力"),F51)))</f>
        <v/>
      </c>
      <c r="I51" s="33"/>
      <c r="J51" s="16" t="str">
        <f aca="false">IF(ISNUMBER(H51),ROUND(H51*IF(I51="",1,I51),2),"")</f>
        <v/>
      </c>
      <c r="K51" s="35"/>
      <c r="L51" s="22" t="str">
        <f aca="false">IF(A51="","",IF(A51&lt;DATE(2025,4,6),"2024/25",IF(A51&lt;DATE(2026,4,6),"2025/26",IF(A51&lt;DATE(2027,4,6),"2026/27","2027/28"))))</f>
        <v/>
      </c>
      <c r="N51" s="13"/>
    </row>
    <row r="52" customFormat="false" ht="15" hidden="false" customHeight="false" outlineLevel="0" collapsed="false">
      <c r="A52" s="31"/>
      <c r="B52" s="13"/>
      <c r="C52" s="13"/>
      <c r="D52" s="32"/>
      <c r="E52" s="32"/>
      <c r="F52" s="14"/>
      <c r="G52" s="23"/>
      <c r="H52" s="16" t="str">
        <f aca="false">IF(F52="","",IF(G52&lt;&gt;"",G52,IF(E52="JPY",IF(ISNUMBER($L$1),ROUND(F52/$L$1,2),"レート未入力"),F52)))</f>
        <v/>
      </c>
      <c r="I52" s="33"/>
      <c r="J52" s="16" t="str">
        <f aca="false">IF(ISNUMBER(H52),ROUND(H52*IF(I52="",1,I52),2),"")</f>
        <v/>
      </c>
      <c r="K52" s="35"/>
      <c r="L52" s="22" t="str">
        <f aca="false">IF(A52="","",IF(A52&lt;DATE(2025,4,6),"2024/25",IF(A52&lt;DATE(2026,4,6),"2025/26",IF(A52&lt;DATE(2027,4,6),"2026/27","2027/28"))))</f>
        <v/>
      </c>
      <c r="N52" s="13"/>
    </row>
    <row r="53" customFormat="false" ht="15" hidden="false" customHeight="false" outlineLevel="0" collapsed="false">
      <c r="A53" s="31"/>
      <c r="B53" s="13"/>
      <c r="C53" s="13"/>
      <c r="D53" s="32"/>
      <c r="E53" s="32"/>
      <c r="F53" s="14"/>
      <c r="G53" s="23"/>
      <c r="H53" s="16" t="str">
        <f aca="false">IF(F53="","",IF(G53&lt;&gt;"",G53,IF(E53="JPY",IF(ISNUMBER($L$1),ROUND(F53/$L$1,2),"レート未入力"),F53)))</f>
        <v/>
      </c>
      <c r="I53" s="33"/>
      <c r="J53" s="16" t="str">
        <f aca="false">IF(ISNUMBER(H53),ROUND(H53*IF(I53="",1,I53),2),"")</f>
        <v/>
      </c>
      <c r="K53" s="35"/>
      <c r="L53" s="22" t="str">
        <f aca="false">IF(A53="","",IF(A53&lt;DATE(2025,4,6),"2024/25",IF(A53&lt;DATE(2026,4,6),"2025/26",IF(A53&lt;DATE(2027,4,6),"2026/27","2027/28"))))</f>
        <v/>
      </c>
      <c r="N53" s="13"/>
    </row>
    <row r="54" customFormat="false" ht="15" hidden="false" customHeight="false" outlineLevel="0" collapsed="false">
      <c r="A54" s="31"/>
      <c r="B54" s="13"/>
      <c r="C54" s="13"/>
      <c r="D54" s="32"/>
      <c r="E54" s="32"/>
      <c r="F54" s="14"/>
      <c r="G54" s="23"/>
      <c r="H54" s="16" t="str">
        <f aca="false">IF(F54="","",IF(G54&lt;&gt;"",G54,IF(E54="JPY",IF(ISNUMBER($L$1),ROUND(F54/$L$1,2),"レート未入力"),F54)))</f>
        <v/>
      </c>
      <c r="I54" s="33"/>
      <c r="J54" s="16" t="str">
        <f aca="false">IF(ISNUMBER(H54),ROUND(H54*IF(I54="",1,I54),2),"")</f>
        <v/>
      </c>
      <c r="K54" s="35"/>
      <c r="L54" s="22" t="str">
        <f aca="false">IF(A54="","",IF(A54&lt;DATE(2025,4,6),"2024/25",IF(A54&lt;DATE(2026,4,6),"2025/26",IF(A54&lt;DATE(2027,4,6),"2026/27","2027/28"))))</f>
        <v/>
      </c>
      <c r="N54" s="13"/>
    </row>
    <row r="55" customFormat="false" ht="15" hidden="false" customHeight="false" outlineLevel="0" collapsed="false">
      <c r="A55" s="31"/>
      <c r="B55" s="13"/>
      <c r="C55" s="13"/>
      <c r="D55" s="32"/>
      <c r="E55" s="32"/>
      <c r="F55" s="14"/>
      <c r="G55" s="23"/>
      <c r="H55" s="16" t="str">
        <f aca="false">IF(F55="","",IF(G55&lt;&gt;"",G55,IF(E55="JPY",IF(ISNUMBER($L$1),ROUND(F55/$L$1,2),"レート未入力"),F55)))</f>
        <v/>
      </c>
      <c r="I55" s="33"/>
      <c r="J55" s="16" t="str">
        <f aca="false">IF(ISNUMBER(H55),ROUND(H55*IF(I55="",1,I55),2),"")</f>
        <v/>
      </c>
      <c r="K55" s="35"/>
      <c r="L55" s="22" t="str">
        <f aca="false">IF(A55="","",IF(A55&lt;DATE(2025,4,6),"2024/25",IF(A55&lt;DATE(2026,4,6),"2025/26",IF(A55&lt;DATE(2027,4,6),"2026/27","2027/28"))))</f>
        <v/>
      </c>
      <c r="N55" s="13"/>
    </row>
    <row r="56" customFormat="false" ht="15" hidden="false" customHeight="false" outlineLevel="0" collapsed="false">
      <c r="A56" s="31"/>
      <c r="B56" s="13"/>
      <c r="C56" s="13"/>
      <c r="D56" s="32"/>
      <c r="E56" s="32"/>
      <c r="F56" s="14"/>
      <c r="G56" s="23"/>
      <c r="H56" s="16" t="str">
        <f aca="false">IF(F56="","",IF(G56&lt;&gt;"",G56,IF(E56="JPY",IF(ISNUMBER($L$1),ROUND(F56/$L$1,2),"レート未入力"),F56)))</f>
        <v/>
      </c>
      <c r="I56" s="33"/>
      <c r="J56" s="16" t="str">
        <f aca="false">IF(ISNUMBER(H56),ROUND(H56*IF(I56="",1,I56),2),"")</f>
        <v/>
      </c>
      <c r="K56" s="35"/>
      <c r="L56" s="22" t="str">
        <f aca="false">IF(A56="","",IF(A56&lt;DATE(2025,4,6),"2024/25",IF(A56&lt;DATE(2026,4,6),"2025/26",IF(A56&lt;DATE(2027,4,6),"2026/27","2027/28"))))</f>
        <v/>
      </c>
      <c r="N56" s="13"/>
    </row>
    <row r="57" customFormat="false" ht="15" hidden="false" customHeight="false" outlineLevel="0" collapsed="false">
      <c r="A57" s="31"/>
      <c r="B57" s="13"/>
      <c r="C57" s="13"/>
      <c r="D57" s="32"/>
      <c r="E57" s="32"/>
      <c r="F57" s="14"/>
      <c r="G57" s="23"/>
      <c r="H57" s="16" t="str">
        <f aca="false">IF(F57="","",IF(G57&lt;&gt;"",G57,IF(E57="JPY",IF(ISNUMBER($L$1),ROUND(F57/$L$1,2),"レート未入力"),F57)))</f>
        <v/>
      </c>
      <c r="I57" s="33"/>
      <c r="J57" s="16" t="str">
        <f aca="false">IF(ISNUMBER(H57),ROUND(H57*IF(I57="",1,I57),2),"")</f>
        <v/>
      </c>
      <c r="K57" s="35"/>
      <c r="L57" s="22" t="str">
        <f aca="false">IF(A57="","",IF(A57&lt;DATE(2025,4,6),"2024/25",IF(A57&lt;DATE(2026,4,6),"2025/26",IF(A57&lt;DATE(2027,4,6),"2026/27","2027/28"))))</f>
        <v/>
      </c>
      <c r="N57" s="13"/>
    </row>
    <row r="58" customFormat="false" ht="15" hidden="false" customHeight="false" outlineLevel="0" collapsed="false">
      <c r="A58" s="31"/>
      <c r="B58" s="13"/>
      <c r="C58" s="13"/>
      <c r="D58" s="32"/>
      <c r="E58" s="32"/>
      <c r="F58" s="14"/>
      <c r="G58" s="23"/>
      <c r="H58" s="16" t="str">
        <f aca="false">IF(F58="","",IF(G58&lt;&gt;"",G58,IF(E58="JPY",IF(ISNUMBER($L$1),ROUND(F58/$L$1,2),"レート未入力"),F58)))</f>
        <v/>
      </c>
      <c r="I58" s="33"/>
      <c r="J58" s="16" t="str">
        <f aca="false">IF(ISNUMBER(H58),ROUND(H58*IF(I58="",1,I58),2),"")</f>
        <v/>
      </c>
      <c r="K58" s="35"/>
      <c r="L58" s="22" t="str">
        <f aca="false">IF(A58="","",IF(A58&lt;DATE(2025,4,6),"2024/25",IF(A58&lt;DATE(2026,4,6),"2025/26",IF(A58&lt;DATE(2027,4,6),"2026/27","2027/28"))))</f>
        <v/>
      </c>
      <c r="N58" s="13"/>
    </row>
    <row r="59" customFormat="false" ht="15" hidden="false" customHeight="false" outlineLevel="0" collapsed="false">
      <c r="A59" s="31"/>
      <c r="B59" s="13"/>
      <c r="C59" s="13"/>
      <c r="D59" s="32"/>
      <c r="E59" s="32"/>
      <c r="F59" s="14"/>
      <c r="G59" s="23"/>
      <c r="H59" s="16" t="str">
        <f aca="false">IF(F59="","",IF(G59&lt;&gt;"",G59,IF(E59="JPY",IF(ISNUMBER($L$1),ROUND(F59/$L$1,2),"レート未入力"),F59)))</f>
        <v/>
      </c>
      <c r="I59" s="33"/>
      <c r="J59" s="16" t="str">
        <f aca="false">IF(ISNUMBER(H59),ROUND(H59*IF(I59="",1,I59),2),"")</f>
        <v/>
      </c>
      <c r="K59" s="35"/>
      <c r="L59" s="22" t="str">
        <f aca="false">IF(A59="","",IF(A59&lt;DATE(2025,4,6),"2024/25",IF(A59&lt;DATE(2026,4,6),"2025/26",IF(A59&lt;DATE(2027,4,6),"2026/27","2027/28"))))</f>
        <v/>
      </c>
      <c r="N59" s="13"/>
    </row>
    <row r="60" customFormat="false" ht="15" hidden="false" customHeight="false" outlineLevel="0" collapsed="false">
      <c r="A60" s="31"/>
      <c r="B60" s="13"/>
      <c r="C60" s="13"/>
      <c r="D60" s="32"/>
      <c r="E60" s="32"/>
      <c r="F60" s="14"/>
      <c r="G60" s="23"/>
      <c r="H60" s="16" t="str">
        <f aca="false">IF(F60="","",IF(G60&lt;&gt;"",G60,IF(E60="JPY",IF(ISNUMBER($L$1),ROUND(F60/$L$1,2),"レート未入力"),F60)))</f>
        <v/>
      </c>
      <c r="I60" s="33"/>
      <c r="J60" s="16" t="str">
        <f aca="false">IF(ISNUMBER(H60),ROUND(H60*IF(I60="",1,I60),2),"")</f>
        <v/>
      </c>
      <c r="K60" s="35"/>
      <c r="L60" s="22" t="str">
        <f aca="false">IF(A60="","",IF(A60&lt;DATE(2025,4,6),"2024/25",IF(A60&lt;DATE(2026,4,6),"2025/26",IF(A60&lt;DATE(2027,4,6),"2026/27","2027/28"))))</f>
        <v/>
      </c>
      <c r="N60" s="13"/>
    </row>
    <row r="61" customFormat="false" ht="15" hidden="false" customHeight="false" outlineLevel="0" collapsed="false">
      <c r="A61" s="31"/>
      <c r="B61" s="13"/>
      <c r="C61" s="13"/>
      <c r="D61" s="32"/>
      <c r="E61" s="32"/>
      <c r="F61" s="14"/>
      <c r="G61" s="23"/>
      <c r="H61" s="16" t="str">
        <f aca="false">IF(F61="","",IF(G61&lt;&gt;"",G61,IF(E61="JPY",IF(ISNUMBER($L$1),ROUND(F61/$L$1,2),"レート未入力"),F61)))</f>
        <v/>
      </c>
      <c r="I61" s="33"/>
      <c r="J61" s="16" t="str">
        <f aca="false">IF(ISNUMBER(H61),ROUND(H61*IF(I61="",1,I61),2),"")</f>
        <v/>
      </c>
      <c r="K61" s="35"/>
      <c r="L61" s="22" t="str">
        <f aca="false">IF(A61="","",IF(A61&lt;DATE(2025,4,6),"2024/25",IF(A61&lt;DATE(2026,4,6),"2025/26",IF(A61&lt;DATE(2027,4,6),"2026/27","2027/28"))))</f>
        <v/>
      </c>
      <c r="N61" s="13"/>
    </row>
    <row r="62" customFormat="false" ht="15" hidden="false" customHeight="false" outlineLevel="0" collapsed="false">
      <c r="A62" s="31"/>
      <c r="B62" s="13"/>
      <c r="C62" s="13"/>
      <c r="D62" s="32"/>
      <c r="E62" s="32"/>
      <c r="F62" s="14"/>
      <c r="G62" s="23"/>
      <c r="H62" s="16" t="str">
        <f aca="false">IF(F62="","",IF(G62&lt;&gt;"",G62,IF(E62="JPY",IF(ISNUMBER($L$1),ROUND(F62/$L$1,2),"レート未入力"),F62)))</f>
        <v/>
      </c>
      <c r="I62" s="33"/>
      <c r="J62" s="16" t="str">
        <f aca="false">IF(ISNUMBER(H62),ROUND(H62*IF(I62="",1,I62),2),"")</f>
        <v/>
      </c>
      <c r="K62" s="35"/>
      <c r="L62" s="22" t="str">
        <f aca="false">IF(A62="","",IF(A62&lt;DATE(2025,4,6),"2024/25",IF(A62&lt;DATE(2026,4,6),"2025/26",IF(A62&lt;DATE(2027,4,6),"2026/27","2027/28"))))</f>
        <v/>
      </c>
      <c r="N62" s="13"/>
    </row>
    <row r="63" customFormat="false" ht="15" hidden="false" customHeight="false" outlineLevel="0" collapsed="false">
      <c r="A63" s="31"/>
      <c r="B63" s="13"/>
      <c r="C63" s="13"/>
      <c r="D63" s="32"/>
      <c r="E63" s="32"/>
      <c r="F63" s="14"/>
      <c r="G63" s="23"/>
      <c r="H63" s="16" t="str">
        <f aca="false">IF(F63="","",IF(G63&lt;&gt;"",G63,IF(E63="JPY",IF(ISNUMBER($L$1),ROUND(F63/$L$1,2),"レート未入力"),F63)))</f>
        <v/>
      </c>
      <c r="I63" s="33"/>
      <c r="J63" s="16" t="str">
        <f aca="false">IF(ISNUMBER(H63),ROUND(H63*IF(I63="",1,I63),2),"")</f>
        <v/>
      </c>
      <c r="K63" s="35"/>
      <c r="L63" s="22" t="str">
        <f aca="false">IF(A63="","",IF(A63&lt;DATE(2025,4,6),"2024/25",IF(A63&lt;DATE(2026,4,6),"2025/26",IF(A63&lt;DATE(2027,4,6),"2026/27","2027/28"))))</f>
        <v/>
      </c>
      <c r="N63" s="13"/>
    </row>
    <row r="64" customFormat="false" ht="15" hidden="false" customHeight="false" outlineLevel="0" collapsed="false">
      <c r="A64" s="31"/>
      <c r="B64" s="13"/>
      <c r="C64" s="13"/>
      <c r="D64" s="32"/>
      <c r="E64" s="32"/>
      <c r="F64" s="14"/>
      <c r="G64" s="23"/>
      <c r="H64" s="16" t="str">
        <f aca="false">IF(F64="","",IF(G64&lt;&gt;"",G64,IF(E64="JPY",IF(ISNUMBER($L$1),ROUND(F64/$L$1,2),"レート未入力"),F64)))</f>
        <v/>
      </c>
      <c r="I64" s="33"/>
      <c r="J64" s="16" t="str">
        <f aca="false">IF(ISNUMBER(H64),ROUND(H64*IF(I64="",1,I64),2),"")</f>
        <v/>
      </c>
      <c r="K64" s="35"/>
      <c r="L64" s="22" t="str">
        <f aca="false">IF(A64="","",IF(A64&lt;DATE(2025,4,6),"2024/25",IF(A64&lt;DATE(2026,4,6),"2025/26",IF(A64&lt;DATE(2027,4,6),"2026/27","2027/28"))))</f>
        <v/>
      </c>
      <c r="N64" s="13"/>
    </row>
    <row r="65" customFormat="false" ht="15" hidden="false" customHeight="false" outlineLevel="0" collapsed="false">
      <c r="A65" s="31"/>
      <c r="B65" s="13"/>
      <c r="C65" s="13"/>
      <c r="D65" s="32"/>
      <c r="E65" s="32"/>
      <c r="F65" s="14"/>
      <c r="G65" s="23"/>
      <c r="H65" s="16" t="str">
        <f aca="false">IF(F65="","",IF(G65&lt;&gt;"",G65,IF(E65="JPY",IF(ISNUMBER($L$1),ROUND(F65/$L$1,2),"レート未入力"),F65)))</f>
        <v/>
      </c>
      <c r="I65" s="33"/>
      <c r="J65" s="16" t="str">
        <f aca="false">IF(ISNUMBER(H65),ROUND(H65*IF(I65="",1,I65),2),"")</f>
        <v/>
      </c>
      <c r="K65" s="35"/>
      <c r="L65" s="22" t="str">
        <f aca="false">IF(A65="","",IF(A65&lt;DATE(2025,4,6),"2024/25",IF(A65&lt;DATE(2026,4,6),"2025/26",IF(A65&lt;DATE(2027,4,6),"2026/27","2027/28"))))</f>
        <v/>
      </c>
      <c r="N65" s="13"/>
    </row>
    <row r="66" customFormat="false" ht="15" hidden="false" customHeight="false" outlineLevel="0" collapsed="false">
      <c r="A66" s="31"/>
      <c r="B66" s="13"/>
      <c r="C66" s="13"/>
      <c r="D66" s="32"/>
      <c r="E66" s="32"/>
      <c r="F66" s="14"/>
      <c r="G66" s="23"/>
      <c r="H66" s="16" t="str">
        <f aca="false">IF(F66="","",IF(G66&lt;&gt;"",G66,IF(E66="JPY",IF(ISNUMBER($L$1),ROUND(F66/$L$1,2),"レート未入力"),F66)))</f>
        <v/>
      </c>
      <c r="I66" s="33"/>
      <c r="J66" s="16" t="str">
        <f aca="false">IF(ISNUMBER(H66),ROUND(H66*IF(I66="",1,I66),2),"")</f>
        <v/>
      </c>
      <c r="K66" s="35"/>
      <c r="L66" s="22" t="str">
        <f aca="false">IF(A66="","",IF(A66&lt;DATE(2025,4,6),"2024/25",IF(A66&lt;DATE(2026,4,6),"2025/26",IF(A66&lt;DATE(2027,4,6),"2026/27","2027/28"))))</f>
        <v/>
      </c>
      <c r="N66" s="13"/>
    </row>
    <row r="67" customFormat="false" ht="15" hidden="false" customHeight="false" outlineLevel="0" collapsed="false">
      <c r="A67" s="31"/>
      <c r="B67" s="13"/>
      <c r="C67" s="13"/>
      <c r="D67" s="32"/>
      <c r="E67" s="32"/>
      <c r="F67" s="14"/>
      <c r="G67" s="23"/>
      <c r="H67" s="16" t="str">
        <f aca="false">IF(F67="","",IF(G67&lt;&gt;"",G67,IF(E67="JPY",IF(ISNUMBER($L$1),ROUND(F67/$L$1,2),"レート未入力"),F67)))</f>
        <v/>
      </c>
      <c r="I67" s="33"/>
      <c r="J67" s="16" t="str">
        <f aca="false">IF(ISNUMBER(H67),ROUND(H67*IF(I67="",1,I67),2),"")</f>
        <v/>
      </c>
      <c r="K67" s="35"/>
      <c r="L67" s="22" t="str">
        <f aca="false">IF(A67="","",IF(A67&lt;DATE(2025,4,6),"2024/25",IF(A67&lt;DATE(2026,4,6),"2025/26",IF(A67&lt;DATE(2027,4,6),"2026/27","2027/28"))))</f>
        <v/>
      </c>
      <c r="N67" s="13"/>
    </row>
    <row r="68" customFormat="false" ht="15" hidden="false" customHeight="false" outlineLevel="0" collapsed="false">
      <c r="A68" s="31"/>
      <c r="B68" s="13"/>
      <c r="C68" s="13"/>
      <c r="D68" s="32"/>
      <c r="E68" s="32"/>
      <c r="F68" s="14"/>
      <c r="G68" s="23"/>
      <c r="H68" s="16" t="str">
        <f aca="false">IF(F68="","",IF(G68&lt;&gt;"",G68,IF(E68="JPY",IF(ISNUMBER($L$1),ROUND(F68/$L$1,2),"レート未入力"),F68)))</f>
        <v/>
      </c>
      <c r="I68" s="33"/>
      <c r="J68" s="16" t="str">
        <f aca="false">IF(ISNUMBER(H68),ROUND(H68*IF(I68="",1,I68),2),"")</f>
        <v/>
      </c>
      <c r="K68" s="35"/>
      <c r="L68" s="22" t="str">
        <f aca="false">IF(A68="","",IF(A68&lt;DATE(2025,4,6),"2024/25",IF(A68&lt;DATE(2026,4,6),"2025/26",IF(A68&lt;DATE(2027,4,6),"2026/27","2027/28"))))</f>
        <v/>
      </c>
      <c r="N68" s="13"/>
    </row>
    <row r="69" customFormat="false" ht="15" hidden="false" customHeight="false" outlineLevel="0" collapsed="false">
      <c r="A69" s="31"/>
      <c r="B69" s="13"/>
      <c r="C69" s="13"/>
      <c r="D69" s="32"/>
      <c r="E69" s="32"/>
      <c r="F69" s="14"/>
      <c r="G69" s="23"/>
      <c r="H69" s="16" t="str">
        <f aca="false">IF(F69="","",IF(G69&lt;&gt;"",G69,IF(E69="JPY",IF(ISNUMBER($L$1),ROUND(F69/$L$1,2),"レート未入力"),F69)))</f>
        <v/>
      </c>
      <c r="I69" s="33"/>
      <c r="J69" s="16" t="str">
        <f aca="false">IF(ISNUMBER(H69),ROUND(H69*IF(I69="",1,I69),2),"")</f>
        <v/>
      </c>
      <c r="K69" s="35"/>
      <c r="L69" s="22" t="str">
        <f aca="false">IF(A69="","",IF(A69&lt;DATE(2025,4,6),"2024/25",IF(A69&lt;DATE(2026,4,6),"2025/26",IF(A69&lt;DATE(2027,4,6),"2026/27","2027/28"))))</f>
        <v/>
      </c>
      <c r="N69" s="13"/>
    </row>
    <row r="70" customFormat="false" ht="15" hidden="false" customHeight="false" outlineLevel="0" collapsed="false">
      <c r="A70" s="3" t="s">
        <v>196</v>
      </c>
      <c r="J70" s="18" t="n">
        <f aca="false">SUM(J30:J69)</f>
        <v>0</v>
      </c>
    </row>
    <row r="72" customFormat="false" ht="15" hidden="false" customHeight="false" outlineLevel="0" collapsed="false">
      <c r="A72" s="26" t="s">
        <v>197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customFormat="false" ht="15" hidden="false" customHeight="false" outlineLevel="0" collapsed="false">
      <c r="A73" s="17" t="s">
        <v>137</v>
      </c>
      <c r="D73" s="36" t="s">
        <v>16</v>
      </c>
      <c r="E73" s="36" t="s">
        <v>18</v>
      </c>
      <c r="F73" s="36"/>
    </row>
    <row r="74" customFormat="false" ht="15" hidden="false" customHeight="false" outlineLevel="0" collapsed="false">
      <c r="A74" s="17" t="s">
        <v>183</v>
      </c>
      <c r="D74" s="18" t="n">
        <f aca="false">SUMIFS($H$6:$H$25,$J$6:$J$25,"2025/26")</f>
        <v>0</v>
      </c>
      <c r="E74" s="18" t="n">
        <f aca="false">SUMIFS($H$6:$H$25,$J$6:$J$25,"2026/27")</f>
        <v>0</v>
      </c>
      <c r="F74" s="18"/>
    </row>
    <row r="75" customFormat="false" ht="15" hidden="false" customHeight="false" outlineLevel="0" collapsed="false">
      <c r="A75" s="21" t="s">
        <v>41</v>
      </c>
      <c r="D75" s="16" t="n">
        <f aca="false">SUMIFS($J$30:$J$69,$D$30:$D$69,$A75,$L$30:$L$69,"2025/26")</f>
        <v>0</v>
      </c>
      <c r="E75" s="16" t="n">
        <f aca="false">SUMIFS($J$30:$J$69,$D$30:$D$69,$A75,$L$30:$L$69,"2026/27")</f>
        <v>0</v>
      </c>
      <c r="F75" s="16"/>
    </row>
    <row r="76" customFormat="false" ht="15" hidden="false" customHeight="false" outlineLevel="0" collapsed="false">
      <c r="A76" s="21" t="s">
        <v>43</v>
      </c>
      <c r="D76" s="16" t="n">
        <f aca="false">SUMIFS($J$30:$J$69,$D$30:$D$69,$A76,$L$30:$L$69,"2025/26")</f>
        <v>0</v>
      </c>
      <c r="E76" s="16" t="n">
        <f aca="false">SUMIFS($J$30:$J$69,$D$30:$D$69,$A76,$L$30:$L$69,"2026/27")</f>
        <v>0</v>
      </c>
      <c r="F76" s="16"/>
    </row>
    <row r="77" customFormat="false" ht="15" hidden="false" customHeight="false" outlineLevel="0" collapsed="false">
      <c r="A77" s="21" t="s">
        <v>45</v>
      </c>
      <c r="D77" s="16" t="n">
        <f aca="false">SUMIFS($J$30:$J$69,$D$30:$D$69,$A77,$L$30:$L$69,"2025/26")</f>
        <v>0</v>
      </c>
      <c r="E77" s="16" t="n">
        <f aca="false">SUMIFS($J$30:$J$69,$D$30:$D$69,$A77,$L$30:$L$69,"2026/27")</f>
        <v>0</v>
      </c>
      <c r="F77" s="16"/>
    </row>
    <row r="78" customFormat="false" ht="15" hidden="false" customHeight="false" outlineLevel="0" collapsed="false">
      <c r="A78" s="21" t="s">
        <v>47</v>
      </c>
      <c r="D78" s="16" t="n">
        <f aca="false">SUMIFS($J$30:$J$69,$D$30:$D$69,$A78,$L$30:$L$69,"2025/26")</f>
        <v>0</v>
      </c>
      <c r="E78" s="16" t="n">
        <f aca="false">SUMIFS($J$30:$J$69,$D$30:$D$69,$A78,$L$30:$L$69,"2026/27")</f>
        <v>0</v>
      </c>
      <c r="F78" s="16"/>
    </row>
    <row r="79" customFormat="false" ht="15" hidden="false" customHeight="false" outlineLevel="0" collapsed="false">
      <c r="A79" s="21" t="s">
        <v>49</v>
      </c>
      <c r="D79" s="16" t="n">
        <f aca="false">SUMIFS($J$30:$J$69,$D$30:$D$69,$A79,$L$30:$L$69,"2025/26")</f>
        <v>0</v>
      </c>
      <c r="E79" s="16" t="n">
        <f aca="false">SUMIFS($J$30:$J$69,$D$30:$D$69,$A79,$L$30:$L$69,"2026/27")</f>
        <v>0</v>
      </c>
      <c r="F79" s="16"/>
    </row>
    <row r="80" customFormat="false" ht="15" hidden="false" customHeight="false" outlineLevel="0" collapsed="false">
      <c r="A80" s="21" t="s">
        <v>51</v>
      </c>
      <c r="D80" s="16" t="n">
        <f aca="false">SUMIFS($J$30:$J$69,$D$30:$D$69,$A80,$L$30:$L$69,"2025/26")</f>
        <v>0</v>
      </c>
      <c r="E80" s="16" t="n">
        <f aca="false">SUMIFS($J$30:$J$69,$D$30:$D$69,$A80,$L$30:$L$69,"2026/27")</f>
        <v>0</v>
      </c>
      <c r="F80" s="16"/>
    </row>
    <row r="81" customFormat="false" ht="15" hidden="false" customHeight="false" outlineLevel="0" collapsed="false">
      <c r="A81" s="21" t="s">
        <v>53</v>
      </c>
      <c r="D81" s="16" t="n">
        <f aca="false">SUMIFS($J$30:$J$69,$D$30:$D$69,$A81,$L$30:$L$69,"2025/26")</f>
        <v>0</v>
      </c>
      <c r="E81" s="16" t="n">
        <f aca="false">SUMIFS($J$30:$J$69,$D$30:$D$69,$A81,$L$30:$L$69,"2026/27")</f>
        <v>0</v>
      </c>
      <c r="F81" s="16"/>
    </row>
    <row r="82" customFormat="false" ht="15" hidden="false" customHeight="false" outlineLevel="0" collapsed="false">
      <c r="A82" s="21" t="s">
        <v>55</v>
      </c>
      <c r="D82" s="16" t="n">
        <f aca="false">SUMIFS($J$30:$J$69,$D$30:$D$69,$A82,$L$30:$L$69,"2025/26")</f>
        <v>0</v>
      </c>
      <c r="E82" s="16" t="n">
        <f aca="false">SUMIFS($J$30:$J$69,$D$30:$D$69,$A82,$L$30:$L$69,"2026/27")</f>
        <v>0</v>
      </c>
      <c r="F82" s="16"/>
    </row>
    <row r="83" customFormat="false" ht="15" hidden="false" customHeight="false" outlineLevel="0" collapsed="false">
      <c r="A83" s="21" t="s">
        <v>57</v>
      </c>
      <c r="D83" s="16" t="n">
        <f aca="false">SUMIFS($J$30:$J$69,$D$30:$D$69,$A83,$L$30:$L$69,"2025/26")</f>
        <v>0</v>
      </c>
      <c r="E83" s="16" t="n">
        <f aca="false">SUMIFS($J$30:$J$69,$D$30:$D$69,$A83,$L$30:$L$69,"2026/27")</f>
        <v>0</v>
      </c>
      <c r="F83" s="16"/>
    </row>
    <row r="84" customFormat="false" ht="15" hidden="false" customHeight="false" outlineLevel="0" collapsed="false">
      <c r="A84" s="21" t="s">
        <v>59</v>
      </c>
      <c r="D84" s="16" t="n">
        <f aca="false">SUMIFS($J$30:$J$69,$D$30:$D$69,$A84,$L$30:$L$69,"2025/26")</f>
        <v>0</v>
      </c>
      <c r="E84" s="16" t="n">
        <f aca="false">SUMIFS($J$30:$J$69,$D$30:$D$69,$A84,$L$30:$L$69,"2026/27")</f>
        <v>0</v>
      </c>
      <c r="F84" s="16"/>
    </row>
    <row r="85" customFormat="false" ht="15" hidden="false" customHeight="false" outlineLevel="0" collapsed="false">
      <c r="A85" s="21" t="s">
        <v>61</v>
      </c>
      <c r="D85" s="16" t="n">
        <f aca="false">SUMIFS($J$30:$J$69,$D$30:$D$69,$A85,$L$30:$L$69,"2025/26")</f>
        <v>0</v>
      </c>
      <c r="E85" s="16" t="n">
        <f aca="false">SUMIFS($J$30:$J$69,$D$30:$D$69,$A85,$L$30:$L$69,"2026/27")</f>
        <v>0</v>
      </c>
      <c r="F85" s="16"/>
    </row>
    <row r="86" customFormat="false" ht="15" hidden="false" customHeight="false" outlineLevel="0" collapsed="false">
      <c r="A86" s="21" t="s">
        <v>63</v>
      </c>
      <c r="D86" s="16" t="n">
        <f aca="false">SUMIFS($J$30:$J$69,$D$30:$D$69,$A86,$L$30:$L$69,"2025/26")</f>
        <v>0</v>
      </c>
      <c r="E86" s="16" t="n">
        <f aca="false">SUMIFS($J$30:$J$69,$D$30:$D$69,$A86,$L$30:$L$69,"2026/27")</f>
        <v>0</v>
      </c>
      <c r="F86" s="16"/>
    </row>
    <row r="87" customFormat="false" ht="15" hidden="false" customHeight="false" outlineLevel="0" collapsed="false">
      <c r="A87" s="21" t="s">
        <v>64</v>
      </c>
      <c r="D87" s="16" t="n">
        <f aca="false">SUMIFS($J$30:$J$69,$D$30:$D$69,$A87,$L$30:$L$69,"2025/26")</f>
        <v>0</v>
      </c>
      <c r="E87" s="16" t="n">
        <f aca="false">SUMIFS($J$30:$J$69,$D$30:$D$69,$A87,$L$30:$L$69,"2026/27")</f>
        <v>0</v>
      </c>
      <c r="F87" s="16"/>
    </row>
    <row r="88" customFormat="false" ht="15" hidden="false" customHeight="false" outlineLevel="0" collapsed="false">
      <c r="A88" s="17" t="s">
        <v>198</v>
      </c>
      <c r="D88" s="18" t="n">
        <f aca="false">SUM(D75:D86)</f>
        <v>0</v>
      </c>
      <c r="E88" s="18" t="n">
        <f aca="false">SUM(E75:E86)</f>
        <v>0</v>
      </c>
      <c r="F88" s="18"/>
    </row>
    <row r="89" customFormat="false" ht="15" hidden="false" customHeight="false" outlineLevel="0" collapsed="false">
      <c r="A89" s="17" t="s">
        <v>199</v>
      </c>
      <c r="D89" s="18" t="n">
        <f aca="false">D74-D88-D87</f>
        <v>0</v>
      </c>
      <c r="E89" s="18" t="n">
        <f aca="false">E74-E88-E87</f>
        <v>0</v>
      </c>
      <c r="F89" s="18"/>
    </row>
    <row r="90" customFormat="false" ht="15" hidden="false" customHeight="false" outlineLevel="0" collapsed="false">
      <c r="A90" s="37" t="s">
        <v>200</v>
      </c>
    </row>
    <row r="91" customFormat="false" ht="15" hidden="false" customHeight="false" outlineLevel="0" collapsed="false">
      <c r="A91" s="21" t="s">
        <v>201</v>
      </c>
      <c r="D91" s="16" t="n">
        <f aca="false">SUMIFS($J$30:$J$69,$D$30:$D$69,"")</f>
        <v>0</v>
      </c>
    </row>
  </sheetData>
  <mergeCells count="17"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</mergeCells>
  <dataValidations count="5">
    <dataValidation allowBlank="true" error="0%〜100%で入力してください" errorStyle="stop" operator="between" showDropDown="false" showErrorMessage="true" showInputMessage="false" sqref="I30:I69" type="decimal">
      <formula1>0</formula1>
      <formula2>1</formula2>
    </dataValidation>
    <dataValidation allowBlank="true" errorStyle="stop" operator="between" showDropDown="false" showErrorMessage="false" showInputMessage="false" sqref="E6:E25 E30:E69" type="list">
      <formula1>_list!$B$1:$B$2</formula1>
      <formula2>0</formula2>
    </dataValidation>
    <dataValidation allowBlank="true" errorStyle="stop" operator="between" showDropDown="false" showErrorMessage="false" showInputMessage="false" sqref="D30:D69" type="list">
      <formula1>_list!$A$1:$A$13</formula1>
      <formula2>0</formula2>
    </dataValidation>
    <dataValidation allowBlank="true" errorStyle="stop" operator="between" showDropDown="false" showErrorMessage="false" showInputMessage="false" sqref="D6:D25" type="list">
      <formula1>_list!$C$1:$C$7</formula1>
      <formula2>0</formula2>
    </dataValidation>
    <dataValidation allowBlank="true" error="日付で入力してください（例：2025/5/2）" errorStyle="stop" operator="between" showDropDown="false" showErrorMessage="true" showInputMessage="false" sqref="A6:A25 A30:A69" type="date">
      <formula1>DATE(2025,4,1)</formula1>
      <formula2>DATE(2027,12,31)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24"/>
  </cols>
  <sheetData>
    <row r="1" customFormat="false" ht="19.4" hidden="false" customHeight="false" outlineLevel="0" collapsed="false">
      <c r="A1" s="1" t="s">
        <v>216</v>
      </c>
      <c r="J1" s="3" t="s">
        <v>164</v>
      </c>
      <c r="L1" s="25" t="str">
        <f aca="false">IF(為替レート!$B$20="","未入力",為替レート!$B$20)</f>
        <v>未入力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26" t="s">
        <v>166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customFormat="false" ht="30" hidden="false" customHeight="true" outlineLevel="0" collapsed="false">
      <c r="A5" s="9" t="s">
        <v>167</v>
      </c>
      <c r="B5" s="9" t="s">
        <v>168</v>
      </c>
      <c r="C5" s="9" t="s">
        <v>169</v>
      </c>
      <c r="D5" s="9" t="s">
        <v>170</v>
      </c>
      <c r="E5" s="9" t="s">
        <v>171</v>
      </c>
      <c r="F5" s="9" t="s">
        <v>172</v>
      </c>
      <c r="G5" s="9" t="s">
        <v>173</v>
      </c>
      <c r="H5" s="9" t="s">
        <v>174</v>
      </c>
      <c r="I5" s="9" t="s">
        <v>175</v>
      </c>
      <c r="J5" s="9" t="s">
        <v>176</v>
      </c>
      <c r="K5" s="9"/>
      <c r="L5" s="9"/>
      <c r="M5" s="9"/>
      <c r="N5" s="9" t="s">
        <v>177</v>
      </c>
    </row>
    <row r="6" customFormat="false" ht="15" hidden="false" customHeight="false" outlineLevel="0" collapsed="false">
      <c r="A6" s="31"/>
      <c r="B6" s="13"/>
      <c r="C6" s="13"/>
      <c r="D6" s="32"/>
      <c r="E6" s="32"/>
      <c r="F6" s="14"/>
      <c r="G6" s="23"/>
      <c r="H6" s="16" t="str">
        <f aca="false">IF(F6="","",IF(G6&lt;&gt;"",G6,IF(E6="JPY",IF(ISNUMBER($L$1),ROUND(F6/$L$1,2),"レート未入力"),F6)))</f>
        <v/>
      </c>
      <c r="I6" s="13"/>
      <c r="J6" s="22" t="str">
        <f aca="false">IF(A6="","",IF(A6&lt;DATE(2025,4,6),"2024/25",IF(A6&lt;DATE(2026,4,6),"2025/26",IF(A6&lt;DATE(2027,4,6),"2026/27","2027/28"))))</f>
        <v/>
      </c>
      <c r="N6" s="13"/>
    </row>
    <row r="7" customFormat="false" ht="15" hidden="false" customHeight="false" outlineLevel="0" collapsed="false">
      <c r="A7" s="31"/>
      <c r="B7" s="13"/>
      <c r="C7" s="13"/>
      <c r="D7" s="32"/>
      <c r="E7" s="32"/>
      <c r="F7" s="14"/>
      <c r="G7" s="23"/>
      <c r="H7" s="16" t="str">
        <f aca="false">IF(F7="","",IF(G7&lt;&gt;"",G7,IF(E7="JPY",IF(ISNUMBER($L$1),ROUND(F7/$L$1,2),"レート未入力"),F7)))</f>
        <v/>
      </c>
      <c r="I7" s="13"/>
      <c r="J7" s="22" t="str">
        <f aca="false">IF(A7="","",IF(A7&lt;DATE(2025,4,6),"2024/25",IF(A7&lt;DATE(2026,4,6),"2025/26",IF(A7&lt;DATE(2027,4,6),"2026/27","2027/28"))))</f>
        <v/>
      </c>
      <c r="N7" s="13"/>
    </row>
    <row r="8" customFormat="false" ht="15" hidden="false" customHeight="false" outlineLevel="0" collapsed="false">
      <c r="A8" s="31"/>
      <c r="B8" s="13"/>
      <c r="C8" s="13"/>
      <c r="D8" s="32"/>
      <c r="E8" s="32"/>
      <c r="F8" s="14"/>
      <c r="G8" s="23"/>
      <c r="H8" s="16" t="str">
        <f aca="false">IF(F8="","",IF(G8&lt;&gt;"",G8,IF(E8="JPY",IF(ISNUMBER($L$1),ROUND(F8/$L$1,2),"レート未入力"),F8)))</f>
        <v/>
      </c>
      <c r="I8" s="13"/>
      <c r="J8" s="22" t="str">
        <f aca="false">IF(A8="","",IF(A8&lt;DATE(2025,4,6),"2024/25",IF(A8&lt;DATE(2026,4,6),"2025/26",IF(A8&lt;DATE(2027,4,6),"2026/27","2027/28"))))</f>
        <v/>
      </c>
      <c r="N8" s="13"/>
    </row>
    <row r="9" customFormat="false" ht="15" hidden="false" customHeight="false" outlineLevel="0" collapsed="false">
      <c r="A9" s="31"/>
      <c r="B9" s="13"/>
      <c r="C9" s="13"/>
      <c r="D9" s="32"/>
      <c r="E9" s="32"/>
      <c r="F9" s="14"/>
      <c r="G9" s="23"/>
      <c r="H9" s="16" t="str">
        <f aca="false">IF(F9="","",IF(G9&lt;&gt;"",G9,IF(E9="JPY",IF(ISNUMBER($L$1),ROUND(F9/$L$1,2),"レート未入力"),F9)))</f>
        <v/>
      </c>
      <c r="I9" s="13"/>
      <c r="J9" s="22" t="str">
        <f aca="false">IF(A9="","",IF(A9&lt;DATE(2025,4,6),"2024/25",IF(A9&lt;DATE(2026,4,6),"2025/26",IF(A9&lt;DATE(2027,4,6),"2026/27","2027/28"))))</f>
        <v/>
      </c>
      <c r="N9" s="13"/>
    </row>
    <row r="10" customFormat="false" ht="15" hidden="false" customHeight="false" outlineLevel="0" collapsed="false">
      <c r="A10" s="31"/>
      <c r="B10" s="13"/>
      <c r="C10" s="13"/>
      <c r="D10" s="32"/>
      <c r="E10" s="32"/>
      <c r="F10" s="14"/>
      <c r="G10" s="23"/>
      <c r="H10" s="16" t="str">
        <f aca="false">IF(F10="","",IF(G10&lt;&gt;"",G10,IF(E10="JPY",IF(ISNUMBER($L$1),ROUND(F10/$L$1,2),"レート未入力"),F10)))</f>
        <v/>
      </c>
      <c r="I10" s="13"/>
      <c r="J10" s="22" t="str">
        <f aca="false">IF(A10="","",IF(A10&lt;DATE(2025,4,6),"2024/25",IF(A10&lt;DATE(2026,4,6),"2025/26",IF(A10&lt;DATE(2027,4,6),"2026/27","2027/28"))))</f>
        <v/>
      </c>
      <c r="N10" s="13"/>
    </row>
    <row r="11" customFormat="false" ht="15" hidden="false" customHeight="false" outlineLevel="0" collapsed="false">
      <c r="A11" s="31"/>
      <c r="B11" s="13"/>
      <c r="C11" s="13"/>
      <c r="D11" s="32"/>
      <c r="E11" s="32"/>
      <c r="F11" s="14"/>
      <c r="G11" s="23"/>
      <c r="H11" s="16" t="str">
        <f aca="false">IF(F11="","",IF(G11&lt;&gt;"",G11,IF(E11="JPY",IF(ISNUMBER($L$1),ROUND(F11/$L$1,2),"レート未入力"),F11)))</f>
        <v/>
      </c>
      <c r="I11" s="13"/>
      <c r="J11" s="22" t="str">
        <f aca="false">IF(A11="","",IF(A11&lt;DATE(2025,4,6),"2024/25",IF(A11&lt;DATE(2026,4,6),"2025/26",IF(A11&lt;DATE(2027,4,6),"2026/27","2027/28"))))</f>
        <v/>
      </c>
      <c r="N11" s="13"/>
    </row>
    <row r="12" customFormat="false" ht="15" hidden="false" customHeight="false" outlineLevel="0" collapsed="false">
      <c r="A12" s="31"/>
      <c r="B12" s="13"/>
      <c r="C12" s="13"/>
      <c r="D12" s="32"/>
      <c r="E12" s="32"/>
      <c r="F12" s="14"/>
      <c r="G12" s="23"/>
      <c r="H12" s="16" t="str">
        <f aca="false">IF(F12="","",IF(G12&lt;&gt;"",G12,IF(E12="JPY",IF(ISNUMBER($L$1),ROUND(F12/$L$1,2),"レート未入力"),F12)))</f>
        <v/>
      </c>
      <c r="I12" s="13"/>
      <c r="J12" s="22" t="str">
        <f aca="false">IF(A12="","",IF(A12&lt;DATE(2025,4,6),"2024/25",IF(A12&lt;DATE(2026,4,6),"2025/26",IF(A12&lt;DATE(2027,4,6),"2026/27","2027/28"))))</f>
        <v/>
      </c>
      <c r="N12" s="13"/>
    </row>
    <row r="13" customFormat="false" ht="15" hidden="false" customHeight="false" outlineLevel="0" collapsed="false">
      <c r="A13" s="31"/>
      <c r="B13" s="13"/>
      <c r="C13" s="13"/>
      <c r="D13" s="32"/>
      <c r="E13" s="32"/>
      <c r="F13" s="14"/>
      <c r="G13" s="23"/>
      <c r="H13" s="16" t="str">
        <f aca="false">IF(F13="","",IF(G13&lt;&gt;"",G13,IF(E13="JPY",IF(ISNUMBER($L$1),ROUND(F13/$L$1,2),"レート未入力"),F13)))</f>
        <v/>
      </c>
      <c r="I13" s="13"/>
      <c r="J13" s="22" t="str">
        <f aca="false">IF(A13="","",IF(A13&lt;DATE(2025,4,6),"2024/25",IF(A13&lt;DATE(2026,4,6),"2025/26",IF(A13&lt;DATE(2027,4,6),"2026/27","2027/28"))))</f>
        <v/>
      </c>
      <c r="N13" s="13"/>
    </row>
    <row r="14" customFormat="false" ht="15" hidden="false" customHeight="false" outlineLevel="0" collapsed="false">
      <c r="A14" s="31"/>
      <c r="B14" s="13"/>
      <c r="C14" s="13"/>
      <c r="D14" s="32"/>
      <c r="E14" s="32"/>
      <c r="F14" s="14"/>
      <c r="G14" s="23"/>
      <c r="H14" s="16" t="str">
        <f aca="false">IF(F14="","",IF(G14&lt;&gt;"",G14,IF(E14="JPY",IF(ISNUMBER($L$1),ROUND(F14/$L$1,2),"レート未入力"),F14)))</f>
        <v/>
      </c>
      <c r="I14" s="13"/>
      <c r="J14" s="22" t="str">
        <f aca="false">IF(A14="","",IF(A14&lt;DATE(2025,4,6),"2024/25",IF(A14&lt;DATE(2026,4,6),"2025/26",IF(A14&lt;DATE(2027,4,6),"2026/27","2027/28"))))</f>
        <v/>
      </c>
      <c r="N14" s="13"/>
    </row>
    <row r="15" customFormat="false" ht="15" hidden="false" customHeight="false" outlineLevel="0" collapsed="false">
      <c r="A15" s="31"/>
      <c r="B15" s="13"/>
      <c r="C15" s="13"/>
      <c r="D15" s="32"/>
      <c r="E15" s="32"/>
      <c r="F15" s="14"/>
      <c r="G15" s="23"/>
      <c r="H15" s="16" t="str">
        <f aca="false">IF(F15="","",IF(G15&lt;&gt;"",G15,IF(E15="JPY",IF(ISNUMBER($L$1),ROUND(F15/$L$1,2),"レート未入力"),F15)))</f>
        <v/>
      </c>
      <c r="I15" s="13"/>
      <c r="J15" s="22" t="str">
        <f aca="false">IF(A15="","",IF(A15&lt;DATE(2025,4,6),"2024/25",IF(A15&lt;DATE(2026,4,6),"2025/26",IF(A15&lt;DATE(2027,4,6),"2026/27","2027/28"))))</f>
        <v/>
      </c>
      <c r="N15" s="13"/>
    </row>
    <row r="16" customFormat="false" ht="15" hidden="false" customHeight="false" outlineLevel="0" collapsed="false">
      <c r="A16" s="31"/>
      <c r="B16" s="13"/>
      <c r="C16" s="13"/>
      <c r="D16" s="32"/>
      <c r="E16" s="32"/>
      <c r="F16" s="14"/>
      <c r="G16" s="23"/>
      <c r="H16" s="16" t="str">
        <f aca="false">IF(F16="","",IF(G16&lt;&gt;"",G16,IF(E16="JPY",IF(ISNUMBER($L$1),ROUND(F16/$L$1,2),"レート未入力"),F16)))</f>
        <v/>
      </c>
      <c r="I16" s="13"/>
      <c r="J16" s="22" t="str">
        <f aca="false">IF(A16="","",IF(A16&lt;DATE(2025,4,6),"2024/25",IF(A16&lt;DATE(2026,4,6),"2025/26",IF(A16&lt;DATE(2027,4,6),"2026/27","2027/28"))))</f>
        <v/>
      </c>
      <c r="N16" s="13"/>
    </row>
    <row r="17" customFormat="false" ht="15" hidden="false" customHeight="false" outlineLevel="0" collapsed="false">
      <c r="A17" s="31"/>
      <c r="B17" s="13"/>
      <c r="C17" s="13"/>
      <c r="D17" s="32"/>
      <c r="E17" s="32"/>
      <c r="F17" s="14"/>
      <c r="G17" s="23"/>
      <c r="H17" s="16" t="str">
        <f aca="false">IF(F17="","",IF(G17&lt;&gt;"",G17,IF(E17="JPY",IF(ISNUMBER($L$1),ROUND(F17/$L$1,2),"レート未入力"),F17)))</f>
        <v/>
      </c>
      <c r="I17" s="13"/>
      <c r="J17" s="22" t="str">
        <f aca="false">IF(A17="","",IF(A17&lt;DATE(2025,4,6),"2024/25",IF(A17&lt;DATE(2026,4,6),"2025/26",IF(A17&lt;DATE(2027,4,6),"2026/27","2027/28"))))</f>
        <v/>
      </c>
      <c r="N17" s="13"/>
    </row>
    <row r="18" customFormat="false" ht="15" hidden="false" customHeight="false" outlineLevel="0" collapsed="false">
      <c r="A18" s="31"/>
      <c r="B18" s="13"/>
      <c r="C18" s="13"/>
      <c r="D18" s="32"/>
      <c r="E18" s="32"/>
      <c r="F18" s="14"/>
      <c r="G18" s="23"/>
      <c r="H18" s="16" t="str">
        <f aca="false">IF(F18="","",IF(G18&lt;&gt;"",G18,IF(E18="JPY",IF(ISNUMBER($L$1),ROUND(F18/$L$1,2),"レート未入力"),F18)))</f>
        <v/>
      </c>
      <c r="I18" s="13"/>
      <c r="J18" s="22" t="str">
        <f aca="false">IF(A18="","",IF(A18&lt;DATE(2025,4,6),"2024/25",IF(A18&lt;DATE(2026,4,6),"2025/26",IF(A18&lt;DATE(2027,4,6),"2026/27","2027/28"))))</f>
        <v/>
      </c>
      <c r="N18" s="13"/>
    </row>
    <row r="19" customFormat="false" ht="15" hidden="false" customHeight="false" outlineLevel="0" collapsed="false">
      <c r="A19" s="31"/>
      <c r="B19" s="13"/>
      <c r="C19" s="13"/>
      <c r="D19" s="32"/>
      <c r="E19" s="32"/>
      <c r="F19" s="14"/>
      <c r="G19" s="23"/>
      <c r="H19" s="16" t="str">
        <f aca="false">IF(F19="","",IF(G19&lt;&gt;"",G19,IF(E19="JPY",IF(ISNUMBER($L$1),ROUND(F19/$L$1,2),"レート未入力"),F19)))</f>
        <v/>
      </c>
      <c r="I19" s="13"/>
      <c r="J19" s="22" t="str">
        <f aca="false">IF(A19="","",IF(A19&lt;DATE(2025,4,6),"2024/25",IF(A19&lt;DATE(2026,4,6),"2025/26",IF(A19&lt;DATE(2027,4,6),"2026/27","2027/28"))))</f>
        <v/>
      </c>
      <c r="N19" s="13"/>
    </row>
    <row r="20" customFormat="false" ht="15" hidden="false" customHeight="false" outlineLevel="0" collapsed="false">
      <c r="A20" s="31"/>
      <c r="B20" s="13"/>
      <c r="C20" s="13"/>
      <c r="D20" s="32"/>
      <c r="E20" s="32"/>
      <c r="F20" s="14"/>
      <c r="G20" s="23"/>
      <c r="H20" s="16" t="str">
        <f aca="false">IF(F20="","",IF(G20&lt;&gt;"",G20,IF(E20="JPY",IF(ISNUMBER($L$1),ROUND(F20/$L$1,2),"レート未入力"),F20)))</f>
        <v/>
      </c>
      <c r="I20" s="13"/>
      <c r="J20" s="22" t="str">
        <f aca="false">IF(A20="","",IF(A20&lt;DATE(2025,4,6),"2024/25",IF(A20&lt;DATE(2026,4,6),"2025/26",IF(A20&lt;DATE(2027,4,6),"2026/27","2027/28"))))</f>
        <v/>
      </c>
      <c r="N20" s="13"/>
    </row>
    <row r="21" customFormat="false" ht="15" hidden="false" customHeight="false" outlineLevel="0" collapsed="false">
      <c r="A21" s="31"/>
      <c r="B21" s="13"/>
      <c r="C21" s="13"/>
      <c r="D21" s="32"/>
      <c r="E21" s="32"/>
      <c r="F21" s="14"/>
      <c r="G21" s="23"/>
      <c r="H21" s="16" t="str">
        <f aca="false">IF(F21="","",IF(G21&lt;&gt;"",G21,IF(E21="JPY",IF(ISNUMBER($L$1),ROUND(F21/$L$1,2),"レート未入力"),F21)))</f>
        <v/>
      </c>
      <c r="I21" s="13"/>
      <c r="J21" s="22" t="str">
        <f aca="false">IF(A21="","",IF(A21&lt;DATE(2025,4,6),"2024/25",IF(A21&lt;DATE(2026,4,6),"2025/26",IF(A21&lt;DATE(2027,4,6),"2026/27","2027/28"))))</f>
        <v/>
      </c>
      <c r="N21" s="13"/>
    </row>
    <row r="22" customFormat="false" ht="15" hidden="false" customHeight="false" outlineLevel="0" collapsed="false">
      <c r="A22" s="31"/>
      <c r="B22" s="13"/>
      <c r="C22" s="13"/>
      <c r="D22" s="32"/>
      <c r="E22" s="32"/>
      <c r="F22" s="14"/>
      <c r="G22" s="23"/>
      <c r="H22" s="16" t="str">
        <f aca="false">IF(F22="","",IF(G22&lt;&gt;"",G22,IF(E22="JPY",IF(ISNUMBER($L$1),ROUND(F22/$L$1,2),"レート未入力"),F22)))</f>
        <v/>
      </c>
      <c r="I22" s="13"/>
      <c r="J22" s="22" t="str">
        <f aca="false">IF(A22="","",IF(A22&lt;DATE(2025,4,6),"2024/25",IF(A22&lt;DATE(2026,4,6),"2025/26",IF(A22&lt;DATE(2027,4,6),"2026/27","2027/28"))))</f>
        <v/>
      </c>
      <c r="N22" s="13"/>
    </row>
    <row r="23" customFormat="false" ht="15" hidden="false" customHeight="false" outlineLevel="0" collapsed="false">
      <c r="A23" s="31"/>
      <c r="B23" s="13"/>
      <c r="C23" s="13"/>
      <c r="D23" s="32"/>
      <c r="E23" s="32"/>
      <c r="F23" s="14"/>
      <c r="G23" s="23"/>
      <c r="H23" s="16" t="str">
        <f aca="false">IF(F23="","",IF(G23&lt;&gt;"",G23,IF(E23="JPY",IF(ISNUMBER($L$1),ROUND(F23/$L$1,2),"レート未入力"),F23)))</f>
        <v/>
      </c>
      <c r="I23" s="13"/>
      <c r="J23" s="22" t="str">
        <f aca="false">IF(A23="","",IF(A23&lt;DATE(2025,4,6),"2024/25",IF(A23&lt;DATE(2026,4,6),"2025/26",IF(A23&lt;DATE(2027,4,6),"2026/27","2027/28"))))</f>
        <v/>
      </c>
      <c r="N23" s="13"/>
    </row>
    <row r="24" customFormat="false" ht="15" hidden="false" customHeight="false" outlineLevel="0" collapsed="false">
      <c r="A24" s="31"/>
      <c r="B24" s="13"/>
      <c r="C24" s="13"/>
      <c r="D24" s="32"/>
      <c r="E24" s="32"/>
      <c r="F24" s="14"/>
      <c r="G24" s="23"/>
      <c r="H24" s="16" t="str">
        <f aca="false">IF(F24="","",IF(G24&lt;&gt;"",G24,IF(E24="JPY",IF(ISNUMBER($L$1),ROUND(F24/$L$1,2),"レート未入力"),F24)))</f>
        <v/>
      </c>
      <c r="I24" s="13"/>
      <c r="J24" s="22" t="str">
        <f aca="false">IF(A24="","",IF(A24&lt;DATE(2025,4,6),"2024/25",IF(A24&lt;DATE(2026,4,6),"2025/26",IF(A24&lt;DATE(2027,4,6),"2026/27","2027/28"))))</f>
        <v/>
      </c>
      <c r="N24" s="13"/>
    </row>
    <row r="25" customFormat="false" ht="15" hidden="false" customHeight="false" outlineLevel="0" collapsed="false">
      <c r="A25" s="31"/>
      <c r="B25" s="13"/>
      <c r="C25" s="13"/>
      <c r="D25" s="32"/>
      <c r="E25" s="32"/>
      <c r="F25" s="14"/>
      <c r="G25" s="23"/>
      <c r="H25" s="16" t="str">
        <f aca="false">IF(F25="","",IF(G25&lt;&gt;"",G25,IF(E25="JPY",IF(ISNUMBER($L$1),ROUND(F25/$L$1,2),"レート未入力"),F25)))</f>
        <v/>
      </c>
      <c r="I25" s="13"/>
      <c r="J25" s="22" t="str">
        <f aca="false">IF(A25="","",IF(A25&lt;DATE(2025,4,6),"2024/25",IF(A25&lt;DATE(2026,4,6),"2025/26",IF(A25&lt;DATE(2027,4,6),"2026/27","2027/28"))))</f>
        <v/>
      </c>
      <c r="N25" s="13"/>
    </row>
    <row r="26" customFormat="false" ht="15" hidden="false" customHeight="false" outlineLevel="0" collapsed="false">
      <c r="A26" s="3" t="s">
        <v>183</v>
      </c>
      <c r="H26" s="18" t="n">
        <f aca="false">SUM(H6:H25)</f>
        <v>0</v>
      </c>
    </row>
    <row r="28" customFormat="false" ht="15" hidden="false" customHeight="false" outlineLevel="0" collapsed="false">
      <c r="A28" s="26" t="s">
        <v>184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</row>
    <row r="29" customFormat="false" ht="30" hidden="false" customHeight="true" outlineLevel="0" collapsed="false">
      <c r="A29" s="9" t="s">
        <v>167</v>
      </c>
      <c r="B29" s="9" t="s">
        <v>185</v>
      </c>
      <c r="C29" s="9" t="s">
        <v>169</v>
      </c>
      <c r="D29" s="9" t="s">
        <v>38</v>
      </c>
      <c r="E29" s="9" t="s">
        <v>171</v>
      </c>
      <c r="F29" s="9" t="s">
        <v>172</v>
      </c>
      <c r="G29" s="9" t="s">
        <v>173</v>
      </c>
      <c r="H29" s="10" t="s">
        <v>186</v>
      </c>
      <c r="I29" s="9" t="s">
        <v>187</v>
      </c>
      <c r="J29" s="9" t="s">
        <v>188</v>
      </c>
      <c r="K29" s="9" t="s">
        <v>189</v>
      </c>
      <c r="L29" s="9" t="s">
        <v>176</v>
      </c>
      <c r="M29" s="9"/>
      <c r="N29" s="9" t="s">
        <v>177</v>
      </c>
    </row>
    <row r="30" customFormat="false" ht="15" hidden="false" customHeight="false" outlineLevel="0" collapsed="false">
      <c r="A30" s="31"/>
      <c r="B30" s="13"/>
      <c r="C30" s="13"/>
      <c r="D30" s="32"/>
      <c r="E30" s="32"/>
      <c r="F30" s="14"/>
      <c r="G30" s="23"/>
      <c r="H30" s="16" t="str">
        <f aca="false">IF(F30="","",IF(G30&lt;&gt;"",G30,IF(E30="JPY",IF(ISNUMBER($L$1),ROUND(F30/$L$1,2),"レート未入力"),F30)))</f>
        <v/>
      </c>
      <c r="I30" s="33"/>
      <c r="J30" s="16" t="str">
        <f aca="false">IF(ISNUMBER(H30),ROUND(H30*IF(I30="",1,I30),2),"")</f>
        <v/>
      </c>
      <c r="K30" s="35"/>
      <c r="L30" s="22" t="str">
        <f aca="false">IF(A30="","",IF(A30&lt;DATE(2025,4,6),"2024/25",IF(A30&lt;DATE(2026,4,6),"2025/26",IF(A30&lt;DATE(2027,4,6),"2026/27","2027/28"))))</f>
        <v/>
      </c>
      <c r="N30" s="13"/>
    </row>
    <row r="31" customFormat="false" ht="15" hidden="false" customHeight="false" outlineLevel="0" collapsed="false">
      <c r="A31" s="31"/>
      <c r="B31" s="13"/>
      <c r="C31" s="13"/>
      <c r="D31" s="32"/>
      <c r="E31" s="32"/>
      <c r="F31" s="14"/>
      <c r="G31" s="23"/>
      <c r="H31" s="16" t="str">
        <f aca="false">IF(F31="","",IF(G31&lt;&gt;"",G31,IF(E31="JPY",IF(ISNUMBER($L$1),ROUND(F31/$L$1,2),"レート未入力"),F31)))</f>
        <v/>
      </c>
      <c r="I31" s="33"/>
      <c r="J31" s="16" t="str">
        <f aca="false">IF(ISNUMBER(H31),ROUND(H31*IF(I31="",1,I31),2),"")</f>
        <v/>
      </c>
      <c r="K31" s="35"/>
      <c r="L31" s="22" t="str">
        <f aca="false">IF(A31="","",IF(A31&lt;DATE(2025,4,6),"2024/25",IF(A31&lt;DATE(2026,4,6),"2025/26",IF(A31&lt;DATE(2027,4,6),"2026/27","2027/28"))))</f>
        <v/>
      </c>
      <c r="N31" s="13"/>
    </row>
    <row r="32" customFormat="false" ht="15" hidden="false" customHeight="false" outlineLevel="0" collapsed="false">
      <c r="A32" s="31"/>
      <c r="B32" s="13"/>
      <c r="C32" s="13"/>
      <c r="D32" s="32"/>
      <c r="E32" s="32"/>
      <c r="F32" s="14"/>
      <c r="G32" s="23"/>
      <c r="H32" s="16" t="str">
        <f aca="false">IF(F32="","",IF(G32&lt;&gt;"",G32,IF(E32="JPY",IF(ISNUMBER($L$1),ROUND(F32/$L$1,2),"レート未入力"),F32)))</f>
        <v/>
      </c>
      <c r="I32" s="33"/>
      <c r="J32" s="16" t="str">
        <f aca="false">IF(ISNUMBER(H32),ROUND(H32*IF(I32="",1,I32),2),"")</f>
        <v/>
      </c>
      <c r="K32" s="35"/>
      <c r="L32" s="22" t="str">
        <f aca="false">IF(A32="","",IF(A32&lt;DATE(2025,4,6),"2024/25",IF(A32&lt;DATE(2026,4,6),"2025/26",IF(A32&lt;DATE(2027,4,6),"2026/27","2027/28"))))</f>
        <v/>
      </c>
      <c r="N32" s="13"/>
    </row>
    <row r="33" customFormat="false" ht="15" hidden="false" customHeight="false" outlineLevel="0" collapsed="false">
      <c r="A33" s="31"/>
      <c r="B33" s="13"/>
      <c r="C33" s="13"/>
      <c r="D33" s="32"/>
      <c r="E33" s="32"/>
      <c r="F33" s="14"/>
      <c r="G33" s="23"/>
      <c r="H33" s="16" t="str">
        <f aca="false">IF(F33="","",IF(G33&lt;&gt;"",G33,IF(E33="JPY",IF(ISNUMBER($L$1),ROUND(F33/$L$1,2),"レート未入力"),F33)))</f>
        <v/>
      </c>
      <c r="I33" s="33"/>
      <c r="J33" s="16" t="str">
        <f aca="false">IF(ISNUMBER(H33),ROUND(H33*IF(I33="",1,I33),2),"")</f>
        <v/>
      </c>
      <c r="K33" s="35"/>
      <c r="L33" s="22" t="str">
        <f aca="false">IF(A33="","",IF(A33&lt;DATE(2025,4,6),"2024/25",IF(A33&lt;DATE(2026,4,6),"2025/26",IF(A33&lt;DATE(2027,4,6),"2026/27","2027/28"))))</f>
        <v/>
      </c>
      <c r="N33" s="13"/>
    </row>
    <row r="34" customFormat="false" ht="15" hidden="false" customHeight="false" outlineLevel="0" collapsed="false">
      <c r="A34" s="31"/>
      <c r="B34" s="13"/>
      <c r="C34" s="13"/>
      <c r="D34" s="32"/>
      <c r="E34" s="32"/>
      <c r="F34" s="14"/>
      <c r="G34" s="23"/>
      <c r="H34" s="16" t="str">
        <f aca="false">IF(F34="","",IF(G34&lt;&gt;"",G34,IF(E34="JPY",IF(ISNUMBER($L$1),ROUND(F34/$L$1,2),"レート未入力"),F34)))</f>
        <v/>
      </c>
      <c r="I34" s="33"/>
      <c r="J34" s="16" t="str">
        <f aca="false">IF(ISNUMBER(H34),ROUND(H34*IF(I34="",1,I34),2),"")</f>
        <v/>
      </c>
      <c r="K34" s="35"/>
      <c r="L34" s="22" t="str">
        <f aca="false">IF(A34="","",IF(A34&lt;DATE(2025,4,6),"2024/25",IF(A34&lt;DATE(2026,4,6),"2025/26",IF(A34&lt;DATE(2027,4,6),"2026/27","2027/28"))))</f>
        <v/>
      </c>
      <c r="N34" s="13"/>
    </row>
    <row r="35" customFormat="false" ht="15" hidden="false" customHeight="false" outlineLevel="0" collapsed="false">
      <c r="A35" s="31"/>
      <c r="B35" s="13"/>
      <c r="C35" s="13"/>
      <c r="D35" s="32"/>
      <c r="E35" s="32"/>
      <c r="F35" s="14"/>
      <c r="G35" s="23"/>
      <c r="H35" s="16" t="str">
        <f aca="false">IF(F35="","",IF(G35&lt;&gt;"",G35,IF(E35="JPY",IF(ISNUMBER($L$1),ROUND(F35/$L$1,2),"レート未入力"),F35)))</f>
        <v/>
      </c>
      <c r="I35" s="33"/>
      <c r="J35" s="16" t="str">
        <f aca="false">IF(ISNUMBER(H35),ROUND(H35*IF(I35="",1,I35),2),"")</f>
        <v/>
      </c>
      <c r="K35" s="35"/>
      <c r="L35" s="22" t="str">
        <f aca="false">IF(A35="","",IF(A35&lt;DATE(2025,4,6),"2024/25",IF(A35&lt;DATE(2026,4,6),"2025/26",IF(A35&lt;DATE(2027,4,6),"2026/27","2027/28"))))</f>
        <v/>
      </c>
      <c r="N35" s="13"/>
    </row>
    <row r="36" customFormat="false" ht="15" hidden="false" customHeight="false" outlineLevel="0" collapsed="false">
      <c r="A36" s="31"/>
      <c r="B36" s="13"/>
      <c r="C36" s="13"/>
      <c r="D36" s="32"/>
      <c r="E36" s="32"/>
      <c r="F36" s="14"/>
      <c r="G36" s="23"/>
      <c r="H36" s="16" t="str">
        <f aca="false">IF(F36="","",IF(G36&lt;&gt;"",G36,IF(E36="JPY",IF(ISNUMBER($L$1),ROUND(F36/$L$1,2),"レート未入力"),F36)))</f>
        <v/>
      </c>
      <c r="I36" s="33"/>
      <c r="J36" s="16" t="str">
        <f aca="false">IF(ISNUMBER(H36),ROUND(H36*IF(I36="",1,I36),2),"")</f>
        <v/>
      </c>
      <c r="K36" s="35"/>
      <c r="L36" s="22" t="str">
        <f aca="false">IF(A36="","",IF(A36&lt;DATE(2025,4,6),"2024/25",IF(A36&lt;DATE(2026,4,6),"2025/26",IF(A36&lt;DATE(2027,4,6),"2026/27","2027/28"))))</f>
        <v/>
      </c>
      <c r="N36" s="13"/>
    </row>
    <row r="37" customFormat="false" ht="15" hidden="false" customHeight="false" outlineLevel="0" collapsed="false">
      <c r="A37" s="31"/>
      <c r="B37" s="13"/>
      <c r="C37" s="13"/>
      <c r="D37" s="32"/>
      <c r="E37" s="32"/>
      <c r="F37" s="14"/>
      <c r="G37" s="23"/>
      <c r="H37" s="16" t="str">
        <f aca="false">IF(F37="","",IF(G37&lt;&gt;"",G37,IF(E37="JPY",IF(ISNUMBER($L$1),ROUND(F37/$L$1,2),"レート未入力"),F37)))</f>
        <v/>
      </c>
      <c r="I37" s="33"/>
      <c r="J37" s="16" t="str">
        <f aca="false">IF(ISNUMBER(H37),ROUND(H37*IF(I37="",1,I37),2),"")</f>
        <v/>
      </c>
      <c r="K37" s="35"/>
      <c r="L37" s="22" t="str">
        <f aca="false">IF(A37="","",IF(A37&lt;DATE(2025,4,6),"2024/25",IF(A37&lt;DATE(2026,4,6),"2025/26",IF(A37&lt;DATE(2027,4,6),"2026/27","2027/28"))))</f>
        <v/>
      </c>
      <c r="N37" s="13"/>
    </row>
    <row r="38" customFormat="false" ht="15" hidden="false" customHeight="false" outlineLevel="0" collapsed="false">
      <c r="A38" s="31"/>
      <c r="B38" s="13"/>
      <c r="C38" s="13"/>
      <c r="D38" s="32"/>
      <c r="E38" s="32"/>
      <c r="F38" s="14"/>
      <c r="G38" s="23"/>
      <c r="H38" s="16" t="str">
        <f aca="false">IF(F38="","",IF(G38&lt;&gt;"",G38,IF(E38="JPY",IF(ISNUMBER($L$1),ROUND(F38/$L$1,2),"レート未入力"),F38)))</f>
        <v/>
      </c>
      <c r="I38" s="33"/>
      <c r="J38" s="16" t="str">
        <f aca="false">IF(ISNUMBER(H38),ROUND(H38*IF(I38="",1,I38),2),"")</f>
        <v/>
      </c>
      <c r="K38" s="35"/>
      <c r="L38" s="22" t="str">
        <f aca="false">IF(A38="","",IF(A38&lt;DATE(2025,4,6),"2024/25",IF(A38&lt;DATE(2026,4,6),"2025/26",IF(A38&lt;DATE(2027,4,6),"2026/27","2027/28"))))</f>
        <v/>
      </c>
      <c r="N38" s="13"/>
    </row>
    <row r="39" customFormat="false" ht="15" hidden="false" customHeight="false" outlineLevel="0" collapsed="false">
      <c r="A39" s="31"/>
      <c r="B39" s="13"/>
      <c r="C39" s="13"/>
      <c r="D39" s="32"/>
      <c r="E39" s="32"/>
      <c r="F39" s="14"/>
      <c r="G39" s="23"/>
      <c r="H39" s="16" t="str">
        <f aca="false">IF(F39="","",IF(G39&lt;&gt;"",G39,IF(E39="JPY",IF(ISNUMBER($L$1),ROUND(F39/$L$1,2),"レート未入力"),F39)))</f>
        <v/>
      </c>
      <c r="I39" s="33"/>
      <c r="J39" s="16" t="str">
        <f aca="false">IF(ISNUMBER(H39),ROUND(H39*IF(I39="",1,I39),2),"")</f>
        <v/>
      </c>
      <c r="K39" s="35"/>
      <c r="L39" s="22" t="str">
        <f aca="false">IF(A39="","",IF(A39&lt;DATE(2025,4,6),"2024/25",IF(A39&lt;DATE(2026,4,6),"2025/26",IF(A39&lt;DATE(2027,4,6),"2026/27","2027/28"))))</f>
        <v/>
      </c>
      <c r="N39" s="13"/>
    </row>
    <row r="40" customFormat="false" ht="15" hidden="false" customHeight="false" outlineLevel="0" collapsed="false">
      <c r="A40" s="31"/>
      <c r="B40" s="13"/>
      <c r="C40" s="13"/>
      <c r="D40" s="32"/>
      <c r="E40" s="32"/>
      <c r="F40" s="14"/>
      <c r="G40" s="23"/>
      <c r="H40" s="16" t="str">
        <f aca="false">IF(F40="","",IF(G40&lt;&gt;"",G40,IF(E40="JPY",IF(ISNUMBER($L$1),ROUND(F40/$L$1,2),"レート未入力"),F40)))</f>
        <v/>
      </c>
      <c r="I40" s="33"/>
      <c r="J40" s="16" t="str">
        <f aca="false">IF(ISNUMBER(H40),ROUND(H40*IF(I40="",1,I40),2),"")</f>
        <v/>
      </c>
      <c r="K40" s="35"/>
      <c r="L40" s="22" t="str">
        <f aca="false">IF(A40="","",IF(A40&lt;DATE(2025,4,6),"2024/25",IF(A40&lt;DATE(2026,4,6),"2025/26",IF(A40&lt;DATE(2027,4,6),"2026/27","2027/28"))))</f>
        <v/>
      </c>
      <c r="N40" s="13"/>
    </row>
    <row r="41" customFormat="false" ht="15" hidden="false" customHeight="false" outlineLevel="0" collapsed="false">
      <c r="A41" s="31"/>
      <c r="B41" s="13"/>
      <c r="C41" s="13"/>
      <c r="D41" s="32"/>
      <c r="E41" s="32"/>
      <c r="F41" s="14"/>
      <c r="G41" s="23"/>
      <c r="H41" s="16" t="str">
        <f aca="false">IF(F41="","",IF(G41&lt;&gt;"",G41,IF(E41="JPY",IF(ISNUMBER($L$1),ROUND(F41/$L$1,2),"レート未入力"),F41)))</f>
        <v/>
      </c>
      <c r="I41" s="33"/>
      <c r="J41" s="16" t="str">
        <f aca="false">IF(ISNUMBER(H41),ROUND(H41*IF(I41="",1,I41),2),"")</f>
        <v/>
      </c>
      <c r="K41" s="35"/>
      <c r="L41" s="22" t="str">
        <f aca="false">IF(A41="","",IF(A41&lt;DATE(2025,4,6),"2024/25",IF(A41&lt;DATE(2026,4,6),"2025/26",IF(A41&lt;DATE(2027,4,6),"2026/27","2027/28"))))</f>
        <v/>
      </c>
      <c r="N41" s="13"/>
    </row>
    <row r="42" customFormat="false" ht="15" hidden="false" customHeight="false" outlineLevel="0" collapsed="false">
      <c r="A42" s="31"/>
      <c r="B42" s="13"/>
      <c r="C42" s="13"/>
      <c r="D42" s="32"/>
      <c r="E42" s="32"/>
      <c r="F42" s="14"/>
      <c r="G42" s="23"/>
      <c r="H42" s="16" t="str">
        <f aca="false">IF(F42="","",IF(G42&lt;&gt;"",G42,IF(E42="JPY",IF(ISNUMBER($L$1),ROUND(F42/$L$1,2),"レート未入力"),F42)))</f>
        <v/>
      </c>
      <c r="I42" s="33"/>
      <c r="J42" s="16" t="str">
        <f aca="false">IF(ISNUMBER(H42),ROUND(H42*IF(I42="",1,I42),2),"")</f>
        <v/>
      </c>
      <c r="K42" s="35"/>
      <c r="L42" s="22" t="str">
        <f aca="false">IF(A42="","",IF(A42&lt;DATE(2025,4,6),"2024/25",IF(A42&lt;DATE(2026,4,6),"2025/26",IF(A42&lt;DATE(2027,4,6),"2026/27","2027/28"))))</f>
        <v/>
      </c>
      <c r="N42" s="13"/>
    </row>
    <row r="43" customFormat="false" ht="15" hidden="false" customHeight="false" outlineLevel="0" collapsed="false">
      <c r="A43" s="31"/>
      <c r="B43" s="13"/>
      <c r="C43" s="13"/>
      <c r="D43" s="32"/>
      <c r="E43" s="32"/>
      <c r="F43" s="14"/>
      <c r="G43" s="23"/>
      <c r="H43" s="16" t="str">
        <f aca="false">IF(F43="","",IF(G43&lt;&gt;"",G43,IF(E43="JPY",IF(ISNUMBER($L$1),ROUND(F43/$L$1,2),"レート未入力"),F43)))</f>
        <v/>
      </c>
      <c r="I43" s="33"/>
      <c r="J43" s="16" t="str">
        <f aca="false">IF(ISNUMBER(H43),ROUND(H43*IF(I43="",1,I43),2),"")</f>
        <v/>
      </c>
      <c r="K43" s="35"/>
      <c r="L43" s="22" t="str">
        <f aca="false">IF(A43="","",IF(A43&lt;DATE(2025,4,6),"2024/25",IF(A43&lt;DATE(2026,4,6),"2025/26",IF(A43&lt;DATE(2027,4,6),"2026/27","2027/28"))))</f>
        <v/>
      </c>
      <c r="N43" s="13"/>
    </row>
    <row r="44" customFormat="false" ht="15" hidden="false" customHeight="false" outlineLevel="0" collapsed="false">
      <c r="A44" s="31"/>
      <c r="B44" s="13"/>
      <c r="C44" s="13"/>
      <c r="D44" s="32"/>
      <c r="E44" s="32"/>
      <c r="F44" s="14"/>
      <c r="G44" s="23"/>
      <c r="H44" s="16" t="str">
        <f aca="false">IF(F44="","",IF(G44&lt;&gt;"",G44,IF(E44="JPY",IF(ISNUMBER($L$1),ROUND(F44/$L$1,2),"レート未入力"),F44)))</f>
        <v/>
      </c>
      <c r="I44" s="33"/>
      <c r="J44" s="16" t="str">
        <f aca="false">IF(ISNUMBER(H44),ROUND(H44*IF(I44="",1,I44),2),"")</f>
        <v/>
      </c>
      <c r="K44" s="35"/>
      <c r="L44" s="22" t="str">
        <f aca="false">IF(A44="","",IF(A44&lt;DATE(2025,4,6),"2024/25",IF(A44&lt;DATE(2026,4,6),"2025/26",IF(A44&lt;DATE(2027,4,6),"2026/27","2027/28"))))</f>
        <v/>
      </c>
      <c r="N44" s="13"/>
    </row>
    <row r="45" customFormat="false" ht="15" hidden="false" customHeight="false" outlineLevel="0" collapsed="false">
      <c r="A45" s="31"/>
      <c r="B45" s="13"/>
      <c r="C45" s="13"/>
      <c r="D45" s="32"/>
      <c r="E45" s="32"/>
      <c r="F45" s="14"/>
      <c r="G45" s="23"/>
      <c r="H45" s="16" t="str">
        <f aca="false">IF(F45="","",IF(G45&lt;&gt;"",G45,IF(E45="JPY",IF(ISNUMBER($L$1),ROUND(F45/$L$1,2),"レート未入力"),F45)))</f>
        <v/>
      </c>
      <c r="I45" s="33"/>
      <c r="J45" s="16" t="str">
        <f aca="false">IF(ISNUMBER(H45),ROUND(H45*IF(I45="",1,I45),2),"")</f>
        <v/>
      </c>
      <c r="K45" s="35"/>
      <c r="L45" s="22" t="str">
        <f aca="false">IF(A45="","",IF(A45&lt;DATE(2025,4,6),"2024/25",IF(A45&lt;DATE(2026,4,6),"2025/26",IF(A45&lt;DATE(2027,4,6),"2026/27","2027/28"))))</f>
        <v/>
      </c>
      <c r="N45" s="13"/>
    </row>
    <row r="46" customFormat="false" ht="15" hidden="false" customHeight="false" outlineLevel="0" collapsed="false">
      <c r="A46" s="31"/>
      <c r="B46" s="13"/>
      <c r="C46" s="13"/>
      <c r="D46" s="32"/>
      <c r="E46" s="32"/>
      <c r="F46" s="14"/>
      <c r="G46" s="23"/>
      <c r="H46" s="16" t="str">
        <f aca="false">IF(F46="","",IF(G46&lt;&gt;"",G46,IF(E46="JPY",IF(ISNUMBER($L$1),ROUND(F46/$L$1,2),"レート未入力"),F46)))</f>
        <v/>
      </c>
      <c r="I46" s="33"/>
      <c r="J46" s="16" t="str">
        <f aca="false">IF(ISNUMBER(H46),ROUND(H46*IF(I46="",1,I46),2),"")</f>
        <v/>
      </c>
      <c r="K46" s="35"/>
      <c r="L46" s="22" t="str">
        <f aca="false">IF(A46="","",IF(A46&lt;DATE(2025,4,6),"2024/25",IF(A46&lt;DATE(2026,4,6),"2025/26",IF(A46&lt;DATE(2027,4,6),"2026/27","2027/28"))))</f>
        <v/>
      </c>
      <c r="N46" s="13"/>
    </row>
    <row r="47" customFormat="false" ht="15" hidden="false" customHeight="false" outlineLevel="0" collapsed="false">
      <c r="A47" s="31"/>
      <c r="B47" s="13"/>
      <c r="C47" s="13"/>
      <c r="D47" s="32"/>
      <c r="E47" s="32"/>
      <c r="F47" s="14"/>
      <c r="G47" s="23"/>
      <c r="H47" s="16" t="str">
        <f aca="false">IF(F47="","",IF(G47&lt;&gt;"",G47,IF(E47="JPY",IF(ISNUMBER($L$1),ROUND(F47/$L$1,2),"レート未入力"),F47)))</f>
        <v/>
      </c>
      <c r="I47" s="33"/>
      <c r="J47" s="16" t="str">
        <f aca="false">IF(ISNUMBER(H47),ROUND(H47*IF(I47="",1,I47),2),"")</f>
        <v/>
      </c>
      <c r="K47" s="35"/>
      <c r="L47" s="22" t="str">
        <f aca="false">IF(A47="","",IF(A47&lt;DATE(2025,4,6),"2024/25",IF(A47&lt;DATE(2026,4,6),"2025/26",IF(A47&lt;DATE(2027,4,6),"2026/27","2027/28"))))</f>
        <v/>
      </c>
      <c r="N47" s="13"/>
    </row>
    <row r="48" customFormat="false" ht="15" hidden="false" customHeight="false" outlineLevel="0" collapsed="false">
      <c r="A48" s="31"/>
      <c r="B48" s="13"/>
      <c r="C48" s="13"/>
      <c r="D48" s="32"/>
      <c r="E48" s="32"/>
      <c r="F48" s="14"/>
      <c r="G48" s="23"/>
      <c r="H48" s="16" t="str">
        <f aca="false">IF(F48="","",IF(G48&lt;&gt;"",G48,IF(E48="JPY",IF(ISNUMBER($L$1),ROUND(F48/$L$1,2),"レート未入力"),F48)))</f>
        <v/>
      </c>
      <c r="I48" s="33"/>
      <c r="J48" s="16" t="str">
        <f aca="false">IF(ISNUMBER(H48),ROUND(H48*IF(I48="",1,I48),2),"")</f>
        <v/>
      </c>
      <c r="K48" s="35"/>
      <c r="L48" s="22" t="str">
        <f aca="false">IF(A48="","",IF(A48&lt;DATE(2025,4,6),"2024/25",IF(A48&lt;DATE(2026,4,6),"2025/26",IF(A48&lt;DATE(2027,4,6),"2026/27","2027/28"))))</f>
        <v/>
      </c>
      <c r="N48" s="13"/>
    </row>
    <row r="49" customFormat="false" ht="15" hidden="false" customHeight="false" outlineLevel="0" collapsed="false">
      <c r="A49" s="31"/>
      <c r="B49" s="13"/>
      <c r="C49" s="13"/>
      <c r="D49" s="32"/>
      <c r="E49" s="32"/>
      <c r="F49" s="14"/>
      <c r="G49" s="23"/>
      <c r="H49" s="16" t="str">
        <f aca="false">IF(F49="","",IF(G49&lt;&gt;"",G49,IF(E49="JPY",IF(ISNUMBER($L$1),ROUND(F49/$L$1,2),"レート未入力"),F49)))</f>
        <v/>
      </c>
      <c r="I49" s="33"/>
      <c r="J49" s="16" t="str">
        <f aca="false">IF(ISNUMBER(H49),ROUND(H49*IF(I49="",1,I49),2),"")</f>
        <v/>
      </c>
      <c r="K49" s="35"/>
      <c r="L49" s="22" t="str">
        <f aca="false">IF(A49="","",IF(A49&lt;DATE(2025,4,6),"2024/25",IF(A49&lt;DATE(2026,4,6),"2025/26",IF(A49&lt;DATE(2027,4,6),"2026/27","2027/28"))))</f>
        <v/>
      </c>
      <c r="N49" s="13"/>
    </row>
    <row r="50" customFormat="false" ht="15" hidden="false" customHeight="false" outlineLevel="0" collapsed="false">
      <c r="A50" s="31"/>
      <c r="B50" s="13"/>
      <c r="C50" s="13"/>
      <c r="D50" s="32"/>
      <c r="E50" s="32"/>
      <c r="F50" s="14"/>
      <c r="G50" s="23"/>
      <c r="H50" s="16" t="str">
        <f aca="false">IF(F50="","",IF(G50&lt;&gt;"",G50,IF(E50="JPY",IF(ISNUMBER($L$1),ROUND(F50/$L$1,2),"レート未入力"),F50)))</f>
        <v/>
      </c>
      <c r="I50" s="33"/>
      <c r="J50" s="16" t="str">
        <f aca="false">IF(ISNUMBER(H50),ROUND(H50*IF(I50="",1,I50),2),"")</f>
        <v/>
      </c>
      <c r="K50" s="35"/>
      <c r="L50" s="22" t="str">
        <f aca="false">IF(A50="","",IF(A50&lt;DATE(2025,4,6),"2024/25",IF(A50&lt;DATE(2026,4,6),"2025/26",IF(A50&lt;DATE(2027,4,6),"2026/27","2027/28"))))</f>
        <v/>
      </c>
      <c r="N50" s="13"/>
    </row>
    <row r="51" customFormat="false" ht="15" hidden="false" customHeight="false" outlineLevel="0" collapsed="false">
      <c r="A51" s="31"/>
      <c r="B51" s="13"/>
      <c r="C51" s="13"/>
      <c r="D51" s="32"/>
      <c r="E51" s="32"/>
      <c r="F51" s="14"/>
      <c r="G51" s="23"/>
      <c r="H51" s="16" t="str">
        <f aca="false">IF(F51="","",IF(G51&lt;&gt;"",G51,IF(E51="JPY",IF(ISNUMBER($L$1),ROUND(F51/$L$1,2),"レート未入力"),F51)))</f>
        <v/>
      </c>
      <c r="I51" s="33"/>
      <c r="J51" s="16" t="str">
        <f aca="false">IF(ISNUMBER(H51),ROUND(H51*IF(I51="",1,I51),2),"")</f>
        <v/>
      </c>
      <c r="K51" s="35"/>
      <c r="L51" s="22" t="str">
        <f aca="false">IF(A51="","",IF(A51&lt;DATE(2025,4,6),"2024/25",IF(A51&lt;DATE(2026,4,6),"2025/26",IF(A51&lt;DATE(2027,4,6),"2026/27","2027/28"))))</f>
        <v/>
      </c>
      <c r="N51" s="13"/>
    </row>
    <row r="52" customFormat="false" ht="15" hidden="false" customHeight="false" outlineLevel="0" collapsed="false">
      <c r="A52" s="31"/>
      <c r="B52" s="13"/>
      <c r="C52" s="13"/>
      <c r="D52" s="32"/>
      <c r="E52" s="32"/>
      <c r="F52" s="14"/>
      <c r="G52" s="23"/>
      <c r="H52" s="16" t="str">
        <f aca="false">IF(F52="","",IF(G52&lt;&gt;"",G52,IF(E52="JPY",IF(ISNUMBER($L$1),ROUND(F52/$L$1,2),"レート未入力"),F52)))</f>
        <v/>
      </c>
      <c r="I52" s="33"/>
      <c r="J52" s="16" t="str">
        <f aca="false">IF(ISNUMBER(H52),ROUND(H52*IF(I52="",1,I52),2),"")</f>
        <v/>
      </c>
      <c r="K52" s="35"/>
      <c r="L52" s="22" t="str">
        <f aca="false">IF(A52="","",IF(A52&lt;DATE(2025,4,6),"2024/25",IF(A52&lt;DATE(2026,4,6),"2025/26",IF(A52&lt;DATE(2027,4,6),"2026/27","2027/28"))))</f>
        <v/>
      </c>
      <c r="N52" s="13"/>
    </row>
    <row r="53" customFormat="false" ht="15" hidden="false" customHeight="false" outlineLevel="0" collapsed="false">
      <c r="A53" s="31"/>
      <c r="B53" s="13"/>
      <c r="C53" s="13"/>
      <c r="D53" s="32"/>
      <c r="E53" s="32"/>
      <c r="F53" s="14"/>
      <c r="G53" s="23"/>
      <c r="H53" s="16" t="str">
        <f aca="false">IF(F53="","",IF(G53&lt;&gt;"",G53,IF(E53="JPY",IF(ISNUMBER($L$1),ROUND(F53/$L$1,2),"レート未入力"),F53)))</f>
        <v/>
      </c>
      <c r="I53" s="33"/>
      <c r="J53" s="16" t="str">
        <f aca="false">IF(ISNUMBER(H53),ROUND(H53*IF(I53="",1,I53),2),"")</f>
        <v/>
      </c>
      <c r="K53" s="35"/>
      <c r="L53" s="22" t="str">
        <f aca="false">IF(A53="","",IF(A53&lt;DATE(2025,4,6),"2024/25",IF(A53&lt;DATE(2026,4,6),"2025/26",IF(A53&lt;DATE(2027,4,6),"2026/27","2027/28"))))</f>
        <v/>
      </c>
      <c r="N53" s="13"/>
    </row>
    <row r="54" customFormat="false" ht="15" hidden="false" customHeight="false" outlineLevel="0" collapsed="false">
      <c r="A54" s="31"/>
      <c r="B54" s="13"/>
      <c r="C54" s="13"/>
      <c r="D54" s="32"/>
      <c r="E54" s="32"/>
      <c r="F54" s="14"/>
      <c r="G54" s="23"/>
      <c r="H54" s="16" t="str">
        <f aca="false">IF(F54="","",IF(G54&lt;&gt;"",G54,IF(E54="JPY",IF(ISNUMBER($L$1),ROUND(F54/$L$1,2),"レート未入力"),F54)))</f>
        <v/>
      </c>
      <c r="I54" s="33"/>
      <c r="J54" s="16" t="str">
        <f aca="false">IF(ISNUMBER(H54),ROUND(H54*IF(I54="",1,I54),2),"")</f>
        <v/>
      </c>
      <c r="K54" s="35"/>
      <c r="L54" s="22" t="str">
        <f aca="false">IF(A54="","",IF(A54&lt;DATE(2025,4,6),"2024/25",IF(A54&lt;DATE(2026,4,6),"2025/26",IF(A54&lt;DATE(2027,4,6),"2026/27","2027/28"))))</f>
        <v/>
      </c>
      <c r="N54" s="13"/>
    </row>
    <row r="55" customFormat="false" ht="15" hidden="false" customHeight="false" outlineLevel="0" collapsed="false">
      <c r="A55" s="31"/>
      <c r="B55" s="13"/>
      <c r="C55" s="13"/>
      <c r="D55" s="32"/>
      <c r="E55" s="32"/>
      <c r="F55" s="14"/>
      <c r="G55" s="23"/>
      <c r="H55" s="16" t="str">
        <f aca="false">IF(F55="","",IF(G55&lt;&gt;"",G55,IF(E55="JPY",IF(ISNUMBER($L$1),ROUND(F55/$L$1,2),"レート未入力"),F55)))</f>
        <v/>
      </c>
      <c r="I55" s="33"/>
      <c r="J55" s="16" t="str">
        <f aca="false">IF(ISNUMBER(H55),ROUND(H55*IF(I55="",1,I55),2),"")</f>
        <v/>
      </c>
      <c r="K55" s="35"/>
      <c r="L55" s="22" t="str">
        <f aca="false">IF(A55="","",IF(A55&lt;DATE(2025,4,6),"2024/25",IF(A55&lt;DATE(2026,4,6),"2025/26",IF(A55&lt;DATE(2027,4,6),"2026/27","2027/28"))))</f>
        <v/>
      </c>
      <c r="N55" s="13"/>
    </row>
    <row r="56" customFormat="false" ht="15" hidden="false" customHeight="false" outlineLevel="0" collapsed="false">
      <c r="A56" s="31"/>
      <c r="B56" s="13"/>
      <c r="C56" s="13"/>
      <c r="D56" s="32"/>
      <c r="E56" s="32"/>
      <c r="F56" s="14"/>
      <c r="G56" s="23"/>
      <c r="H56" s="16" t="str">
        <f aca="false">IF(F56="","",IF(G56&lt;&gt;"",G56,IF(E56="JPY",IF(ISNUMBER($L$1),ROUND(F56/$L$1,2),"レート未入力"),F56)))</f>
        <v/>
      </c>
      <c r="I56" s="33"/>
      <c r="J56" s="16" t="str">
        <f aca="false">IF(ISNUMBER(H56),ROUND(H56*IF(I56="",1,I56),2),"")</f>
        <v/>
      </c>
      <c r="K56" s="35"/>
      <c r="L56" s="22" t="str">
        <f aca="false">IF(A56="","",IF(A56&lt;DATE(2025,4,6),"2024/25",IF(A56&lt;DATE(2026,4,6),"2025/26",IF(A56&lt;DATE(2027,4,6),"2026/27","2027/28"))))</f>
        <v/>
      </c>
      <c r="N56" s="13"/>
    </row>
    <row r="57" customFormat="false" ht="15" hidden="false" customHeight="false" outlineLevel="0" collapsed="false">
      <c r="A57" s="31"/>
      <c r="B57" s="13"/>
      <c r="C57" s="13"/>
      <c r="D57" s="32"/>
      <c r="E57" s="32"/>
      <c r="F57" s="14"/>
      <c r="G57" s="23"/>
      <c r="H57" s="16" t="str">
        <f aca="false">IF(F57="","",IF(G57&lt;&gt;"",G57,IF(E57="JPY",IF(ISNUMBER($L$1),ROUND(F57/$L$1,2),"レート未入力"),F57)))</f>
        <v/>
      </c>
      <c r="I57" s="33"/>
      <c r="J57" s="16" t="str">
        <f aca="false">IF(ISNUMBER(H57),ROUND(H57*IF(I57="",1,I57),2),"")</f>
        <v/>
      </c>
      <c r="K57" s="35"/>
      <c r="L57" s="22" t="str">
        <f aca="false">IF(A57="","",IF(A57&lt;DATE(2025,4,6),"2024/25",IF(A57&lt;DATE(2026,4,6),"2025/26",IF(A57&lt;DATE(2027,4,6),"2026/27","2027/28"))))</f>
        <v/>
      </c>
      <c r="N57" s="13"/>
    </row>
    <row r="58" customFormat="false" ht="15" hidden="false" customHeight="false" outlineLevel="0" collapsed="false">
      <c r="A58" s="31"/>
      <c r="B58" s="13"/>
      <c r="C58" s="13"/>
      <c r="D58" s="32"/>
      <c r="E58" s="32"/>
      <c r="F58" s="14"/>
      <c r="G58" s="23"/>
      <c r="H58" s="16" t="str">
        <f aca="false">IF(F58="","",IF(G58&lt;&gt;"",G58,IF(E58="JPY",IF(ISNUMBER($L$1),ROUND(F58/$L$1,2),"レート未入力"),F58)))</f>
        <v/>
      </c>
      <c r="I58" s="33"/>
      <c r="J58" s="16" t="str">
        <f aca="false">IF(ISNUMBER(H58),ROUND(H58*IF(I58="",1,I58),2),"")</f>
        <v/>
      </c>
      <c r="K58" s="35"/>
      <c r="L58" s="22" t="str">
        <f aca="false">IF(A58="","",IF(A58&lt;DATE(2025,4,6),"2024/25",IF(A58&lt;DATE(2026,4,6),"2025/26",IF(A58&lt;DATE(2027,4,6),"2026/27","2027/28"))))</f>
        <v/>
      </c>
      <c r="N58" s="13"/>
    </row>
    <row r="59" customFormat="false" ht="15" hidden="false" customHeight="false" outlineLevel="0" collapsed="false">
      <c r="A59" s="31"/>
      <c r="B59" s="13"/>
      <c r="C59" s="13"/>
      <c r="D59" s="32"/>
      <c r="E59" s="32"/>
      <c r="F59" s="14"/>
      <c r="G59" s="23"/>
      <c r="H59" s="16" t="str">
        <f aca="false">IF(F59="","",IF(G59&lt;&gt;"",G59,IF(E59="JPY",IF(ISNUMBER($L$1),ROUND(F59/$L$1,2),"レート未入力"),F59)))</f>
        <v/>
      </c>
      <c r="I59" s="33"/>
      <c r="J59" s="16" t="str">
        <f aca="false">IF(ISNUMBER(H59),ROUND(H59*IF(I59="",1,I59),2),"")</f>
        <v/>
      </c>
      <c r="K59" s="35"/>
      <c r="L59" s="22" t="str">
        <f aca="false">IF(A59="","",IF(A59&lt;DATE(2025,4,6),"2024/25",IF(A59&lt;DATE(2026,4,6),"2025/26",IF(A59&lt;DATE(2027,4,6),"2026/27","2027/28"))))</f>
        <v/>
      </c>
      <c r="N59" s="13"/>
    </row>
    <row r="60" customFormat="false" ht="15" hidden="false" customHeight="false" outlineLevel="0" collapsed="false">
      <c r="A60" s="31"/>
      <c r="B60" s="13"/>
      <c r="C60" s="13"/>
      <c r="D60" s="32"/>
      <c r="E60" s="32"/>
      <c r="F60" s="14"/>
      <c r="G60" s="23"/>
      <c r="H60" s="16" t="str">
        <f aca="false">IF(F60="","",IF(G60&lt;&gt;"",G60,IF(E60="JPY",IF(ISNUMBER($L$1),ROUND(F60/$L$1,2),"レート未入力"),F60)))</f>
        <v/>
      </c>
      <c r="I60" s="33"/>
      <c r="J60" s="16" t="str">
        <f aca="false">IF(ISNUMBER(H60),ROUND(H60*IF(I60="",1,I60),2),"")</f>
        <v/>
      </c>
      <c r="K60" s="35"/>
      <c r="L60" s="22" t="str">
        <f aca="false">IF(A60="","",IF(A60&lt;DATE(2025,4,6),"2024/25",IF(A60&lt;DATE(2026,4,6),"2025/26",IF(A60&lt;DATE(2027,4,6),"2026/27","2027/28"))))</f>
        <v/>
      </c>
      <c r="N60" s="13"/>
    </row>
    <row r="61" customFormat="false" ht="15" hidden="false" customHeight="false" outlineLevel="0" collapsed="false">
      <c r="A61" s="31"/>
      <c r="B61" s="13"/>
      <c r="C61" s="13"/>
      <c r="D61" s="32"/>
      <c r="E61" s="32"/>
      <c r="F61" s="14"/>
      <c r="G61" s="23"/>
      <c r="H61" s="16" t="str">
        <f aca="false">IF(F61="","",IF(G61&lt;&gt;"",G61,IF(E61="JPY",IF(ISNUMBER($L$1),ROUND(F61/$L$1,2),"レート未入力"),F61)))</f>
        <v/>
      </c>
      <c r="I61" s="33"/>
      <c r="J61" s="16" t="str">
        <f aca="false">IF(ISNUMBER(H61),ROUND(H61*IF(I61="",1,I61),2),"")</f>
        <v/>
      </c>
      <c r="K61" s="35"/>
      <c r="L61" s="22" t="str">
        <f aca="false">IF(A61="","",IF(A61&lt;DATE(2025,4,6),"2024/25",IF(A61&lt;DATE(2026,4,6),"2025/26",IF(A61&lt;DATE(2027,4,6),"2026/27","2027/28"))))</f>
        <v/>
      </c>
      <c r="N61" s="13"/>
    </row>
    <row r="62" customFormat="false" ht="15" hidden="false" customHeight="false" outlineLevel="0" collapsed="false">
      <c r="A62" s="31"/>
      <c r="B62" s="13"/>
      <c r="C62" s="13"/>
      <c r="D62" s="32"/>
      <c r="E62" s="32"/>
      <c r="F62" s="14"/>
      <c r="G62" s="23"/>
      <c r="H62" s="16" t="str">
        <f aca="false">IF(F62="","",IF(G62&lt;&gt;"",G62,IF(E62="JPY",IF(ISNUMBER($L$1),ROUND(F62/$L$1,2),"レート未入力"),F62)))</f>
        <v/>
      </c>
      <c r="I62" s="33"/>
      <c r="J62" s="16" t="str">
        <f aca="false">IF(ISNUMBER(H62),ROUND(H62*IF(I62="",1,I62),2),"")</f>
        <v/>
      </c>
      <c r="K62" s="35"/>
      <c r="L62" s="22" t="str">
        <f aca="false">IF(A62="","",IF(A62&lt;DATE(2025,4,6),"2024/25",IF(A62&lt;DATE(2026,4,6),"2025/26",IF(A62&lt;DATE(2027,4,6),"2026/27","2027/28"))))</f>
        <v/>
      </c>
      <c r="N62" s="13"/>
    </row>
    <row r="63" customFormat="false" ht="15" hidden="false" customHeight="false" outlineLevel="0" collapsed="false">
      <c r="A63" s="31"/>
      <c r="B63" s="13"/>
      <c r="C63" s="13"/>
      <c r="D63" s="32"/>
      <c r="E63" s="32"/>
      <c r="F63" s="14"/>
      <c r="G63" s="23"/>
      <c r="H63" s="16" t="str">
        <f aca="false">IF(F63="","",IF(G63&lt;&gt;"",G63,IF(E63="JPY",IF(ISNUMBER($L$1),ROUND(F63/$L$1,2),"レート未入力"),F63)))</f>
        <v/>
      </c>
      <c r="I63" s="33"/>
      <c r="J63" s="16" t="str">
        <f aca="false">IF(ISNUMBER(H63),ROUND(H63*IF(I63="",1,I63),2),"")</f>
        <v/>
      </c>
      <c r="K63" s="35"/>
      <c r="L63" s="22" t="str">
        <f aca="false">IF(A63="","",IF(A63&lt;DATE(2025,4,6),"2024/25",IF(A63&lt;DATE(2026,4,6),"2025/26",IF(A63&lt;DATE(2027,4,6),"2026/27","2027/28"))))</f>
        <v/>
      </c>
      <c r="N63" s="13"/>
    </row>
    <row r="64" customFormat="false" ht="15" hidden="false" customHeight="false" outlineLevel="0" collapsed="false">
      <c r="A64" s="31"/>
      <c r="B64" s="13"/>
      <c r="C64" s="13"/>
      <c r="D64" s="32"/>
      <c r="E64" s="32"/>
      <c r="F64" s="14"/>
      <c r="G64" s="23"/>
      <c r="H64" s="16" t="str">
        <f aca="false">IF(F64="","",IF(G64&lt;&gt;"",G64,IF(E64="JPY",IF(ISNUMBER($L$1),ROUND(F64/$L$1,2),"レート未入力"),F64)))</f>
        <v/>
      </c>
      <c r="I64" s="33"/>
      <c r="J64" s="16" t="str">
        <f aca="false">IF(ISNUMBER(H64),ROUND(H64*IF(I64="",1,I64),2),"")</f>
        <v/>
      </c>
      <c r="K64" s="35"/>
      <c r="L64" s="22" t="str">
        <f aca="false">IF(A64="","",IF(A64&lt;DATE(2025,4,6),"2024/25",IF(A64&lt;DATE(2026,4,6),"2025/26",IF(A64&lt;DATE(2027,4,6),"2026/27","2027/28"))))</f>
        <v/>
      </c>
      <c r="N64" s="13"/>
    </row>
    <row r="65" customFormat="false" ht="15" hidden="false" customHeight="false" outlineLevel="0" collapsed="false">
      <c r="A65" s="31"/>
      <c r="B65" s="13"/>
      <c r="C65" s="13"/>
      <c r="D65" s="32"/>
      <c r="E65" s="32"/>
      <c r="F65" s="14"/>
      <c r="G65" s="23"/>
      <c r="H65" s="16" t="str">
        <f aca="false">IF(F65="","",IF(G65&lt;&gt;"",G65,IF(E65="JPY",IF(ISNUMBER($L$1),ROUND(F65/$L$1,2),"レート未入力"),F65)))</f>
        <v/>
      </c>
      <c r="I65" s="33"/>
      <c r="J65" s="16" t="str">
        <f aca="false">IF(ISNUMBER(H65),ROUND(H65*IF(I65="",1,I65),2),"")</f>
        <v/>
      </c>
      <c r="K65" s="35"/>
      <c r="L65" s="22" t="str">
        <f aca="false">IF(A65="","",IF(A65&lt;DATE(2025,4,6),"2024/25",IF(A65&lt;DATE(2026,4,6),"2025/26",IF(A65&lt;DATE(2027,4,6),"2026/27","2027/28"))))</f>
        <v/>
      </c>
      <c r="N65" s="13"/>
    </row>
    <row r="66" customFormat="false" ht="15" hidden="false" customHeight="false" outlineLevel="0" collapsed="false">
      <c r="A66" s="31"/>
      <c r="B66" s="13"/>
      <c r="C66" s="13"/>
      <c r="D66" s="32"/>
      <c r="E66" s="32"/>
      <c r="F66" s="14"/>
      <c r="G66" s="23"/>
      <c r="H66" s="16" t="str">
        <f aca="false">IF(F66="","",IF(G66&lt;&gt;"",G66,IF(E66="JPY",IF(ISNUMBER($L$1),ROUND(F66/$L$1,2),"レート未入力"),F66)))</f>
        <v/>
      </c>
      <c r="I66" s="33"/>
      <c r="J66" s="16" t="str">
        <f aca="false">IF(ISNUMBER(H66),ROUND(H66*IF(I66="",1,I66),2),"")</f>
        <v/>
      </c>
      <c r="K66" s="35"/>
      <c r="L66" s="22" t="str">
        <f aca="false">IF(A66="","",IF(A66&lt;DATE(2025,4,6),"2024/25",IF(A66&lt;DATE(2026,4,6),"2025/26",IF(A66&lt;DATE(2027,4,6),"2026/27","2027/28"))))</f>
        <v/>
      </c>
      <c r="N66" s="13"/>
    </row>
    <row r="67" customFormat="false" ht="15" hidden="false" customHeight="false" outlineLevel="0" collapsed="false">
      <c r="A67" s="31"/>
      <c r="B67" s="13"/>
      <c r="C67" s="13"/>
      <c r="D67" s="32"/>
      <c r="E67" s="32"/>
      <c r="F67" s="14"/>
      <c r="G67" s="23"/>
      <c r="H67" s="16" t="str">
        <f aca="false">IF(F67="","",IF(G67&lt;&gt;"",G67,IF(E67="JPY",IF(ISNUMBER($L$1),ROUND(F67/$L$1,2),"レート未入力"),F67)))</f>
        <v/>
      </c>
      <c r="I67" s="33"/>
      <c r="J67" s="16" t="str">
        <f aca="false">IF(ISNUMBER(H67),ROUND(H67*IF(I67="",1,I67),2),"")</f>
        <v/>
      </c>
      <c r="K67" s="35"/>
      <c r="L67" s="22" t="str">
        <f aca="false">IF(A67="","",IF(A67&lt;DATE(2025,4,6),"2024/25",IF(A67&lt;DATE(2026,4,6),"2025/26",IF(A67&lt;DATE(2027,4,6),"2026/27","2027/28"))))</f>
        <v/>
      </c>
      <c r="N67" s="13"/>
    </row>
    <row r="68" customFormat="false" ht="15" hidden="false" customHeight="false" outlineLevel="0" collapsed="false">
      <c r="A68" s="31"/>
      <c r="B68" s="13"/>
      <c r="C68" s="13"/>
      <c r="D68" s="32"/>
      <c r="E68" s="32"/>
      <c r="F68" s="14"/>
      <c r="G68" s="23"/>
      <c r="H68" s="16" t="str">
        <f aca="false">IF(F68="","",IF(G68&lt;&gt;"",G68,IF(E68="JPY",IF(ISNUMBER($L$1),ROUND(F68/$L$1,2),"レート未入力"),F68)))</f>
        <v/>
      </c>
      <c r="I68" s="33"/>
      <c r="J68" s="16" t="str">
        <f aca="false">IF(ISNUMBER(H68),ROUND(H68*IF(I68="",1,I68),2),"")</f>
        <v/>
      </c>
      <c r="K68" s="35"/>
      <c r="L68" s="22" t="str">
        <f aca="false">IF(A68="","",IF(A68&lt;DATE(2025,4,6),"2024/25",IF(A68&lt;DATE(2026,4,6),"2025/26",IF(A68&lt;DATE(2027,4,6),"2026/27","2027/28"))))</f>
        <v/>
      </c>
      <c r="N68" s="13"/>
    </row>
    <row r="69" customFormat="false" ht="15" hidden="false" customHeight="false" outlineLevel="0" collapsed="false">
      <c r="A69" s="31"/>
      <c r="B69" s="13"/>
      <c r="C69" s="13"/>
      <c r="D69" s="32"/>
      <c r="E69" s="32"/>
      <c r="F69" s="14"/>
      <c r="G69" s="23"/>
      <c r="H69" s="16" t="str">
        <f aca="false">IF(F69="","",IF(G69&lt;&gt;"",G69,IF(E69="JPY",IF(ISNUMBER($L$1),ROUND(F69/$L$1,2),"レート未入力"),F69)))</f>
        <v/>
      </c>
      <c r="I69" s="33"/>
      <c r="J69" s="16" t="str">
        <f aca="false">IF(ISNUMBER(H69),ROUND(H69*IF(I69="",1,I69),2),"")</f>
        <v/>
      </c>
      <c r="K69" s="35"/>
      <c r="L69" s="22" t="str">
        <f aca="false">IF(A69="","",IF(A69&lt;DATE(2025,4,6),"2024/25",IF(A69&lt;DATE(2026,4,6),"2025/26",IF(A69&lt;DATE(2027,4,6),"2026/27","2027/28"))))</f>
        <v/>
      </c>
      <c r="N69" s="13"/>
    </row>
    <row r="70" customFormat="false" ht="15" hidden="false" customHeight="false" outlineLevel="0" collapsed="false">
      <c r="A70" s="3" t="s">
        <v>196</v>
      </c>
      <c r="J70" s="18" t="n">
        <f aca="false">SUM(J30:J69)</f>
        <v>0</v>
      </c>
    </row>
    <row r="72" customFormat="false" ht="15" hidden="false" customHeight="false" outlineLevel="0" collapsed="false">
      <c r="A72" s="26" t="s">
        <v>197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customFormat="false" ht="15" hidden="false" customHeight="false" outlineLevel="0" collapsed="false">
      <c r="A73" s="17" t="s">
        <v>137</v>
      </c>
      <c r="D73" s="36" t="s">
        <v>16</v>
      </c>
      <c r="E73" s="36" t="s">
        <v>18</v>
      </c>
      <c r="F73" s="36"/>
    </row>
    <row r="74" customFormat="false" ht="15" hidden="false" customHeight="false" outlineLevel="0" collapsed="false">
      <c r="A74" s="17" t="s">
        <v>183</v>
      </c>
      <c r="D74" s="18" t="n">
        <f aca="false">SUMIFS($H$6:$H$25,$J$6:$J$25,"2025/26")</f>
        <v>0</v>
      </c>
      <c r="E74" s="18" t="n">
        <f aca="false">SUMIFS($H$6:$H$25,$J$6:$J$25,"2026/27")</f>
        <v>0</v>
      </c>
      <c r="F74" s="18"/>
    </row>
    <row r="75" customFormat="false" ht="15" hidden="false" customHeight="false" outlineLevel="0" collapsed="false">
      <c r="A75" s="21" t="s">
        <v>41</v>
      </c>
      <c r="D75" s="16" t="n">
        <f aca="false">SUMIFS($J$30:$J$69,$D$30:$D$69,$A75,$L$30:$L$69,"2025/26")</f>
        <v>0</v>
      </c>
      <c r="E75" s="16" t="n">
        <f aca="false">SUMIFS($J$30:$J$69,$D$30:$D$69,$A75,$L$30:$L$69,"2026/27")</f>
        <v>0</v>
      </c>
      <c r="F75" s="16"/>
    </row>
    <row r="76" customFormat="false" ht="15" hidden="false" customHeight="false" outlineLevel="0" collapsed="false">
      <c r="A76" s="21" t="s">
        <v>43</v>
      </c>
      <c r="D76" s="16" t="n">
        <f aca="false">SUMIFS($J$30:$J$69,$D$30:$D$69,$A76,$L$30:$L$69,"2025/26")</f>
        <v>0</v>
      </c>
      <c r="E76" s="16" t="n">
        <f aca="false">SUMIFS($J$30:$J$69,$D$30:$D$69,$A76,$L$30:$L$69,"2026/27")</f>
        <v>0</v>
      </c>
      <c r="F76" s="16"/>
    </row>
    <row r="77" customFormat="false" ht="15" hidden="false" customHeight="false" outlineLevel="0" collapsed="false">
      <c r="A77" s="21" t="s">
        <v>45</v>
      </c>
      <c r="D77" s="16" t="n">
        <f aca="false">SUMIFS($J$30:$J$69,$D$30:$D$69,$A77,$L$30:$L$69,"2025/26")</f>
        <v>0</v>
      </c>
      <c r="E77" s="16" t="n">
        <f aca="false">SUMIFS($J$30:$J$69,$D$30:$D$69,$A77,$L$30:$L$69,"2026/27")</f>
        <v>0</v>
      </c>
      <c r="F77" s="16"/>
    </row>
    <row r="78" customFormat="false" ht="15" hidden="false" customHeight="false" outlineLevel="0" collapsed="false">
      <c r="A78" s="21" t="s">
        <v>47</v>
      </c>
      <c r="D78" s="16" t="n">
        <f aca="false">SUMIFS($J$30:$J$69,$D$30:$D$69,$A78,$L$30:$L$69,"2025/26")</f>
        <v>0</v>
      </c>
      <c r="E78" s="16" t="n">
        <f aca="false">SUMIFS($J$30:$J$69,$D$30:$D$69,$A78,$L$30:$L$69,"2026/27")</f>
        <v>0</v>
      </c>
      <c r="F78" s="16"/>
    </row>
    <row r="79" customFormat="false" ht="15" hidden="false" customHeight="false" outlineLevel="0" collapsed="false">
      <c r="A79" s="21" t="s">
        <v>49</v>
      </c>
      <c r="D79" s="16" t="n">
        <f aca="false">SUMIFS($J$30:$J$69,$D$30:$D$69,$A79,$L$30:$L$69,"2025/26")</f>
        <v>0</v>
      </c>
      <c r="E79" s="16" t="n">
        <f aca="false">SUMIFS($J$30:$J$69,$D$30:$D$69,$A79,$L$30:$L$69,"2026/27")</f>
        <v>0</v>
      </c>
      <c r="F79" s="16"/>
    </row>
    <row r="80" customFormat="false" ht="15" hidden="false" customHeight="false" outlineLevel="0" collapsed="false">
      <c r="A80" s="21" t="s">
        <v>51</v>
      </c>
      <c r="D80" s="16" t="n">
        <f aca="false">SUMIFS($J$30:$J$69,$D$30:$D$69,$A80,$L$30:$L$69,"2025/26")</f>
        <v>0</v>
      </c>
      <c r="E80" s="16" t="n">
        <f aca="false">SUMIFS($J$30:$J$69,$D$30:$D$69,$A80,$L$30:$L$69,"2026/27")</f>
        <v>0</v>
      </c>
      <c r="F80" s="16"/>
    </row>
    <row r="81" customFormat="false" ht="15" hidden="false" customHeight="false" outlineLevel="0" collapsed="false">
      <c r="A81" s="21" t="s">
        <v>53</v>
      </c>
      <c r="D81" s="16" t="n">
        <f aca="false">SUMIFS($J$30:$J$69,$D$30:$D$69,$A81,$L$30:$L$69,"2025/26")</f>
        <v>0</v>
      </c>
      <c r="E81" s="16" t="n">
        <f aca="false">SUMIFS($J$30:$J$69,$D$30:$D$69,$A81,$L$30:$L$69,"2026/27")</f>
        <v>0</v>
      </c>
      <c r="F81" s="16"/>
    </row>
    <row r="82" customFormat="false" ht="15" hidden="false" customHeight="false" outlineLevel="0" collapsed="false">
      <c r="A82" s="21" t="s">
        <v>55</v>
      </c>
      <c r="D82" s="16" t="n">
        <f aca="false">SUMIFS($J$30:$J$69,$D$30:$D$69,$A82,$L$30:$L$69,"2025/26")</f>
        <v>0</v>
      </c>
      <c r="E82" s="16" t="n">
        <f aca="false">SUMIFS($J$30:$J$69,$D$30:$D$69,$A82,$L$30:$L$69,"2026/27")</f>
        <v>0</v>
      </c>
      <c r="F82" s="16"/>
    </row>
    <row r="83" customFormat="false" ht="15" hidden="false" customHeight="false" outlineLevel="0" collapsed="false">
      <c r="A83" s="21" t="s">
        <v>57</v>
      </c>
      <c r="D83" s="16" t="n">
        <f aca="false">SUMIFS($J$30:$J$69,$D$30:$D$69,$A83,$L$30:$L$69,"2025/26")</f>
        <v>0</v>
      </c>
      <c r="E83" s="16" t="n">
        <f aca="false">SUMIFS($J$30:$J$69,$D$30:$D$69,$A83,$L$30:$L$69,"2026/27")</f>
        <v>0</v>
      </c>
      <c r="F83" s="16"/>
    </row>
    <row r="84" customFormat="false" ht="15" hidden="false" customHeight="false" outlineLevel="0" collapsed="false">
      <c r="A84" s="21" t="s">
        <v>59</v>
      </c>
      <c r="D84" s="16" t="n">
        <f aca="false">SUMIFS($J$30:$J$69,$D$30:$D$69,$A84,$L$30:$L$69,"2025/26")</f>
        <v>0</v>
      </c>
      <c r="E84" s="16" t="n">
        <f aca="false">SUMIFS($J$30:$J$69,$D$30:$D$69,$A84,$L$30:$L$69,"2026/27")</f>
        <v>0</v>
      </c>
      <c r="F84" s="16"/>
    </row>
    <row r="85" customFormat="false" ht="15" hidden="false" customHeight="false" outlineLevel="0" collapsed="false">
      <c r="A85" s="21" t="s">
        <v>61</v>
      </c>
      <c r="D85" s="16" t="n">
        <f aca="false">SUMIFS($J$30:$J$69,$D$30:$D$69,$A85,$L$30:$L$69,"2025/26")</f>
        <v>0</v>
      </c>
      <c r="E85" s="16" t="n">
        <f aca="false">SUMIFS($J$30:$J$69,$D$30:$D$69,$A85,$L$30:$L$69,"2026/27")</f>
        <v>0</v>
      </c>
      <c r="F85" s="16"/>
    </row>
    <row r="86" customFormat="false" ht="15" hidden="false" customHeight="false" outlineLevel="0" collapsed="false">
      <c r="A86" s="21" t="s">
        <v>63</v>
      </c>
      <c r="D86" s="16" t="n">
        <f aca="false">SUMIFS($J$30:$J$69,$D$30:$D$69,$A86,$L$30:$L$69,"2025/26")</f>
        <v>0</v>
      </c>
      <c r="E86" s="16" t="n">
        <f aca="false">SUMIFS($J$30:$J$69,$D$30:$D$69,$A86,$L$30:$L$69,"2026/27")</f>
        <v>0</v>
      </c>
      <c r="F86" s="16"/>
    </row>
    <row r="87" customFormat="false" ht="15" hidden="false" customHeight="false" outlineLevel="0" collapsed="false">
      <c r="A87" s="21" t="s">
        <v>64</v>
      </c>
      <c r="D87" s="16" t="n">
        <f aca="false">SUMIFS($J$30:$J$69,$D$30:$D$69,$A87,$L$30:$L$69,"2025/26")</f>
        <v>0</v>
      </c>
      <c r="E87" s="16" t="n">
        <f aca="false">SUMIFS($J$30:$J$69,$D$30:$D$69,$A87,$L$30:$L$69,"2026/27")</f>
        <v>0</v>
      </c>
      <c r="F87" s="16"/>
    </row>
    <row r="88" customFormat="false" ht="15" hidden="false" customHeight="false" outlineLevel="0" collapsed="false">
      <c r="A88" s="17" t="s">
        <v>198</v>
      </c>
      <c r="D88" s="18" t="n">
        <f aca="false">SUM(D75:D86)</f>
        <v>0</v>
      </c>
      <c r="E88" s="18" t="n">
        <f aca="false">SUM(E75:E86)</f>
        <v>0</v>
      </c>
      <c r="F88" s="18"/>
    </row>
    <row r="89" customFormat="false" ht="15" hidden="false" customHeight="false" outlineLevel="0" collapsed="false">
      <c r="A89" s="17" t="s">
        <v>199</v>
      </c>
      <c r="D89" s="18" t="n">
        <f aca="false">D74-D88-D87</f>
        <v>0</v>
      </c>
      <c r="E89" s="18" t="n">
        <f aca="false">E74-E88-E87</f>
        <v>0</v>
      </c>
      <c r="F89" s="18"/>
    </row>
    <row r="90" customFormat="false" ht="15" hidden="false" customHeight="false" outlineLevel="0" collapsed="false">
      <c r="A90" s="37" t="s">
        <v>200</v>
      </c>
    </row>
    <row r="91" customFormat="false" ht="15" hidden="false" customHeight="false" outlineLevel="0" collapsed="false">
      <c r="A91" s="21" t="s">
        <v>201</v>
      </c>
      <c r="D91" s="16" t="n">
        <f aca="false">SUMIFS($J$30:$J$69,$D$30:$D$69,"")</f>
        <v>0</v>
      </c>
    </row>
  </sheetData>
  <mergeCells count="17"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</mergeCells>
  <dataValidations count="5">
    <dataValidation allowBlank="true" error="0%〜100%で入力してください" errorStyle="stop" operator="between" showDropDown="false" showErrorMessage="true" showInputMessage="false" sqref="I30:I69" type="decimal">
      <formula1>0</formula1>
      <formula2>1</formula2>
    </dataValidation>
    <dataValidation allowBlank="true" errorStyle="stop" operator="between" showDropDown="false" showErrorMessage="false" showInputMessage="false" sqref="E6:E25 E30:E69" type="list">
      <formula1>_list!$B$1:$B$2</formula1>
      <formula2>0</formula2>
    </dataValidation>
    <dataValidation allowBlank="true" errorStyle="stop" operator="between" showDropDown="false" showErrorMessage="false" showInputMessage="false" sqref="D30:D69" type="list">
      <formula1>_list!$A$1:$A$13</formula1>
      <formula2>0</formula2>
    </dataValidation>
    <dataValidation allowBlank="true" errorStyle="stop" operator="between" showDropDown="false" showErrorMessage="false" showInputMessage="false" sqref="D6:D25" type="list">
      <formula1>_list!$C$1:$C$7</formula1>
      <formula2>0</formula2>
    </dataValidation>
    <dataValidation allowBlank="true" error="日付で入力してください（例：2025/5/2）" errorStyle="stop" operator="between" showDropDown="false" showErrorMessage="true" showInputMessage="false" sqref="A6:A25 A30:A69" type="date">
      <formula1>DATE(2025,4,1)</formula1>
      <formula2>DATE(2027,12,31)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24"/>
  </cols>
  <sheetData>
    <row r="1" customFormat="false" ht="19.4" hidden="false" customHeight="false" outlineLevel="0" collapsed="false">
      <c r="A1" s="1" t="s">
        <v>217</v>
      </c>
      <c r="J1" s="3" t="s">
        <v>164</v>
      </c>
      <c r="L1" s="25" t="str">
        <f aca="false">IF(為替レート!$B$21="","未入力",為替レート!$B$21)</f>
        <v>未入力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26" t="s">
        <v>166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customFormat="false" ht="30" hidden="false" customHeight="true" outlineLevel="0" collapsed="false">
      <c r="A5" s="9" t="s">
        <v>167</v>
      </c>
      <c r="B5" s="9" t="s">
        <v>168</v>
      </c>
      <c r="C5" s="9" t="s">
        <v>169</v>
      </c>
      <c r="D5" s="9" t="s">
        <v>170</v>
      </c>
      <c r="E5" s="9" t="s">
        <v>171</v>
      </c>
      <c r="F5" s="9" t="s">
        <v>172</v>
      </c>
      <c r="G5" s="9" t="s">
        <v>173</v>
      </c>
      <c r="H5" s="9" t="s">
        <v>174</v>
      </c>
      <c r="I5" s="9" t="s">
        <v>175</v>
      </c>
      <c r="J5" s="9" t="s">
        <v>176</v>
      </c>
      <c r="K5" s="9"/>
      <c r="L5" s="9"/>
      <c r="M5" s="9"/>
      <c r="N5" s="9" t="s">
        <v>177</v>
      </c>
    </row>
    <row r="6" customFormat="false" ht="15" hidden="false" customHeight="false" outlineLevel="0" collapsed="false">
      <c r="A6" s="31"/>
      <c r="B6" s="13"/>
      <c r="C6" s="13"/>
      <c r="D6" s="32"/>
      <c r="E6" s="32"/>
      <c r="F6" s="14"/>
      <c r="G6" s="23"/>
      <c r="H6" s="16" t="str">
        <f aca="false">IF(F6="","",IF(G6&lt;&gt;"",G6,IF(E6="JPY",IF(ISNUMBER($L$1),ROUND(F6/$L$1,2),"レート未入力"),F6)))</f>
        <v/>
      </c>
      <c r="I6" s="13"/>
      <c r="J6" s="22" t="str">
        <f aca="false">IF(A6="","",IF(A6&lt;DATE(2025,4,6),"2024/25",IF(A6&lt;DATE(2026,4,6),"2025/26",IF(A6&lt;DATE(2027,4,6),"2026/27","2027/28"))))</f>
        <v/>
      </c>
      <c r="N6" s="13"/>
    </row>
    <row r="7" customFormat="false" ht="15" hidden="false" customHeight="false" outlineLevel="0" collapsed="false">
      <c r="A7" s="31"/>
      <c r="B7" s="13"/>
      <c r="C7" s="13"/>
      <c r="D7" s="32"/>
      <c r="E7" s="32"/>
      <c r="F7" s="14"/>
      <c r="G7" s="23"/>
      <c r="H7" s="16" t="str">
        <f aca="false">IF(F7="","",IF(G7&lt;&gt;"",G7,IF(E7="JPY",IF(ISNUMBER($L$1),ROUND(F7/$L$1,2),"レート未入力"),F7)))</f>
        <v/>
      </c>
      <c r="I7" s="13"/>
      <c r="J7" s="22" t="str">
        <f aca="false">IF(A7="","",IF(A7&lt;DATE(2025,4,6),"2024/25",IF(A7&lt;DATE(2026,4,6),"2025/26",IF(A7&lt;DATE(2027,4,6),"2026/27","2027/28"))))</f>
        <v/>
      </c>
      <c r="N7" s="13"/>
    </row>
    <row r="8" customFormat="false" ht="15" hidden="false" customHeight="false" outlineLevel="0" collapsed="false">
      <c r="A8" s="31"/>
      <c r="B8" s="13"/>
      <c r="C8" s="13"/>
      <c r="D8" s="32"/>
      <c r="E8" s="32"/>
      <c r="F8" s="14"/>
      <c r="G8" s="23"/>
      <c r="H8" s="16" t="str">
        <f aca="false">IF(F8="","",IF(G8&lt;&gt;"",G8,IF(E8="JPY",IF(ISNUMBER($L$1),ROUND(F8/$L$1,2),"レート未入力"),F8)))</f>
        <v/>
      </c>
      <c r="I8" s="13"/>
      <c r="J8" s="22" t="str">
        <f aca="false">IF(A8="","",IF(A8&lt;DATE(2025,4,6),"2024/25",IF(A8&lt;DATE(2026,4,6),"2025/26",IF(A8&lt;DATE(2027,4,6),"2026/27","2027/28"))))</f>
        <v/>
      </c>
      <c r="N8" s="13"/>
    </row>
    <row r="9" customFormat="false" ht="15" hidden="false" customHeight="false" outlineLevel="0" collapsed="false">
      <c r="A9" s="31"/>
      <c r="B9" s="13"/>
      <c r="C9" s="13"/>
      <c r="D9" s="32"/>
      <c r="E9" s="32"/>
      <c r="F9" s="14"/>
      <c r="G9" s="23"/>
      <c r="H9" s="16" t="str">
        <f aca="false">IF(F9="","",IF(G9&lt;&gt;"",G9,IF(E9="JPY",IF(ISNUMBER($L$1),ROUND(F9/$L$1,2),"レート未入力"),F9)))</f>
        <v/>
      </c>
      <c r="I9" s="13"/>
      <c r="J9" s="22" t="str">
        <f aca="false">IF(A9="","",IF(A9&lt;DATE(2025,4,6),"2024/25",IF(A9&lt;DATE(2026,4,6),"2025/26",IF(A9&lt;DATE(2027,4,6),"2026/27","2027/28"))))</f>
        <v/>
      </c>
      <c r="N9" s="13"/>
    </row>
    <row r="10" customFormat="false" ht="15" hidden="false" customHeight="false" outlineLevel="0" collapsed="false">
      <c r="A10" s="31"/>
      <c r="B10" s="13"/>
      <c r="C10" s="13"/>
      <c r="D10" s="32"/>
      <c r="E10" s="32"/>
      <c r="F10" s="14"/>
      <c r="G10" s="23"/>
      <c r="H10" s="16" t="str">
        <f aca="false">IF(F10="","",IF(G10&lt;&gt;"",G10,IF(E10="JPY",IF(ISNUMBER($L$1),ROUND(F10/$L$1,2),"レート未入力"),F10)))</f>
        <v/>
      </c>
      <c r="I10" s="13"/>
      <c r="J10" s="22" t="str">
        <f aca="false">IF(A10="","",IF(A10&lt;DATE(2025,4,6),"2024/25",IF(A10&lt;DATE(2026,4,6),"2025/26",IF(A10&lt;DATE(2027,4,6),"2026/27","2027/28"))))</f>
        <v/>
      </c>
      <c r="N10" s="13"/>
    </row>
    <row r="11" customFormat="false" ht="15" hidden="false" customHeight="false" outlineLevel="0" collapsed="false">
      <c r="A11" s="31"/>
      <c r="B11" s="13"/>
      <c r="C11" s="13"/>
      <c r="D11" s="32"/>
      <c r="E11" s="32"/>
      <c r="F11" s="14"/>
      <c r="G11" s="23"/>
      <c r="H11" s="16" t="str">
        <f aca="false">IF(F11="","",IF(G11&lt;&gt;"",G11,IF(E11="JPY",IF(ISNUMBER($L$1),ROUND(F11/$L$1,2),"レート未入力"),F11)))</f>
        <v/>
      </c>
      <c r="I11" s="13"/>
      <c r="J11" s="22" t="str">
        <f aca="false">IF(A11="","",IF(A11&lt;DATE(2025,4,6),"2024/25",IF(A11&lt;DATE(2026,4,6),"2025/26",IF(A11&lt;DATE(2027,4,6),"2026/27","2027/28"))))</f>
        <v/>
      </c>
      <c r="N11" s="13"/>
    </row>
    <row r="12" customFormat="false" ht="15" hidden="false" customHeight="false" outlineLevel="0" collapsed="false">
      <c r="A12" s="31"/>
      <c r="B12" s="13"/>
      <c r="C12" s="13"/>
      <c r="D12" s="32"/>
      <c r="E12" s="32"/>
      <c r="F12" s="14"/>
      <c r="G12" s="23"/>
      <c r="H12" s="16" t="str">
        <f aca="false">IF(F12="","",IF(G12&lt;&gt;"",G12,IF(E12="JPY",IF(ISNUMBER($L$1),ROUND(F12/$L$1,2),"レート未入力"),F12)))</f>
        <v/>
      </c>
      <c r="I12" s="13"/>
      <c r="J12" s="22" t="str">
        <f aca="false">IF(A12="","",IF(A12&lt;DATE(2025,4,6),"2024/25",IF(A12&lt;DATE(2026,4,6),"2025/26",IF(A12&lt;DATE(2027,4,6),"2026/27","2027/28"))))</f>
        <v/>
      </c>
      <c r="N12" s="13"/>
    </row>
    <row r="13" customFormat="false" ht="15" hidden="false" customHeight="false" outlineLevel="0" collapsed="false">
      <c r="A13" s="31"/>
      <c r="B13" s="13"/>
      <c r="C13" s="13"/>
      <c r="D13" s="32"/>
      <c r="E13" s="32"/>
      <c r="F13" s="14"/>
      <c r="G13" s="23"/>
      <c r="H13" s="16" t="str">
        <f aca="false">IF(F13="","",IF(G13&lt;&gt;"",G13,IF(E13="JPY",IF(ISNUMBER($L$1),ROUND(F13/$L$1,2),"レート未入力"),F13)))</f>
        <v/>
      </c>
      <c r="I13" s="13"/>
      <c r="J13" s="22" t="str">
        <f aca="false">IF(A13="","",IF(A13&lt;DATE(2025,4,6),"2024/25",IF(A13&lt;DATE(2026,4,6),"2025/26",IF(A13&lt;DATE(2027,4,6),"2026/27","2027/28"))))</f>
        <v/>
      </c>
      <c r="N13" s="13"/>
    </row>
    <row r="14" customFormat="false" ht="15" hidden="false" customHeight="false" outlineLevel="0" collapsed="false">
      <c r="A14" s="31"/>
      <c r="B14" s="13"/>
      <c r="C14" s="13"/>
      <c r="D14" s="32"/>
      <c r="E14" s="32"/>
      <c r="F14" s="14"/>
      <c r="G14" s="23"/>
      <c r="H14" s="16" t="str">
        <f aca="false">IF(F14="","",IF(G14&lt;&gt;"",G14,IF(E14="JPY",IF(ISNUMBER($L$1),ROUND(F14/$L$1,2),"レート未入力"),F14)))</f>
        <v/>
      </c>
      <c r="I14" s="13"/>
      <c r="J14" s="22" t="str">
        <f aca="false">IF(A14="","",IF(A14&lt;DATE(2025,4,6),"2024/25",IF(A14&lt;DATE(2026,4,6),"2025/26",IF(A14&lt;DATE(2027,4,6),"2026/27","2027/28"))))</f>
        <v/>
      </c>
      <c r="N14" s="13"/>
    </row>
    <row r="15" customFormat="false" ht="15" hidden="false" customHeight="false" outlineLevel="0" collapsed="false">
      <c r="A15" s="31"/>
      <c r="B15" s="13"/>
      <c r="C15" s="13"/>
      <c r="D15" s="32"/>
      <c r="E15" s="32"/>
      <c r="F15" s="14"/>
      <c r="G15" s="23"/>
      <c r="H15" s="16" t="str">
        <f aca="false">IF(F15="","",IF(G15&lt;&gt;"",G15,IF(E15="JPY",IF(ISNUMBER($L$1),ROUND(F15/$L$1,2),"レート未入力"),F15)))</f>
        <v/>
      </c>
      <c r="I15" s="13"/>
      <c r="J15" s="22" t="str">
        <f aca="false">IF(A15="","",IF(A15&lt;DATE(2025,4,6),"2024/25",IF(A15&lt;DATE(2026,4,6),"2025/26",IF(A15&lt;DATE(2027,4,6),"2026/27","2027/28"))))</f>
        <v/>
      </c>
      <c r="N15" s="13"/>
    </row>
    <row r="16" customFormat="false" ht="15" hidden="false" customHeight="false" outlineLevel="0" collapsed="false">
      <c r="A16" s="31"/>
      <c r="B16" s="13"/>
      <c r="C16" s="13"/>
      <c r="D16" s="32"/>
      <c r="E16" s="32"/>
      <c r="F16" s="14"/>
      <c r="G16" s="23"/>
      <c r="H16" s="16" t="str">
        <f aca="false">IF(F16="","",IF(G16&lt;&gt;"",G16,IF(E16="JPY",IF(ISNUMBER($L$1),ROUND(F16/$L$1,2),"レート未入力"),F16)))</f>
        <v/>
      </c>
      <c r="I16" s="13"/>
      <c r="J16" s="22" t="str">
        <f aca="false">IF(A16="","",IF(A16&lt;DATE(2025,4,6),"2024/25",IF(A16&lt;DATE(2026,4,6),"2025/26",IF(A16&lt;DATE(2027,4,6),"2026/27","2027/28"))))</f>
        <v/>
      </c>
      <c r="N16" s="13"/>
    </row>
    <row r="17" customFormat="false" ht="15" hidden="false" customHeight="false" outlineLevel="0" collapsed="false">
      <c r="A17" s="31"/>
      <c r="B17" s="13"/>
      <c r="C17" s="13"/>
      <c r="D17" s="32"/>
      <c r="E17" s="32"/>
      <c r="F17" s="14"/>
      <c r="G17" s="23"/>
      <c r="H17" s="16" t="str">
        <f aca="false">IF(F17="","",IF(G17&lt;&gt;"",G17,IF(E17="JPY",IF(ISNUMBER($L$1),ROUND(F17/$L$1,2),"レート未入力"),F17)))</f>
        <v/>
      </c>
      <c r="I17" s="13"/>
      <c r="J17" s="22" t="str">
        <f aca="false">IF(A17="","",IF(A17&lt;DATE(2025,4,6),"2024/25",IF(A17&lt;DATE(2026,4,6),"2025/26",IF(A17&lt;DATE(2027,4,6),"2026/27","2027/28"))))</f>
        <v/>
      </c>
      <c r="N17" s="13"/>
    </row>
    <row r="18" customFormat="false" ht="15" hidden="false" customHeight="false" outlineLevel="0" collapsed="false">
      <c r="A18" s="31"/>
      <c r="B18" s="13"/>
      <c r="C18" s="13"/>
      <c r="D18" s="32"/>
      <c r="E18" s="32"/>
      <c r="F18" s="14"/>
      <c r="G18" s="23"/>
      <c r="H18" s="16" t="str">
        <f aca="false">IF(F18="","",IF(G18&lt;&gt;"",G18,IF(E18="JPY",IF(ISNUMBER($L$1),ROUND(F18/$L$1,2),"レート未入力"),F18)))</f>
        <v/>
      </c>
      <c r="I18" s="13"/>
      <c r="J18" s="22" t="str">
        <f aca="false">IF(A18="","",IF(A18&lt;DATE(2025,4,6),"2024/25",IF(A18&lt;DATE(2026,4,6),"2025/26",IF(A18&lt;DATE(2027,4,6),"2026/27","2027/28"))))</f>
        <v/>
      </c>
      <c r="N18" s="13"/>
    </row>
    <row r="19" customFormat="false" ht="15" hidden="false" customHeight="false" outlineLevel="0" collapsed="false">
      <c r="A19" s="31"/>
      <c r="B19" s="13"/>
      <c r="C19" s="13"/>
      <c r="D19" s="32"/>
      <c r="E19" s="32"/>
      <c r="F19" s="14"/>
      <c r="G19" s="23"/>
      <c r="H19" s="16" t="str">
        <f aca="false">IF(F19="","",IF(G19&lt;&gt;"",G19,IF(E19="JPY",IF(ISNUMBER($L$1),ROUND(F19/$L$1,2),"レート未入力"),F19)))</f>
        <v/>
      </c>
      <c r="I19" s="13"/>
      <c r="J19" s="22" t="str">
        <f aca="false">IF(A19="","",IF(A19&lt;DATE(2025,4,6),"2024/25",IF(A19&lt;DATE(2026,4,6),"2025/26",IF(A19&lt;DATE(2027,4,6),"2026/27","2027/28"))))</f>
        <v/>
      </c>
      <c r="N19" s="13"/>
    </row>
    <row r="20" customFormat="false" ht="15" hidden="false" customHeight="false" outlineLevel="0" collapsed="false">
      <c r="A20" s="31"/>
      <c r="B20" s="13"/>
      <c r="C20" s="13"/>
      <c r="D20" s="32"/>
      <c r="E20" s="32"/>
      <c r="F20" s="14"/>
      <c r="G20" s="23"/>
      <c r="H20" s="16" t="str">
        <f aca="false">IF(F20="","",IF(G20&lt;&gt;"",G20,IF(E20="JPY",IF(ISNUMBER($L$1),ROUND(F20/$L$1,2),"レート未入力"),F20)))</f>
        <v/>
      </c>
      <c r="I20" s="13"/>
      <c r="J20" s="22" t="str">
        <f aca="false">IF(A20="","",IF(A20&lt;DATE(2025,4,6),"2024/25",IF(A20&lt;DATE(2026,4,6),"2025/26",IF(A20&lt;DATE(2027,4,6),"2026/27","2027/28"))))</f>
        <v/>
      </c>
      <c r="N20" s="13"/>
    </row>
    <row r="21" customFormat="false" ht="15" hidden="false" customHeight="false" outlineLevel="0" collapsed="false">
      <c r="A21" s="31"/>
      <c r="B21" s="13"/>
      <c r="C21" s="13"/>
      <c r="D21" s="32"/>
      <c r="E21" s="32"/>
      <c r="F21" s="14"/>
      <c r="G21" s="23"/>
      <c r="H21" s="16" t="str">
        <f aca="false">IF(F21="","",IF(G21&lt;&gt;"",G21,IF(E21="JPY",IF(ISNUMBER($L$1),ROUND(F21/$L$1,2),"レート未入力"),F21)))</f>
        <v/>
      </c>
      <c r="I21" s="13"/>
      <c r="J21" s="22" t="str">
        <f aca="false">IF(A21="","",IF(A21&lt;DATE(2025,4,6),"2024/25",IF(A21&lt;DATE(2026,4,6),"2025/26",IF(A21&lt;DATE(2027,4,6),"2026/27","2027/28"))))</f>
        <v/>
      </c>
      <c r="N21" s="13"/>
    </row>
    <row r="22" customFormat="false" ht="15" hidden="false" customHeight="false" outlineLevel="0" collapsed="false">
      <c r="A22" s="31"/>
      <c r="B22" s="13"/>
      <c r="C22" s="13"/>
      <c r="D22" s="32"/>
      <c r="E22" s="32"/>
      <c r="F22" s="14"/>
      <c r="G22" s="23"/>
      <c r="H22" s="16" t="str">
        <f aca="false">IF(F22="","",IF(G22&lt;&gt;"",G22,IF(E22="JPY",IF(ISNUMBER($L$1),ROUND(F22/$L$1,2),"レート未入力"),F22)))</f>
        <v/>
      </c>
      <c r="I22" s="13"/>
      <c r="J22" s="22" t="str">
        <f aca="false">IF(A22="","",IF(A22&lt;DATE(2025,4,6),"2024/25",IF(A22&lt;DATE(2026,4,6),"2025/26",IF(A22&lt;DATE(2027,4,6),"2026/27","2027/28"))))</f>
        <v/>
      </c>
      <c r="N22" s="13"/>
    </row>
    <row r="23" customFormat="false" ht="15" hidden="false" customHeight="false" outlineLevel="0" collapsed="false">
      <c r="A23" s="31"/>
      <c r="B23" s="13"/>
      <c r="C23" s="13"/>
      <c r="D23" s="32"/>
      <c r="E23" s="32"/>
      <c r="F23" s="14"/>
      <c r="G23" s="23"/>
      <c r="H23" s="16" t="str">
        <f aca="false">IF(F23="","",IF(G23&lt;&gt;"",G23,IF(E23="JPY",IF(ISNUMBER($L$1),ROUND(F23/$L$1,2),"レート未入力"),F23)))</f>
        <v/>
      </c>
      <c r="I23" s="13"/>
      <c r="J23" s="22" t="str">
        <f aca="false">IF(A23="","",IF(A23&lt;DATE(2025,4,6),"2024/25",IF(A23&lt;DATE(2026,4,6),"2025/26",IF(A23&lt;DATE(2027,4,6),"2026/27","2027/28"))))</f>
        <v/>
      </c>
      <c r="N23" s="13"/>
    </row>
    <row r="24" customFormat="false" ht="15" hidden="false" customHeight="false" outlineLevel="0" collapsed="false">
      <c r="A24" s="31"/>
      <c r="B24" s="13"/>
      <c r="C24" s="13"/>
      <c r="D24" s="32"/>
      <c r="E24" s="32"/>
      <c r="F24" s="14"/>
      <c r="G24" s="23"/>
      <c r="H24" s="16" t="str">
        <f aca="false">IF(F24="","",IF(G24&lt;&gt;"",G24,IF(E24="JPY",IF(ISNUMBER($L$1),ROUND(F24/$L$1,2),"レート未入力"),F24)))</f>
        <v/>
      </c>
      <c r="I24" s="13"/>
      <c r="J24" s="22" t="str">
        <f aca="false">IF(A24="","",IF(A24&lt;DATE(2025,4,6),"2024/25",IF(A24&lt;DATE(2026,4,6),"2025/26",IF(A24&lt;DATE(2027,4,6),"2026/27","2027/28"))))</f>
        <v/>
      </c>
      <c r="N24" s="13"/>
    </row>
    <row r="25" customFormat="false" ht="15" hidden="false" customHeight="false" outlineLevel="0" collapsed="false">
      <c r="A25" s="31"/>
      <c r="B25" s="13"/>
      <c r="C25" s="13"/>
      <c r="D25" s="32"/>
      <c r="E25" s="32"/>
      <c r="F25" s="14"/>
      <c r="G25" s="23"/>
      <c r="H25" s="16" t="str">
        <f aca="false">IF(F25="","",IF(G25&lt;&gt;"",G25,IF(E25="JPY",IF(ISNUMBER($L$1),ROUND(F25/$L$1,2),"レート未入力"),F25)))</f>
        <v/>
      </c>
      <c r="I25" s="13"/>
      <c r="J25" s="22" t="str">
        <f aca="false">IF(A25="","",IF(A25&lt;DATE(2025,4,6),"2024/25",IF(A25&lt;DATE(2026,4,6),"2025/26",IF(A25&lt;DATE(2027,4,6),"2026/27","2027/28"))))</f>
        <v/>
      </c>
      <c r="N25" s="13"/>
    </row>
    <row r="26" customFormat="false" ht="15" hidden="false" customHeight="false" outlineLevel="0" collapsed="false">
      <c r="A26" s="3" t="s">
        <v>183</v>
      </c>
      <c r="H26" s="18" t="n">
        <f aca="false">SUM(H6:H25)</f>
        <v>0</v>
      </c>
    </row>
    <row r="28" customFormat="false" ht="15" hidden="false" customHeight="false" outlineLevel="0" collapsed="false">
      <c r="A28" s="26" t="s">
        <v>184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</row>
    <row r="29" customFormat="false" ht="30" hidden="false" customHeight="true" outlineLevel="0" collapsed="false">
      <c r="A29" s="9" t="s">
        <v>167</v>
      </c>
      <c r="B29" s="9" t="s">
        <v>185</v>
      </c>
      <c r="C29" s="9" t="s">
        <v>169</v>
      </c>
      <c r="D29" s="9" t="s">
        <v>38</v>
      </c>
      <c r="E29" s="9" t="s">
        <v>171</v>
      </c>
      <c r="F29" s="9" t="s">
        <v>172</v>
      </c>
      <c r="G29" s="9" t="s">
        <v>173</v>
      </c>
      <c r="H29" s="10" t="s">
        <v>186</v>
      </c>
      <c r="I29" s="9" t="s">
        <v>187</v>
      </c>
      <c r="J29" s="9" t="s">
        <v>188</v>
      </c>
      <c r="K29" s="9" t="s">
        <v>189</v>
      </c>
      <c r="L29" s="9" t="s">
        <v>176</v>
      </c>
      <c r="M29" s="9"/>
      <c r="N29" s="9" t="s">
        <v>177</v>
      </c>
    </row>
    <row r="30" customFormat="false" ht="15" hidden="false" customHeight="false" outlineLevel="0" collapsed="false">
      <c r="A30" s="31"/>
      <c r="B30" s="13"/>
      <c r="C30" s="13"/>
      <c r="D30" s="32"/>
      <c r="E30" s="32"/>
      <c r="F30" s="14"/>
      <c r="G30" s="23"/>
      <c r="H30" s="16" t="str">
        <f aca="false">IF(F30="","",IF(G30&lt;&gt;"",G30,IF(E30="JPY",IF(ISNUMBER($L$1),ROUND(F30/$L$1,2),"レート未入力"),F30)))</f>
        <v/>
      </c>
      <c r="I30" s="33"/>
      <c r="J30" s="16" t="str">
        <f aca="false">IF(ISNUMBER(H30),ROUND(H30*IF(I30="",1,I30),2),"")</f>
        <v/>
      </c>
      <c r="K30" s="35"/>
      <c r="L30" s="22" t="str">
        <f aca="false">IF(A30="","",IF(A30&lt;DATE(2025,4,6),"2024/25",IF(A30&lt;DATE(2026,4,6),"2025/26",IF(A30&lt;DATE(2027,4,6),"2026/27","2027/28"))))</f>
        <v/>
      </c>
      <c r="N30" s="13"/>
    </row>
    <row r="31" customFormat="false" ht="15" hidden="false" customHeight="false" outlineLevel="0" collapsed="false">
      <c r="A31" s="31"/>
      <c r="B31" s="13"/>
      <c r="C31" s="13"/>
      <c r="D31" s="32"/>
      <c r="E31" s="32"/>
      <c r="F31" s="14"/>
      <c r="G31" s="23"/>
      <c r="H31" s="16" t="str">
        <f aca="false">IF(F31="","",IF(G31&lt;&gt;"",G31,IF(E31="JPY",IF(ISNUMBER($L$1),ROUND(F31/$L$1,2),"レート未入力"),F31)))</f>
        <v/>
      </c>
      <c r="I31" s="33"/>
      <c r="J31" s="16" t="str">
        <f aca="false">IF(ISNUMBER(H31),ROUND(H31*IF(I31="",1,I31),2),"")</f>
        <v/>
      </c>
      <c r="K31" s="35"/>
      <c r="L31" s="22" t="str">
        <f aca="false">IF(A31="","",IF(A31&lt;DATE(2025,4,6),"2024/25",IF(A31&lt;DATE(2026,4,6),"2025/26",IF(A31&lt;DATE(2027,4,6),"2026/27","2027/28"))))</f>
        <v/>
      </c>
      <c r="N31" s="13"/>
    </row>
    <row r="32" customFormat="false" ht="15" hidden="false" customHeight="false" outlineLevel="0" collapsed="false">
      <c r="A32" s="31"/>
      <c r="B32" s="13"/>
      <c r="C32" s="13"/>
      <c r="D32" s="32"/>
      <c r="E32" s="32"/>
      <c r="F32" s="14"/>
      <c r="G32" s="23"/>
      <c r="H32" s="16" t="str">
        <f aca="false">IF(F32="","",IF(G32&lt;&gt;"",G32,IF(E32="JPY",IF(ISNUMBER($L$1),ROUND(F32/$L$1,2),"レート未入力"),F32)))</f>
        <v/>
      </c>
      <c r="I32" s="33"/>
      <c r="J32" s="16" t="str">
        <f aca="false">IF(ISNUMBER(H32),ROUND(H32*IF(I32="",1,I32),2),"")</f>
        <v/>
      </c>
      <c r="K32" s="35"/>
      <c r="L32" s="22" t="str">
        <f aca="false">IF(A32="","",IF(A32&lt;DATE(2025,4,6),"2024/25",IF(A32&lt;DATE(2026,4,6),"2025/26",IF(A32&lt;DATE(2027,4,6),"2026/27","2027/28"))))</f>
        <v/>
      </c>
      <c r="N32" s="13"/>
    </row>
    <row r="33" customFormat="false" ht="15" hidden="false" customHeight="false" outlineLevel="0" collapsed="false">
      <c r="A33" s="31"/>
      <c r="B33" s="13"/>
      <c r="C33" s="13"/>
      <c r="D33" s="32"/>
      <c r="E33" s="32"/>
      <c r="F33" s="14"/>
      <c r="G33" s="23"/>
      <c r="H33" s="16" t="str">
        <f aca="false">IF(F33="","",IF(G33&lt;&gt;"",G33,IF(E33="JPY",IF(ISNUMBER($L$1),ROUND(F33/$L$1,2),"レート未入力"),F33)))</f>
        <v/>
      </c>
      <c r="I33" s="33"/>
      <c r="J33" s="16" t="str">
        <f aca="false">IF(ISNUMBER(H33),ROUND(H33*IF(I33="",1,I33),2),"")</f>
        <v/>
      </c>
      <c r="K33" s="35"/>
      <c r="L33" s="22" t="str">
        <f aca="false">IF(A33="","",IF(A33&lt;DATE(2025,4,6),"2024/25",IF(A33&lt;DATE(2026,4,6),"2025/26",IF(A33&lt;DATE(2027,4,6),"2026/27","2027/28"))))</f>
        <v/>
      </c>
      <c r="N33" s="13"/>
    </row>
    <row r="34" customFormat="false" ht="15" hidden="false" customHeight="false" outlineLevel="0" collapsed="false">
      <c r="A34" s="31"/>
      <c r="B34" s="13"/>
      <c r="C34" s="13"/>
      <c r="D34" s="32"/>
      <c r="E34" s="32"/>
      <c r="F34" s="14"/>
      <c r="G34" s="23"/>
      <c r="H34" s="16" t="str">
        <f aca="false">IF(F34="","",IF(G34&lt;&gt;"",G34,IF(E34="JPY",IF(ISNUMBER($L$1),ROUND(F34/$L$1,2),"レート未入力"),F34)))</f>
        <v/>
      </c>
      <c r="I34" s="33"/>
      <c r="J34" s="16" t="str">
        <f aca="false">IF(ISNUMBER(H34),ROUND(H34*IF(I34="",1,I34),2),"")</f>
        <v/>
      </c>
      <c r="K34" s="35"/>
      <c r="L34" s="22" t="str">
        <f aca="false">IF(A34="","",IF(A34&lt;DATE(2025,4,6),"2024/25",IF(A34&lt;DATE(2026,4,6),"2025/26",IF(A34&lt;DATE(2027,4,6),"2026/27","2027/28"))))</f>
        <v/>
      </c>
      <c r="N34" s="13"/>
    </row>
    <row r="35" customFormat="false" ht="15" hidden="false" customHeight="false" outlineLevel="0" collapsed="false">
      <c r="A35" s="31"/>
      <c r="B35" s="13"/>
      <c r="C35" s="13"/>
      <c r="D35" s="32"/>
      <c r="E35" s="32"/>
      <c r="F35" s="14"/>
      <c r="G35" s="23"/>
      <c r="H35" s="16" t="str">
        <f aca="false">IF(F35="","",IF(G35&lt;&gt;"",G35,IF(E35="JPY",IF(ISNUMBER($L$1),ROUND(F35/$L$1,2),"レート未入力"),F35)))</f>
        <v/>
      </c>
      <c r="I35" s="33"/>
      <c r="J35" s="16" t="str">
        <f aca="false">IF(ISNUMBER(H35),ROUND(H35*IF(I35="",1,I35),2),"")</f>
        <v/>
      </c>
      <c r="K35" s="35"/>
      <c r="L35" s="22" t="str">
        <f aca="false">IF(A35="","",IF(A35&lt;DATE(2025,4,6),"2024/25",IF(A35&lt;DATE(2026,4,6),"2025/26",IF(A35&lt;DATE(2027,4,6),"2026/27","2027/28"))))</f>
        <v/>
      </c>
      <c r="N35" s="13"/>
    </row>
    <row r="36" customFormat="false" ht="15" hidden="false" customHeight="false" outlineLevel="0" collapsed="false">
      <c r="A36" s="31"/>
      <c r="B36" s="13"/>
      <c r="C36" s="13"/>
      <c r="D36" s="32"/>
      <c r="E36" s="32"/>
      <c r="F36" s="14"/>
      <c r="G36" s="23"/>
      <c r="H36" s="16" t="str">
        <f aca="false">IF(F36="","",IF(G36&lt;&gt;"",G36,IF(E36="JPY",IF(ISNUMBER($L$1),ROUND(F36/$L$1,2),"レート未入力"),F36)))</f>
        <v/>
      </c>
      <c r="I36" s="33"/>
      <c r="J36" s="16" t="str">
        <f aca="false">IF(ISNUMBER(H36),ROUND(H36*IF(I36="",1,I36),2),"")</f>
        <v/>
      </c>
      <c r="K36" s="35"/>
      <c r="L36" s="22" t="str">
        <f aca="false">IF(A36="","",IF(A36&lt;DATE(2025,4,6),"2024/25",IF(A36&lt;DATE(2026,4,6),"2025/26",IF(A36&lt;DATE(2027,4,6),"2026/27","2027/28"))))</f>
        <v/>
      </c>
      <c r="N36" s="13"/>
    </row>
    <row r="37" customFormat="false" ht="15" hidden="false" customHeight="false" outlineLevel="0" collapsed="false">
      <c r="A37" s="31"/>
      <c r="B37" s="13"/>
      <c r="C37" s="13"/>
      <c r="D37" s="32"/>
      <c r="E37" s="32"/>
      <c r="F37" s="14"/>
      <c r="G37" s="23"/>
      <c r="H37" s="16" t="str">
        <f aca="false">IF(F37="","",IF(G37&lt;&gt;"",G37,IF(E37="JPY",IF(ISNUMBER($L$1),ROUND(F37/$L$1,2),"レート未入力"),F37)))</f>
        <v/>
      </c>
      <c r="I37" s="33"/>
      <c r="J37" s="16" t="str">
        <f aca="false">IF(ISNUMBER(H37),ROUND(H37*IF(I37="",1,I37),2),"")</f>
        <v/>
      </c>
      <c r="K37" s="35"/>
      <c r="L37" s="22" t="str">
        <f aca="false">IF(A37="","",IF(A37&lt;DATE(2025,4,6),"2024/25",IF(A37&lt;DATE(2026,4,6),"2025/26",IF(A37&lt;DATE(2027,4,6),"2026/27","2027/28"))))</f>
        <v/>
      </c>
      <c r="N37" s="13"/>
    </row>
    <row r="38" customFormat="false" ht="15" hidden="false" customHeight="false" outlineLevel="0" collapsed="false">
      <c r="A38" s="31"/>
      <c r="B38" s="13"/>
      <c r="C38" s="13"/>
      <c r="D38" s="32"/>
      <c r="E38" s="32"/>
      <c r="F38" s="14"/>
      <c r="G38" s="23"/>
      <c r="H38" s="16" t="str">
        <f aca="false">IF(F38="","",IF(G38&lt;&gt;"",G38,IF(E38="JPY",IF(ISNUMBER($L$1),ROUND(F38/$L$1,2),"レート未入力"),F38)))</f>
        <v/>
      </c>
      <c r="I38" s="33"/>
      <c r="J38" s="16" t="str">
        <f aca="false">IF(ISNUMBER(H38),ROUND(H38*IF(I38="",1,I38),2),"")</f>
        <v/>
      </c>
      <c r="K38" s="35"/>
      <c r="L38" s="22" t="str">
        <f aca="false">IF(A38="","",IF(A38&lt;DATE(2025,4,6),"2024/25",IF(A38&lt;DATE(2026,4,6),"2025/26",IF(A38&lt;DATE(2027,4,6),"2026/27","2027/28"))))</f>
        <v/>
      </c>
      <c r="N38" s="13"/>
    </row>
    <row r="39" customFormat="false" ht="15" hidden="false" customHeight="false" outlineLevel="0" collapsed="false">
      <c r="A39" s="31"/>
      <c r="B39" s="13"/>
      <c r="C39" s="13"/>
      <c r="D39" s="32"/>
      <c r="E39" s="32"/>
      <c r="F39" s="14"/>
      <c r="G39" s="23"/>
      <c r="H39" s="16" t="str">
        <f aca="false">IF(F39="","",IF(G39&lt;&gt;"",G39,IF(E39="JPY",IF(ISNUMBER($L$1),ROUND(F39/$L$1,2),"レート未入力"),F39)))</f>
        <v/>
      </c>
      <c r="I39" s="33"/>
      <c r="J39" s="16" t="str">
        <f aca="false">IF(ISNUMBER(H39),ROUND(H39*IF(I39="",1,I39),2),"")</f>
        <v/>
      </c>
      <c r="K39" s="35"/>
      <c r="L39" s="22" t="str">
        <f aca="false">IF(A39="","",IF(A39&lt;DATE(2025,4,6),"2024/25",IF(A39&lt;DATE(2026,4,6),"2025/26",IF(A39&lt;DATE(2027,4,6),"2026/27","2027/28"))))</f>
        <v/>
      </c>
      <c r="N39" s="13"/>
    </row>
    <row r="40" customFormat="false" ht="15" hidden="false" customHeight="false" outlineLevel="0" collapsed="false">
      <c r="A40" s="31"/>
      <c r="B40" s="13"/>
      <c r="C40" s="13"/>
      <c r="D40" s="32"/>
      <c r="E40" s="32"/>
      <c r="F40" s="14"/>
      <c r="G40" s="23"/>
      <c r="H40" s="16" t="str">
        <f aca="false">IF(F40="","",IF(G40&lt;&gt;"",G40,IF(E40="JPY",IF(ISNUMBER($L$1),ROUND(F40/$L$1,2),"レート未入力"),F40)))</f>
        <v/>
      </c>
      <c r="I40" s="33"/>
      <c r="J40" s="16" t="str">
        <f aca="false">IF(ISNUMBER(H40),ROUND(H40*IF(I40="",1,I40),2),"")</f>
        <v/>
      </c>
      <c r="K40" s="35"/>
      <c r="L40" s="22" t="str">
        <f aca="false">IF(A40="","",IF(A40&lt;DATE(2025,4,6),"2024/25",IF(A40&lt;DATE(2026,4,6),"2025/26",IF(A40&lt;DATE(2027,4,6),"2026/27","2027/28"))))</f>
        <v/>
      </c>
      <c r="N40" s="13"/>
    </row>
    <row r="41" customFormat="false" ht="15" hidden="false" customHeight="false" outlineLevel="0" collapsed="false">
      <c r="A41" s="31"/>
      <c r="B41" s="13"/>
      <c r="C41" s="13"/>
      <c r="D41" s="32"/>
      <c r="E41" s="32"/>
      <c r="F41" s="14"/>
      <c r="G41" s="23"/>
      <c r="H41" s="16" t="str">
        <f aca="false">IF(F41="","",IF(G41&lt;&gt;"",G41,IF(E41="JPY",IF(ISNUMBER($L$1),ROUND(F41/$L$1,2),"レート未入力"),F41)))</f>
        <v/>
      </c>
      <c r="I41" s="33"/>
      <c r="J41" s="16" t="str">
        <f aca="false">IF(ISNUMBER(H41),ROUND(H41*IF(I41="",1,I41),2),"")</f>
        <v/>
      </c>
      <c r="K41" s="35"/>
      <c r="L41" s="22" t="str">
        <f aca="false">IF(A41="","",IF(A41&lt;DATE(2025,4,6),"2024/25",IF(A41&lt;DATE(2026,4,6),"2025/26",IF(A41&lt;DATE(2027,4,6),"2026/27","2027/28"))))</f>
        <v/>
      </c>
      <c r="N41" s="13"/>
    </row>
    <row r="42" customFormat="false" ht="15" hidden="false" customHeight="false" outlineLevel="0" collapsed="false">
      <c r="A42" s="31"/>
      <c r="B42" s="13"/>
      <c r="C42" s="13"/>
      <c r="D42" s="32"/>
      <c r="E42" s="32"/>
      <c r="F42" s="14"/>
      <c r="G42" s="23"/>
      <c r="H42" s="16" t="str">
        <f aca="false">IF(F42="","",IF(G42&lt;&gt;"",G42,IF(E42="JPY",IF(ISNUMBER($L$1),ROUND(F42/$L$1,2),"レート未入力"),F42)))</f>
        <v/>
      </c>
      <c r="I42" s="33"/>
      <c r="J42" s="16" t="str">
        <f aca="false">IF(ISNUMBER(H42),ROUND(H42*IF(I42="",1,I42),2),"")</f>
        <v/>
      </c>
      <c r="K42" s="35"/>
      <c r="L42" s="22" t="str">
        <f aca="false">IF(A42="","",IF(A42&lt;DATE(2025,4,6),"2024/25",IF(A42&lt;DATE(2026,4,6),"2025/26",IF(A42&lt;DATE(2027,4,6),"2026/27","2027/28"))))</f>
        <v/>
      </c>
      <c r="N42" s="13"/>
    </row>
    <row r="43" customFormat="false" ht="15" hidden="false" customHeight="false" outlineLevel="0" collapsed="false">
      <c r="A43" s="31"/>
      <c r="B43" s="13"/>
      <c r="C43" s="13"/>
      <c r="D43" s="32"/>
      <c r="E43" s="32"/>
      <c r="F43" s="14"/>
      <c r="G43" s="23"/>
      <c r="H43" s="16" t="str">
        <f aca="false">IF(F43="","",IF(G43&lt;&gt;"",G43,IF(E43="JPY",IF(ISNUMBER($L$1),ROUND(F43/$L$1,2),"レート未入力"),F43)))</f>
        <v/>
      </c>
      <c r="I43" s="33"/>
      <c r="J43" s="16" t="str">
        <f aca="false">IF(ISNUMBER(H43),ROUND(H43*IF(I43="",1,I43),2),"")</f>
        <v/>
      </c>
      <c r="K43" s="35"/>
      <c r="L43" s="22" t="str">
        <f aca="false">IF(A43="","",IF(A43&lt;DATE(2025,4,6),"2024/25",IF(A43&lt;DATE(2026,4,6),"2025/26",IF(A43&lt;DATE(2027,4,6),"2026/27","2027/28"))))</f>
        <v/>
      </c>
      <c r="N43" s="13"/>
    </row>
    <row r="44" customFormat="false" ht="15" hidden="false" customHeight="false" outlineLevel="0" collapsed="false">
      <c r="A44" s="31"/>
      <c r="B44" s="13"/>
      <c r="C44" s="13"/>
      <c r="D44" s="32"/>
      <c r="E44" s="32"/>
      <c r="F44" s="14"/>
      <c r="G44" s="23"/>
      <c r="H44" s="16" t="str">
        <f aca="false">IF(F44="","",IF(G44&lt;&gt;"",G44,IF(E44="JPY",IF(ISNUMBER($L$1),ROUND(F44/$L$1,2),"レート未入力"),F44)))</f>
        <v/>
      </c>
      <c r="I44" s="33"/>
      <c r="J44" s="16" t="str">
        <f aca="false">IF(ISNUMBER(H44),ROUND(H44*IF(I44="",1,I44),2),"")</f>
        <v/>
      </c>
      <c r="K44" s="35"/>
      <c r="L44" s="22" t="str">
        <f aca="false">IF(A44="","",IF(A44&lt;DATE(2025,4,6),"2024/25",IF(A44&lt;DATE(2026,4,6),"2025/26",IF(A44&lt;DATE(2027,4,6),"2026/27","2027/28"))))</f>
        <v/>
      </c>
      <c r="N44" s="13"/>
    </row>
    <row r="45" customFormat="false" ht="15" hidden="false" customHeight="false" outlineLevel="0" collapsed="false">
      <c r="A45" s="31"/>
      <c r="B45" s="13"/>
      <c r="C45" s="13"/>
      <c r="D45" s="32"/>
      <c r="E45" s="32"/>
      <c r="F45" s="14"/>
      <c r="G45" s="23"/>
      <c r="H45" s="16" t="str">
        <f aca="false">IF(F45="","",IF(G45&lt;&gt;"",G45,IF(E45="JPY",IF(ISNUMBER($L$1),ROUND(F45/$L$1,2),"レート未入力"),F45)))</f>
        <v/>
      </c>
      <c r="I45" s="33"/>
      <c r="J45" s="16" t="str">
        <f aca="false">IF(ISNUMBER(H45),ROUND(H45*IF(I45="",1,I45),2),"")</f>
        <v/>
      </c>
      <c r="K45" s="35"/>
      <c r="L45" s="22" t="str">
        <f aca="false">IF(A45="","",IF(A45&lt;DATE(2025,4,6),"2024/25",IF(A45&lt;DATE(2026,4,6),"2025/26",IF(A45&lt;DATE(2027,4,6),"2026/27","2027/28"))))</f>
        <v/>
      </c>
      <c r="N45" s="13"/>
    </row>
    <row r="46" customFormat="false" ht="15" hidden="false" customHeight="false" outlineLevel="0" collapsed="false">
      <c r="A46" s="31"/>
      <c r="B46" s="13"/>
      <c r="C46" s="13"/>
      <c r="D46" s="32"/>
      <c r="E46" s="32"/>
      <c r="F46" s="14"/>
      <c r="G46" s="23"/>
      <c r="H46" s="16" t="str">
        <f aca="false">IF(F46="","",IF(G46&lt;&gt;"",G46,IF(E46="JPY",IF(ISNUMBER($L$1),ROUND(F46/$L$1,2),"レート未入力"),F46)))</f>
        <v/>
      </c>
      <c r="I46" s="33"/>
      <c r="J46" s="16" t="str">
        <f aca="false">IF(ISNUMBER(H46),ROUND(H46*IF(I46="",1,I46),2),"")</f>
        <v/>
      </c>
      <c r="K46" s="35"/>
      <c r="L46" s="22" t="str">
        <f aca="false">IF(A46="","",IF(A46&lt;DATE(2025,4,6),"2024/25",IF(A46&lt;DATE(2026,4,6),"2025/26",IF(A46&lt;DATE(2027,4,6),"2026/27","2027/28"))))</f>
        <v/>
      </c>
      <c r="N46" s="13"/>
    </row>
    <row r="47" customFormat="false" ht="15" hidden="false" customHeight="false" outlineLevel="0" collapsed="false">
      <c r="A47" s="31"/>
      <c r="B47" s="13"/>
      <c r="C47" s="13"/>
      <c r="D47" s="32"/>
      <c r="E47" s="32"/>
      <c r="F47" s="14"/>
      <c r="G47" s="23"/>
      <c r="H47" s="16" t="str">
        <f aca="false">IF(F47="","",IF(G47&lt;&gt;"",G47,IF(E47="JPY",IF(ISNUMBER($L$1),ROUND(F47/$L$1,2),"レート未入力"),F47)))</f>
        <v/>
      </c>
      <c r="I47" s="33"/>
      <c r="J47" s="16" t="str">
        <f aca="false">IF(ISNUMBER(H47),ROUND(H47*IF(I47="",1,I47),2),"")</f>
        <v/>
      </c>
      <c r="K47" s="35"/>
      <c r="L47" s="22" t="str">
        <f aca="false">IF(A47="","",IF(A47&lt;DATE(2025,4,6),"2024/25",IF(A47&lt;DATE(2026,4,6),"2025/26",IF(A47&lt;DATE(2027,4,6),"2026/27","2027/28"))))</f>
        <v/>
      </c>
      <c r="N47" s="13"/>
    </row>
    <row r="48" customFormat="false" ht="15" hidden="false" customHeight="false" outlineLevel="0" collapsed="false">
      <c r="A48" s="31"/>
      <c r="B48" s="13"/>
      <c r="C48" s="13"/>
      <c r="D48" s="32"/>
      <c r="E48" s="32"/>
      <c r="F48" s="14"/>
      <c r="G48" s="23"/>
      <c r="H48" s="16" t="str">
        <f aca="false">IF(F48="","",IF(G48&lt;&gt;"",G48,IF(E48="JPY",IF(ISNUMBER($L$1),ROUND(F48/$L$1,2),"レート未入力"),F48)))</f>
        <v/>
      </c>
      <c r="I48" s="33"/>
      <c r="J48" s="16" t="str">
        <f aca="false">IF(ISNUMBER(H48),ROUND(H48*IF(I48="",1,I48),2),"")</f>
        <v/>
      </c>
      <c r="K48" s="35"/>
      <c r="L48" s="22" t="str">
        <f aca="false">IF(A48="","",IF(A48&lt;DATE(2025,4,6),"2024/25",IF(A48&lt;DATE(2026,4,6),"2025/26",IF(A48&lt;DATE(2027,4,6),"2026/27","2027/28"))))</f>
        <v/>
      </c>
      <c r="N48" s="13"/>
    </row>
    <row r="49" customFormat="false" ht="15" hidden="false" customHeight="false" outlineLevel="0" collapsed="false">
      <c r="A49" s="31"/>
      <c r="B49" s="13"/>
      <c r="C49" s="13"/>
      <c r="D49" s="32"/>
      <c r="E49" s="32"/>
      <c r="F49" s="14"/>
      <c r="G49" s="23"/>
      <c r="H49" s="16" t="str">
        <f aca="false">IF(F49="","",IF(G49&lt;&gt;"",G49,IF(E49="JPY",IF(ISNUMBER($L$1),ROUND(F49/$L$1,2),"レート未入力"),F49)))</f>
        <v/>
      </c>
      <c r="I49" s="33"/>
      <c r="J49" s="16" t="str">
        <f aca="false">IF(ISNUMBER(H49),ROUND(H49*IF(I49="",1,I49),2),"")</f>
        <v/>
      </c>
      <c r="K49" s="35"/>
      <c r="L49" s="22" t="str">
        <f aca="false">IF(A49="","",IF(A49&lt;DATE(2025,4,6),"2024/25",IF(A49&lt;DATE(2026,4,6),"2025/26",IF(A49&lt;DATE(2027,4,6),"2026/27","2027/28"))))</f>
        <v/>
      </c>
      <c r="N49" s="13"/>
    </row>
    <row r="50" customFormat="false" ht="15" hidden="false" customHeight="false" outlineLevel="0" collapsed="false">
      <c r="A50" s="31"/>
      <c r="B50" s="13"/>
      <c r="C50" s="13"/>
      <c r="D50" s="32"/>
      <c r="E50" s="32"/>
      <c r="F50" s="14"/>
      <c r="G50" s="23"/>
      <c r="H50" s="16" t="str">
        <f aca="false">IF(F50="","",IF(G50&lt;&gt;"",G50,IF(E50="JPY",IF(ISNUMBER($L$1),ROUND(F50/$L$1,2),"レート未入力"),F50)))</f>
        <v/>
      </c>
      <c r="I50" s="33"/>
      <c r="J50" s="16" t="str">
        <f aca="false">IF(ISNUMBER(H50),ROUND(H50*IF(I50="",1,I50),2),"")</f>
        <v/>
      </c>
      <c r="K50" s="35"/>
      <c r="L50" s="22" t="str">
        <f aca="false">IF(A50="","",IF(A50&lt;DATE(2025,4,6),"2024/25",IF(A50&lt;DATE(2026,4,6),"2025/26",IF(A50&lt;DATE(2027,4,6),"2026/27","2027/28"))))</f>
        <v/>
      </c>
      <c r="N50" s="13"/>
    </row>
    <row r="51" customFormat="false" ht="15" hidden="false" customHeight="false" outlineLevel="0" collapsed="false">
      <c r="A51" s="31"/>
      <c r="B51" s="13"/>
      <c r="C51" s="13"/>
      <c r="D51" s="32"/>
      <c r="E51" s="32"/>
      <c r="F51" s="14"/>
      <c r="G51" s="23"/>
      <c r="H51" s="16" t="str">
        <f aca="false">IF(F51="","",IF(G51&lt;&gt;"",G51,IF(E51="JPY",IF(ISNUMBER($L$1),ROUND(F51/$L$1,2),"レート未入力"),F51)))</f>
        <v/>
      </c>
      <c r="I51" s="33"/>
      <c r="J51" s="16" t="str">
        <f aca="false">IF(ISNUMBER(H51),ROUND(H51*IF(I51="",1,I51),2),"")</f>
        <v/>
      </c>
      <c r="K51" s="35"/>
      <c r="L51" s="22" t="str">
        <f aca="false">IF(A51="","",IF(A51&lt;DATE(2025,4,6),"2024/25",IF(A51&lt;DATE(2026,4,6),"2025/26",IF(A51&lt;DATE(2027,4,6),"2026/27","2027/28"))))</f>
        <v/>
      </c>
      <c r="N51" s="13"/>
    </row>
    <row r="52" customFormat="false" ht="15" hidden="false" customHeight="false" outlineLevel="0" collapsed="false">
      <c r="A52" s="31"/>
      <c r="B52" s="13"/>
      <c r="C52" s="13"/>
      <c r="D52" s="32"/>
      <c r="E52" s="32"/>
      <c r="F52" s="14"/>
      <c r="G52" s="23"/>
      <c r="H52" s="16" t="str">
        <f aca="false">IF(F52="","",IF(G52&lt;&gt;"",G52,IF(E52="JPY",IF(ISNUMBER($L$1),ROUND(F52/$L$1,2),"レート未入力"),F52)))</f>
        <v/>
      </c>
      <c r="I52" s="33"/>
      <c r="J52" s="16" t="str">
        <f aca="false">IF(ISNUMBER(H52),ROUND(H52*IF(I52="",1,I52),2),"")</f>
        <v/>
      </c>
      <c r="K52" s="35"/>
      <c r="L52" s="22" t="str">
        <f aca="false">IF(A52="","",IF(A52&lt;DATE(2025,4,6),"2024/25",IF(A52&lt;DATE(2026,4,6),"2025/26",IF(A52&lt;DATE(2027,4,6),"2026/27","2027/28"))))</f>
        <v/>
      </c>
      <c r="N52" s="13"/>
    </row>
    <row r="53" customFormat="false" ht="15" hidden="false" customHeight="false" outlineLevel="0" collapsed="false">
      <c r="A53" s="31"/>
      <c r="B53" s="13"/>
      <c r="C53" s="13"/>
      <c r="D53" s="32"/>
      <c r="E53" s="32"/>
      <c r="F53" s="14"/>
      <c r="G53" s="23"/>
      <c r="H53" s="16" t="str">
        <f aca="false">IF(F53="","",IF(G53&lt;&gt;"",G53,IF(E53="JPY",IF(ISNUMBER($L$1),ROUND(F53/$L$1,2),"レート未入力"),F53)))</f>
        <v/>
      </c>
      <c r="I53" s="33"/>
      <c r="J53" s="16" t="str">
        <f aca="false">IF(ISNUMBER(H53),ROUND(H53*IF(I53="",1,I53),2),"")</f>
        <v/>
      </c>
      <c r="K53" s="35"/>
      <c r="L53" s="22" t="str">
        <f aca="false">IF(A53="","",IF(A53&lt;DATE(2025,4,6),"2024/25",IF(A53&lt;DATE(2026,4,6),"2025/26",IF(A53&lt;DATE(2027,4,6),"2026/27","2027/28"))))</f>
        <v/>
      </c>
      <c r="N53" s="13"/>
    </row>
    <row r="54" customFormat="false" ht="15" hidden="false" customHeight="false" outlineLevel="0" collapsed="false">
      <c r="A54" s="31"/>
      <c r="B54" s="13"/>
      <c r="C54" s="13"/>
      <c r="D54" s="32"/>
      <c r="E54" s="32"/>
      <c r="F54" s="14"/>
      <c r="G54" s="23"/>
      <c r="H54" s="16" t="str">
        <f aca="false">IF(F54="","",IF(G54&lt;&gt;"",G54,IF(E54="JPY",IF(ISNUMBER($L$1),ROUND(F54/$L$1,2),"レート未入力"),F54)))</f>
        <v/>
      </c>
      <c r="I54" s="33"/>
      <c r="J54" s="16" t="str">
        <f aca="false">IF(ISNUMBER(H54),ROUND(H54*IF(I54="",1,I54),2),"")</f>
        <v/>
      </c>
      <c r="K54" s="35"/>
      <c r="L54" s="22" t="str">
        <f aca="false">IF(A54="","",IF(A54&lt;DATE(2025,4,6),"2024/25",IF(A54&lt;DATE(2026,4,6),"2025/26",IF(A54&lt;DATE(2027,4,6),"2026/27","2027/28"))))</f>
        <v/>
      </c>
      <c r="N54" s="13"/>
    </row>
    <row r="55" customFormat="false" ht="15" hidden="false" customHeight="false" outlineLevel="0" collapsed="false">
      <c r="A55" s="31"/>
      <c r="B55" s="13"/>
      <c r="C55" s="13"/>
      <c r="D55" s="32"/>
      <c r="E55" s="32"/>
      <c r="F55" s="14"/>
      <c r="G55" s="23"/>
      <c r="H55" s="16" t="str">
        <f aca="false">IF(F55="","",IF(G55&lt;&gt;"",G55,IF(E55="JPY",IF(ISNUMBER($L$1),ROUND(F55/$L$1,2),"レート未入力"),F55)))</f>
        <v/>
      </c>
      <c r="I55" s="33"/>
      <c r="J55" s="16" t="str">
        <f aca="false">IF(ISNUMBER(H55),ROUND(H55*IF(I55="",1,I55),2),"")</f>
        <v/>
      </c>
      <c r="K55" s="35"/>
      <c r="L55" s="22" t="str">
        <f aca="false">IF(A55="","",IF(A55&lt;DATE(2025,4,6),"2024/25",IF(A55&lt;DATE(2026,4,6),"2025/26",IF(A55&lt;DATE(2027,4,6),"2026/27","2027/28"))))</f>
        <v/>
      </c>
      <c r="N55" s="13"/>
    </row>
    <row r="56" customFormat="false" ht="15" hidden="false" customHeight="false" outlineLevel="0" collapsed="false">
      <c r="A56" s="31"/>
      <c r="B56" s="13"/>
      <c r="C56" s="13"/>
      <c r="D56" s="32"/>
      <c r="E56" s="32"/>
      <c r="F56" s="14"/>
      <c r="G56" s="23"/>
      <c r="H56" s="16" t="str">
        <f aca="false">IF(F56="","",IF(G56&lt;&gt;"",G56,IF(E56="JPY",IF(ISNUMBER($L$1),ROUND(F56/$L$1,2),"レート未入力"),F56)))</f>
        <v/>
      </c>
      <c r="I56" s="33"/>
      <c r="J56" s="16" t="str">
        <f aca="false">IF(ISNUMBER(H56),ROUND(H56*IF(I56="",1,I56),2),"")</f>
        <v/>
      </c>
      <c r="K56" s="35"/>
      <c r="L56" s="22" t="str">
        <f aca="false">IF(A56="","",IF(A56&lt;DATE(2025,4,6),"2024/25",IF(A56&lt;DATE(2026,4,6),"2025/26",IF(A56&lt;DATE(2027,4,6),"2026/27","2027/28"))))</f>
        <v/>
      </c>
      <c r="N56" s="13"/>
    </row>
    <row r="57" customFormat="false" ht="15" hidden="false" customHeight="false" outlineLevel="0" collapsed="false">
      <c r="A57" s="31"/>
      <c r="B57" s="13"/>
      <c r="C57" s="13"/>
      <c r="D57" s="32"/>
      <c r="E57" s="32"/>
      <c r="F57" s="14"/>
      <c r="G57" s="23"/>
      <c r="H57" s="16" t="str">
        <f aca="false">IF(F57="","",IF(G57&lt;&gt;"",G57,IF(E57="JPY",IF(ISNUMBER($L$1),ROUND(F57/$L$1,2),"レート未入力"),F57)))</f>
        <v/>
      </c>
      <c r="I57" s="33"/>
      <c r="J57" s="16" t="str">
        <f aca="false">IF(ISNUMBER(H57),ROUND(H57*IF(I57="",1,I57),2),"")</f>
        <v/>
      </c>
      <c r="K57" s="35"/>
      <c r="L57" s="22" t="str">
        <f aca="false">IF(A57="","",IF(A57&lt;DATE(2025,4,6),"2024/25",IF(A57&lt;DATE(2026,4,6),"2025/26",IF(A57&lt;DATE(2027,4,6),"2026/27","2027/28"))))</f>
        <v/>
      </c>
      <c r="N57" s="13"/>
    </row>
    <row r="58" customFormat="false" ht="15" hidden="false" customHeight="false" outlineLevel="0" collapsed="false">
      <c r="A58" s="31"/>
      <c r="B58" s="13"/>
      <c r="C58" s="13"/>
      <c r="D58" s="32"/>
      <c r="E58" s="32"/>
      <c r="F58" s="14"/>
      <c r="G58" s="23"/>
      <c r="H58" s="16" t="str">
        <f aca="false">IF(F58="","",IF(G58&lt;&gt;"",G58,IF(E58="JPY",IF(ISNUMBER($L$1),ROUND(F58/$L$1,2),"レート未入力"),F58)))</f>
        <v/>
      </c>
      <c r="I58" s="33"/>
      <c r="J58" s="16" t="str">
        <f aca="false">IF(ISNUMBER(H58),ROUND(H58*IF(I58="",1,I58),2),"")</f>
        <v/>
      </c>
      <c r="K58" s="35"/>
      <c r="L58" s="22" t="str">
        <f aca="false">IF(A58="","",IF(A58&lt;DATE(2025,4,6),"2024/25",IF(A58&lt;DATE(2026,4,6),"2025/26",IF(A58&lt;DATE(2027,4,6),"2026/27","2027/28"))))</f>
        <v/>
      </c>
      <c r="N58" s="13"/>
    </row>
    <row r="59" customFormat="false" ht="15" hidden="false" customHeight="false" outlineLevel="0" collapsed="false">
      <c r="A59" s="31"/>
      <c r="B59" s="13"/>
      <c r="C59" s="13"/>
      <c r="D59" s="32"/>
      <c r="E59" s="32"/>
      <c r="F59" s="14"/>
      <c r="G59" s="23"/>
      <c r="H59" s="16" t="str">
        <f aca="false">IF(F59="","",IF(G59&lt;&gt;"",G59,IF(E59="JPY",IF(ISNUMBER($L$1),ROUND(F59/$L$1,2),"レート未入力"),F59)))</f>
        <v/>
      </c>
      <c r="I59" s="33"/>
      <c r="J59" s="16" t="str">
        <f aca="false">IF(ISNUMBER(H59),ROUND(H59*IF(I59="",1,I59),2),"")</f>
        <v/>
      </c>
      <c r="K59" s="35"/>
      <c r="L59" s="22" t="str">
        <f aca="false">IF(A59="","",IF(A59&lt;DATE(2025,4,6),"2024/25",IF(A59&lt;DATE(2026,4,6),"2025/26",IF(A59&lt;DATE(2027,4,6),"2026/27","2027/28"))))</f>
        <v/>
      </c>
      <c r="N59" s="13"/>
    </row>
    <row r="60" customFormat="false" ht="15" hidden="false" customHeight="false" outlineLevel="0" collapsed="false">
      <c r="A60" s="31"/>
      <c r="B60" s="13"/>
      <c r="C60" s="13"/>
      <c r="D60" s="32"/>
      <c r="E60" s="32"/>
      <c r="F60" s="14"/>
      <c r="G60" s="23"/>
      <c r="H60" s="16" t="str">
        <f aca="false">IF(F60="","",IF(G60&lt;&gt;"",G60,IF(E60="JPY",IF(ISNUMBER($L$1),ROUND(F60/$L$1,2),"レート未入力"),F60)))</f>
        <v/>
      </c>
      <c r="I60" s="33"/>
      <c r="J60" s="16" t="str">
        <f aca="false">IF(ISNUMBER(H60),ROUND(H60*IF(I60="",1,I60),2),"")</f>
        <v/>
      </c>
      <c r="K60" s="35"/>
      <c r="L60" s="22" t="str">
        <f aca="false">IF(A60="","",IF(A60&lt;DATE(2025,4,6),"2024/25",IF(A60&lt;DATE(2026,4,6),"2025/26",IF(A60&lt;DATE(2027,4,6),"2026/27","2027/28"))))</f>
        <v/>
      </c>
      <c r="N60" s="13"/>
    </row>
    <row r="61" customFormat="false" ht="15" hidden="false" customHeight="false" outlineLevel="0" collapsed="false">
      <c r="A61" s="31"/>
      <c r="B61" s="13"/>
      <c r="C61" s="13"/>
      <c r="D61" s="32"/>
      <c r="E61" s="32"/>
      <c r="F61" s="14"/>
      <c r="G61" s="23"/>
      <c r="H61" s="16" t="str">
        <f aca="false">IF(F61="","",IF(G61&lt;&gt;"",G61,IF(E61="JPY",IF(ISNUMBER($L$1),ROUND(F61/$L$1,2),"レート未入力"),F61)))</f>
        <v/>
      </c>
      <c r="I61" s="33"/>
      <c r="J61" s="16" t="str">
        <f aca="false">IF(ISNUMBER(H61),ROUND(H61*IF(I61="",1,I61),2),"")</f>
        <v/>
      </c>
      <c r="K61" s="35"/>
      <c r="L61" s="22" t="str">
        <f aca="false">IF(A61="","",IF(A61&lt;DATE(2025,4,6),"2024/25",IF(A61&lt;DATE(2026,4,6),"2025/26",IF(A61&lt;DATE(2027,4,6),"2026/27","2027/28"))))</f>
        <v/>
      </c>
      <c r="N61" s="13"/>
    </row>
    <row r="62" customFormat="false" ht="15" hidden="false" customHeight="false" outlineLevel="0" collapsed="false">
      <c r="A62" s="31"/>
      <c r="B62" s="13"/>
      <c r="C62" s="13"/>
      <c r="D62" s="32"/>
      <c r="E62" s="32"/>
      <c r="F62" s="14"/>
      <c r="G62" s="23"/>
      <c r="H62" s="16" t="str">
        <f aca="false">IF(F62="","",IF(G62&lt;&gt;"",G62,IF(E62="JPY",IF(ISNUMBER($L$1),ROUND(F62/$L$1,2),"レート未入力"),F62)))</f>
        <v/>
      </c>
      <c r="I62" s="33"/>
      <c r="J62" s="16" t="str">
        <f aca="false">IF(ISNUMBER(H62),ROUND(H62*IF(I62="",1,I62),2),"")</f>
        <v/>
      </c>
      <c r="K62" s="35"/>
      <c r="L62" s="22" t="str">
        <f aca="false">IF(A62="","",IF(A62&lt;DATE(2025,4,6),"2024/25",IF(A62&lt;DATE(2026,4,6),"2025/26",IF(A62&lt;DATE(2027,4,6),"2026/27","2027/28"))))</f>
        <v/>
      </c>
      <c r="N62" s="13"/>
    </row>
    <row r="63" customFormat="false" ht="15" hidden="false" customHeight="false" outlineLevel="0" collapsed="false">
      <c r="A63" s="31"/>
      <c r="B63" s="13"/>
      <c r="C63" s="13"/>
      <c r="D63" s="32"/>
      <c r="E63" s="32"/>
      <c r="F63" s="14"/>
      <c r="G63" s="23"/>
      <c r="H63" s="16" t="str">
        <f aca="false">IF(F63="","",IF(G63&lt;&gt;"",G63,IF(E63="JPY",IF(ISNUMBER($L$1),ROUND(F63/$L$1,2),"レート未入力"),F63)))</f>
        <v/>
      </c>
      <c r="I63" s="33"/>
      <c r="J63" s="16" t="str">
        <f aca="false">IF(ISNUMBER(H63),ROUND(H63*IF(I63="",1,I63),2),"")</f>
        <v/>
      </c>
      <c r="K63" s="35"/>
      <c r="L63" s="22" t="str">
        <f aca="false">IF(A63="","",IF(A63&lt;DATE(2025,4,6),"2024/25",IF(A63&lt;DATE(2026,4,6),"2025/26",IF(A63&lt;DATE(2027,4,6),"2026/27","2027/28"))))</f>
        <v/>
      </c>
      <c r="N63" s="13"/>
    </row>
    <row r="64" customFormat="false" ht="15" hidden="false" customHeight="false" outlineLevel="0" collapsed="false">
      <c r="A64" s="31"/>
      <c r="B64" s="13"/>
      <c r="C64" s="13"/>
      <c r="D64" s="32"/>
      <c r="E64" s="32"/>
      <c r="F64" s="14"/>
      <c r="G64" s="23"/>
      <c r="H64" s="16" t="str">
        <f aca="false">IF(F64="","",IF(G64&lt;&gt;"",G64,IF(E64="JPY",IF(ISNUMBER($L$1),ROUND(F64/$L$1,2),"レート未入力"),F64)))</f>
        <v/>
      </c>
      <c r="I64" s="33"/>
      <c r="J64" s="16" t="str">
        <f aca="false">IF(ISNUMBER(H64),ROUND(H64*IF(I64="",1,I64),2),"")</f>
        <v/>
      </c>
      <c r="K64" s="35"/>
      <c r="L64" s="22" t="str">
        <f aca="false">IF(A64="","",IF(A64&lt;DATE(2025,4,6),"2024/25",IF(A64&lt;DATE(2026,4,6),"2025/26",IF(A64&lt;DATE(2027,4,6),"2026/27","2027/28"))))</f>
        <v/>
      </c>
      <c r="N64" s="13"/>
    </row>
    <row r="65" customFormat="false" ht="15" hidden="false" customHeight="false" outlineLevel="0" collapsed="false">
      <c r="A65" s="31"/>
      <c r="B65" s="13"/>
      <c r="C65" s="13"/>
      <c r="D65" s="32"/>
      <c r="E65" s="32"/>
      <c r="F65" s="14"/>
      <c r="G65" s="23"/>
      <c r="H65" s="16" t="str">
        <f aca="false">IF(F65="","",IF(G65&lt;&gt;"",G65,IF(E65="JPY",IF(ISNUMBER($L$1),ROUND(F65/$L$1,2),"レート未入力"),F65)))</f>
        <v/>
      </c>
      <c r="I65" s="33"/>
      <c r="J65" s="16" t="str">
        <f aca="false">IF(ISNUMBER(H65),ROUND(H65*IF(I65="",1,I65),2),"")</f>
        <v/>
      </c>
      <c r="K65" s="35"/>
      <c r="L65" s="22" t="str">
        <f aca="false">IF(A65="","",IF(A65&lt;DATE(2025,4,6),"2024/25",IF(A65&lt;DATE(2026,4,6),"2025/26",IF(A65&lt;DATE(2027,4,6),"2026/27","2027/28"))))</f>
        <v/>
      </c>
      <c r="N65" s="13"/>
    </row>
    <row r="66" customFormat="false" ht="15" hidden="false" customHeight="false" outlineLevel="0" collapsed="false">
      <c r="A66" s="31"/>
      <c r="B66" s="13"/>
      <c r="C66" s="13"/>
      <c r="D66" s="32"/>
      <c r="E66" s="32"/>
      <c r="F66" s="14"/>
      <c r="G66" s="23"/>
      <c r="H66" s="16" t="str">
        <f aca="false">IF(F66="","",IF(G66&lt;&gt;"",G66,IF(E66="JPY",IF(ISNUMBER($L$1),ROUND(F66/$L$1,2),"レート未入力"),F66)))</f>
        <v/>
      </c>
      <c r="I66" s="33"/>
      <c r="J66" s="16" t="str">
        <f aca="false">IF(ISNUMBER(H66),ROUND(H66*IF(I66="",1,I66),2),"")</f>
        <v/>
      </c>
      <c r="K66" s="35"/>
      <c r="L66" s="22" t="str">
        <f aca="false">IF(A66="","",IF(A66&lt;DATE(2025,4,6),"2024/25",IF(A66&lt;DATE(2026,4,6),"2025/26",IF(A66&lt;DATE(2027,4,6),"2026/27","2027/28"))))</f>
        <v/>
      </c>
      <c r="N66" s="13"/>
    </row>
    <row r="67" customFormat="false" ht="15" hidden="false" customHeight="false" outlineLevel="0" collapsed="false">
      <c r="A67" s="31"/>
      <c r="B67" s="13"/>
      <c r="C67" s="13"/>
      <c r="D67" s="32"/>
      <c r="E67" s="32"/>
      <c r="F67" s="14"/>
      <c r="G67" s="23"/>
      <c r="H67" s="16" t="str">
        <f aca="false">IF(F67="","",IF(G67&lt;&gt;"",G67,IF(E67="JPY",IF(ISNUMBER($L$1),ROUND(F67/$L$1,2),"レート未入力"),F67)))</f>
        <v/>
      </c>
      <c r="I67" s="33"/>
      <c r="J67" s="16" t="str">
        <f aca="false">IF(ISNUMBER(H67),ROUND(H67*IF(I67="",1,I67),2),"")</f>
        <v/>
      </c>
      <c r="K67" s="35"/>
      <c r="L67" s="22" t="str">
        <f aca="false">IF(A67="","",IF(A67&lt;DATE(2025,4,6),"2024/25",IF(A67&lt;DATE(2026,4,6),"2025/26",IF(A67&lt;DATE(2027,4,6),"2026/27","2027/28"))))</f>
        <v/>
      </c>
      <c r="N67" s="13"/>
    </row>
    <row r="68" customFormat="false" ht="15" hidden="false" customHeight="false" outlineLevel="0" collapsed="false">
      <c r="A68" s="31"/>
      <c r="B68" s="13"/>
      <c r="C68" s="13"/>
      <c r="D68" s="32"/>
      <c r="E68" s="32"/>
      <c r="F68" s="14"/>
      <c r="G68" s="23"/>
      <c r="H68" s="16" t="str">
        <f aca="false">IF(F68="","",IF(G68&lt;&gt;"",G68,IF(E68="JPY",IF(ISNUMBER($L$1),ROUND(F68/$L$1,2),"レート未入力"),F68)))</f>
        <v/>
      </c>
      <c r="I68" s="33"/>
      <c r="J68" s="16" t="str">
        <f aca="false">IF(ISNUMBER(H68),ROUND(H68*IF(I68="",1,I68),2),"")</f>
        <v/>
      </c>
      <c r="K68" s="35"/>
      <c r="L68" s="22" t="str">
        <f aca="false">IF(A68="","",IF(A68&lt;DATE(2025,4,6),"2024/25",IF(A68&lt;DATE(2026,4,6),"2025/26",IF(A68&lt;DATE(2027,4,6),"2026/27","2027/28"))))</f>
        <v/>
      </c>
      <c r="N68" s="13"/>
    </row>
    <row r="69" customFormat="false" ht="15" hidden="false" customHeight="false" outlineLevel="0" collapsed="false">
      <c r="A69" s="31"/>
      <c r="B69" s="13"/>
      <c r="C69" s="13"/>
      <c r="D69" s="32"/>
      <c r="E69" s="32"/>
      <c r="F69" s="14"/>
      <c r="G69" s="23"/>
      <c r="H69" s="16" t="str">
        <f aca="false">IF(F69="","",IF(G69&lt;&gt;"",G69,IF(E69="JPY",IF(ISNUMBER($L$1),ROUND(F69/$L$1,2),"レート未入力"),F69)))</f>
        <v/>
      </c>
      <c r="I69" s="33"/>
      <c r="J69" s="16" t="str">
        <f aca="false">IF(ISNUMBER(H69),ROUND(H69*IF(I69="",1,I69),2),"")</f>
        <v/>
      </c>
      <c r="K69" s="35"/>
      <c r="L69" s="22" t="str">
        <f aca="false">IF(A69="","",IF(A69&lt;DATE(2025,4,6),"2024/25",IF(A69&lt;DATE(2026,4,6),"2025/26",IF(A69&lt;DATE(2027,4,6),"2026/27","2027/28"))))</f>
        <v/>
      </c>
      <c r="N69" s="13"/>
    </row>
    <row r="70" customFormat="false" ht="15" hidden="false" customHeight="false" outlineLevel="0" collapsed="false">
      <c r="A70" s="3" t="s">
        <v>196</v>
      </c>
      <c r="J70" s="18" t="n">
        <f aca="false">SUM(J30:J69)</f>
        <v>0</v>
      </c>
    </row>
    <row r="72" customFormat="false" ht="15" hidden="false" customHeight="false" outlineLevel="0" collapsed="false">
      <c r="A72" s="26" t="s">
        <v>197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customFormat="false" ht="15" hidden="false" customHeight="false" outlineLevel="0" collapsed="false">
      <c r="A73" s="17" t="s">
        <v>137</v>
      </c>
      <c r="D73" s="36" t="s">
        <v>16</v>
      </c>
      <c r="E73" s="36" t="s">
        <v>18</v>
      </c>
      <c r="F73" s="36"/>
    </row>
    <row r="74" customFormat="false" ht="15" hidden="false" customHeight="false" outlineLevel="0" collapsed="false">
      <c r="A74" s="17" t="s">
        <v>183</v>
      </c>
      <c r="D74" s="18" t="n">
        <f aca="false">SUMIFS($H$6:$H$25,$J$6:$J$25,"2025/26")</f>
        <v>0</v>
      </c>
      <c r="E74" s="18" t="n">
        <f aca="false">SUMIFS($H$6:$H$25,$J$6:$J$25,"2026/27")</f>
        <v>0</v>
      </c>
      <c r="F74" s="18"/>
    </row>
    <row r="75" customFormat="false" ht="15" hidden="false" customHeight="false" outlineLevel="0" collapsed="false">
      <c r="A75" s="21" t="s">
        <v>41</v>
      </c>
      <c r="D75" s="16" t="n">
        <f aca="false">SUMIFS($J$30:$J$69,$D$30:$D$69,$A75,$L$30:$L$69,"2025/26")</f>
        <v>0</v>
      </c>
      <c r="E75" s="16" t="n">
        <f aca="false">SUMIFS($J$30:$J$69,$D$30:$D$69,$A75,$L$30:$L$69,"2026/27")</f>
        <v>0</v>
      </c>
      <c r="F75" s="16"/>
    </row>
    <row r="76" customFormat="false" ht="15" hidden="false" customHeight="false" outlineLevel="0" collapsed="false">
      <c r="A76" s="21" t="s">
        <v>43</v>
      </c>
      <c r="D76" s="16" t="n">
        <f aca="false">SUMIFS($J$30:$J$69,$D$30:$D$69,$A76,$L$30:$L$69,"2025/26")</f>
        <v>0</v>
      </c>
      <c r="E76" s="16" t="n">
        <f aca="false">SUMIFS($J$30:$J$69,$D$30:$D$69,$A76,$L$30:$L$69,"2026/27")</f>
        <v>0</v>
      </c>
      <c r="F76" s="16"/>
    </row>
    <row r="77" customFormat="false" ht="15" hidden="false" customHeight="false" outlineLevel="0" collapsed="false">
      <c r="A77" s="21" t="s">
        <v>45</v>
      </c>
      <c r="D77" s="16" t="n">
        <f aca="false">SUMIFS($J$30:$J$69,$D$30:$D$69,$A77,$L$30:$L$69,"2025/26")</f>
        <v>0</v>
      </c>
      <c r="E77" s="16" t="n">
        <f aca="false">SUMIFS($J$30:$J$69,$D$30:$D$69,$A77,$L$30:$L$69,"2026/27")</f>
        <v>0</v>
      </c>
      <c r="F77" s="16"/>
    </row>
    <row r="78" customFormat="false" ht="15" hidden="false" customHeight="false" outlineLevel="0" collapsed="false">
      <c r="A78" s="21" t="s">
        <v>47</v>
      </c>
      <c r="D78" s="16" t="n">
        <f aca="false">SUMIFS($J$30:$J$69,$D$30:$D$69,$A78,$L$30:$L$69,"2025/26")</f>
        <v>0</v>
      </c>
      <c r="E78" s="16" t="n">
        <f aca="false">SUMIFS($J$30:$J$69,$D$30:$D$69,$A78,$L$30:$L$69,"2026/27")</f>
        <v>0</v>
      </c>
      <c r="F78" s="16"/>
    </row>
    <row r="79" customFormat="false" ht="15" hidden="false" customHeight="false" outlineLevel="0" collapsed="false">
      <c r="A79" s="21" t="s">
        <v>49</v>
      </c>
      <c r="D79" s="16" t="n">
        <f aca="false">SUMIFS($J$30:$J$69,$D$30:$D$69,$A79,$L$30:$L$69,"2025/26")</f>
        <v>0</v>
      </c>
      <c r="E79" s="16" t="n">
        <f aca="false">SUMIFS($J$30:$J$69,$D$30:$D$69,$A79,$L$30:$L$69,"2026/27")</f>
        <v>0</v>
      </c>
      <c r="F79" s="16"/>
    </row>
    <row r="80" customFormat="false" ht="15" hidden="false" customHeight="false" outlineLevel="0" collapsed="false">
      <c r="A80" s="21" t="s">
        <v>51</v>
      </c>
      <c r="D80" s="16" t="n">
        <f aca="false">SUMIFS($J$30:$J$69,$D$30:$D$69,$A80,$L$30:$L$69,"2025/26")</f>
        <v>0</v>
      </c>
      <c r="E80" s="16" t="n">
        <f aca="false">SUMIFS($J$30:$J$69,$D$30:$D$69,$A80,$L$30:$L$69,"2026/27")</f>
        <v>0</v>
      </c>
      <c r="F80" s="16"/>
    </row>
    <row r="81" customFormat="false" ht="15" hidden="false" customHeight="false" outlineLevel="0" collapsed="false">
      <c r="A81" s="21" t="s">
        <v>53</v>
      </c>
      <c r="D81" s="16" t="n">
        <f aca="false">SUMIFS($J$30:$J$69,$D$30:$D$69,$A81,$L$30:$L$69,"2025/26")</f>
        <v>0</v>
      </c>
      <c r="E81" s="16" t="n">
        <f aca="false">SUMIFS($J$30:$J$69,$D$30:$D$69,$A81,$L$30:$L$69,"2026/27")</f>
        <v>0</v>
      </c>
      <c r="F81" s="16"/>
    </row>
    <row r="82" customFormat="false" ht="15" hidden="false" customHeight="false" outlineLevel="0" collapsed="false">
      <c r="A82" s="21" t="s">
        <v>55</v>
      </c>
      <c r="D82" s="16" t="n">
        <f aca="false">SUMIFS($J$30:$J$69,$D$30:$D$69,$A82,$L$30:$L$69,"2025/26")</f>
        <v>0</v>
      </c>
      <c r="E82" s="16" t="n">
        <f aca="false">SUMIFS($J$30:$J$69,$D$30:$D$69,$A82,$L$30:$L$69,"2026/27")</f>
        <v>0</v>
      </c>
      <c r="F82" s="16"/>
    </row>
    <row r="83" customFormat="false" ht="15" hidden="false" customHeight="false" outlineLevel="0" collapsed="false">
      <c r="A83" s="21" t="s">
        <v>57</v>
      </c>
      <c r="D83" s="16" t="n">
        <f aca="false">SUMIFS($J$30:$J$69,$D$30:$D$69,$A83,$L$30:$L$69,"2025/26")</f>
        <v>0</v>
      </c>
      <c r="E83" s="16" t="n">
        <f aca="false">SUMIFS($J$30:$J$69,$D$30:$D$69,$A83,$L$30:$L$69,"2026/27")</f>
        <v>0</v>
      </c>
      <c r="F83" s="16"/>
    </row>
    <row r="84" customFormat="false" ht="15" hidden="false" customHeight="false" outlineLevel="0" collapsed="false">
      <c r="A84" s="21" t="s">
        <v>59</v>
      </c>
      <c r="D84" s="16" t="n">
        <f aca="false">SUMIFS($J$30:$J$69,$D$30:$D$69,$A84,$L$30:$L$69,"2025/26")</f>
        <v>0</v>
      </c>
      <c r="E84" s="16" t="n">
        <f aca="false">SUMIFS($J$30:$J$69,$D$30:$D$69,$A84,$L$30:$L$69,"2026/27")</f>
        <v>0</v>
      </c>
      <c r="F84" s="16"/>
    </row>
    <row r="85" customFormat="false" ht="15" hidden="false" customHeight="false" outlineLevel="0" collapsed="false">
      <c r="A85" s="21" t="s">
        <v>61</v>
      </c>
      <c r="D85" s="16" t="n">
        <f aca="false">SUMIFS($J$30:$J$69,$D$30:$D$69,$A85,$L$30:$L$69,"2025/26")</f>
        <v>0</v>
      </c>
      <c r="E85" s="16" t="n">
        <f aca="false">SUMIFS($J$30:$J$69,$D$30:$D$69,$A85,$L$30:$L$69,"2026/27")</f>
        <v>0</v>
      </c>
      <c r="F85" s="16"/>
    </row>
    <row r="86" customFormat="false" ht="15" hidden="false" customHeight="false" outlineLevel="0" collapsed="false">
      <c r="A86" s="21" t="s">
        <v>63</v>
      </c>
      <c r="D86" s="16" t="n">
        <f aca="false">SUMIFS($J$30:$J$69,$D$30:$D$69,$A86,$L$30:$L$69,"2025/26")</f>
        <v>0</v>
      </c>
      <c r="E86" s="16" t="n">
        <f aca="false">SUMIFS($J$30:$J$69,$D$30:$D$69,$A86,$L$30:$L$69,"2026/27")</f>
        <v>0</v>
      </c>
      <c r="F86" s="16"/>
    </row>
    <row r="87" customFormat="false" ht="15" hidden="false" customHeight="false" outlineLevel="0" collapsed="false">
      <c r="A87" s="21" t="s">
        <v>64</v>
      </c>
      <c r="D87" s="16" t="n">
        <f aca="false">SUMIFS($J$30:$J$69,$D$30:$D$69,$A87,$L$30:$L$69,"2025/26")</f>
        <v>0</v>
      </c>
      <c r="E87" s="16" t="n">
        <f aca="false">SUMIFS($J$30:$J$69,$D$30:$D$69,$A87,$L$30:$L$69,"2026/27")</f>
        <v>0</v>
      </c>
      <c r="F87" s="16"/>
    </row>
    <row r="88" customFormat="false" ht="15" hidden="false" customHeight="false" outlineLevel="0" collapsed="false">
      <c r="A88" s="17" t="s">
        <v>198</v>
      </c>
      <c r="D88" s="18" t="n">
        <f aca="false">SUM(D75:D86)</f>
        <v>0</v>
      </c>
      <c r="E88" s="18" t="n">
        <f aca="false">SUM(E75:E86)</f>
        <v>0</v>
      </c>
      <c r="F88" s="18"/>
    </row>
    <row r="89" customFormat="false" ht="15" hidden="false" customHeight="false" outlineLevel="0" collapsed="false">
      <c r="A89" s="17" t="s">
        <v>199</v>
      </c>
      <c r="D89" s="18" t="n">
        <f aca="false">D74-D88-D87</f>
        <v>0</v>
      </c>
      <c r="E89" s="18" t="n">
        <f aca="false">E74-E88-E87</f>
        <v>0</v>
      </c>
      <c r="F89" s="18"/>
    </row>
    <row r="90" customFormat="false" ht="15" hidden="false" customHeight="false" outlineLevel="0" collapsed="false">
      <c r="A90" s="37" t="s">
        <v>200</v>
      </c>
    </row>
    <row r="91" customFormat="false" ht="15" hidden="false" customHeight="false" outlineLevel="0" collapsed="false">
      <c r="A91" s="21" t="s">
        <v>201</v>
      </c>
      <c r="D91" s="16" t="n">
        <f aca="false">SUMIFS($J$30:$J$69,$D$30:$D$69,"")</f>
        <v>0</v>
      </c>
    </row>
  </sheetData>
  <mergeCells count="17"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</mergeCells>
  <dataValidations count="5">
    <dataValidation allowBlank="true" error="0%〜100%で入力してください" errorStyle="stop" operator="between" showDropDown="false" showErrorMessage="true" showInputMessage="false" sqref="I30:I69" type="decimal">
      <formula1>0</formula1>
      <formula2>1</formula2>
    </dataValidation>
    <dataValidation allowBlank="true" errorStyle="stop" operator="between" showDropDown="false" showErrorMessage="false" showInputMessage="false" sqref="E6:E25 E30:E69" type="list">
      <formula1>_list!$B$1:$B$2</formula1>
      <formula2>0</formula2>
    </dataValidation>
    <dataValidation allowBlank="true" errorStyle="stop" operator="between" showDropDown="false" showErrorMessage="false" showInputMessage="false" sqref="D30:D69" type="list">
      <formula1>_list!$A$1:$A$13</formula1>
      <formula2>0</formula2>
    </dataValidation>
    <dataValidation allowBlank="true" errorStyle="stop" operator="between" showDropDown="false" showErrorMessage="false" showInputMessage="false" sqref="D6:D25" type="list">
      <formula1>_list!$C$1:$C$7</formula1>
      <formula2>0</formula2>
    </dataValidation>
    <dataValidation allowBlank="true" error="日付で入力してください（例：2025/5/2）" errorStyle="stop" operator="between" showDropDown="false" showErrorMessage="true" showInputMessage="false" sqref="A6:A25 A30:A69" type="date">
      <formula1>DATE(2025,4,1)</formula1>
      <formula2>DATE(2027,12,31)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24"/>
  </cols>
  <sheetData>
    <row r="1" customFormat="false" ht="19.4" hidden="false" customHeight="false" outlineLevel="0" collapsed="false">
      <c r="A1" s="1" t="s">
        <v>218</v>
      </c>
      <c r="J1" s="3" t="s">
        <v>164</v>
      </c>
      <c r="L1" s="25" t="str">
        <f aca="false">IF(為替レート!$B$22="","未入力",為替レート!$B$22)</f>
        <v>未入力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26" t="s">
        <v>166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customFormat="false" ht="30" hidden="false" customHeight="true" outlineLevel="0" collapsed="false">
      <c r="A5" s="9" t="s">
        <v>167</v>
      </c>
      <c r="B5" s="9" t="s">
        <v>168</v>
      </c>
      <c r="C5" s="9" t="s">
        <v>169</v>
      </c>
      <c r="D5" s="9" t="s">
        <v>170</v>
      </c>
      <c r="E5" s="9" t="s">
        <v>171</v>
      </c>
      <c r="F5" s="9" t="s">
        <v>172</v>
      </c>
      <c r="G5" s="9" t="s">
        <v>173</v>
      </c>
      <c r="H5" s="9" t="s">
        <v>174</v>
      </c>
      <c r="I5" s="9" t="s">
        <v>175</v>
      </c>
      <c r="J5" s="9" t="s">
        <v>176</v>
      </c>
      <c r="K5" s="9"/>
      <c r="L5" s="9"/>
      <c r="M5" s="9"/>
      <c r="N5" s="9" t="s">
        <v>177</v>
      </c>
    </row>
    <row r="6" customFormat="false" ht="15" hidden="false" customHeight="false" outlineLevel="0" collapsed="false">
      <c r="A6" s="31"/>
      <c r="B6" s="13"/>
      <c r="C6" s="13"/>
      <c r="D6" s="32"/>
      <c r="E6" s="32"/>
      <c r="F6" s="14"/>
      <c r="G6" s="23"/>
      <c r="H6" s="16" t="str">
        <f aca="false">IF(F6="","",IF(G6&lt;&gt;"",G6,IF(E6="JPY",IF(ISNUMBER($L$1),ROUND(F6/$L$1,2),"レート未入力"),F6)))</f>
        <v/>
      </c>
      <c r="I6" s="13"/>
      <c r="J6" s="22" t="str">
        <f aca="false">IF(A6="","",IF(A6&lt;DATE(2025,4,6),"2024/25",IF(A6&lt;DATE(2026,4,6),"2025/26",IF(A6&lt;DATE(2027,4,6),"2026/27","2027/28"))))</f>
        <v/>
      </c>
      <c r="N6" s="13"/>
    </row>
    <row r="7" customFormat="false" ht="15" hidden="false" customHeight="false" outlineLevel="0" collapsed="false">
      <c r="A7" s="31"/>
      <c r="B7" s="13"/>
      <c r="C7" s="13"/>
      <c r="D7" s="32"/>
      <c r="E7" s="32"/>
      <c r="F7" s="14"/>
      <c r="G7" s="23"/>
      <c r="H7" s="16" t="str">
        <f aca="false">IF(F7="","",IF(G7&lt;&gt;"",G7,IF(E7="JPY",IF(ISNUMBER($L$1),ROUND(F7/$L$1,2),"レート未入力"),F7)))</f>
        <v/>
      </c>
      <c r="I7" s="13"/>
      <c r="J7" s="22" t="str">
        <f aca="false">IF(A7="","",IF(A7&lt;DATE(2025,4,6),"2024/25",IF(A7&lt;DATE(2026,4,6),"2025/26",IF(A7&lt;DATE(2027,4,6),"2026/27","2027/28"))))</f>
        <v/>
      </c>
      <c r="N7" s="13"/>
    </row>
    <row r="8" customFormat="false" ht="15" hidden="false" customHeight="false" outlineLevel="0" collapsed="false">
      <c r="A8" s="31"/>
      <c r="B8" s="13"/>
      <c r="C8" s="13"/>
      <c r="D8" s="32"/>
      <c r="E8" s="32"/>
      <c r="F8" s="14"/>
      <c r="G8" s="23"/>
      <c r="H8" s="16" t="str">
        <f aca="false">IF(F8="","",IF(G8&lt;&gt;"",G8,IF(E8="JPY",IF(ISNUMBER($L$1),ROUND(F8/$L$1,2),"レート未入力"),F8)))</f>
        <v/>
      </c>
      <c r="I8" s="13"/>
      <c r="J8" s="22" t="str">
        <f aca="false">IF(A8="","",IF(A8&lt;DATE(2025,4,6),"2024/25",IF(A8&lt;DATE(2026,4,6),"2025/26",IF(A8&lt;DATE(2027,4,6),"2026/27","2027/28"))))</f>
        <v/>
      </c>
      <c r="N8" s="13"/>
    </row>
    <row r="9" customFormat="false" ht="15" hidden="false" customHeight="false" outlineLevel="0" collapsed="false">
      <c r="A9" s="31"/>
      <c r="B9" s="13"/>
      <c r="C9" s="13"/>
      <c r="D9" s="32"/>
      <c r="E9" s="32"/>
      <c r="F9" s="14"/>
      <c r="G9" s="23"/>
      <c r="H9" s="16" t="str">
        <f aca="false">IF(F9="","",IF(G9&lt;&gt;"",G9,IF(E9="JPY",IF(ISNUMBER($L$1),ROUND(F9/$L$1,2),"レート未入力"),F9)))</f>
        <v/>
      </c>
      <c r="I9" s="13"/>
      <c r="J9" s="22" t="str">
        <f aca="false">IF(A9="","",IF(A9&lt;DATE(2025,4,6),"2024/25",IF(A9&lt;DATE(2026,4,6),"2025/26",IF(A9&lt;DATE(2027,4,6),"2026/27","2027/28"))))</f>
        <v/>
      </c>
      <c r="N9" s="13"/>
    </row>
    <row r="10" customFormat="false" ht="15" hidden="false" customHeight="false" outlineLevel="0" collapsed="false">
      <c r="A10" s="31"/>
      <c r="B10" s="13"/>
      <c r="C10" s="13"/>
      <c r="D10" s="32"/>
      <c r="E10" s="32"/>
      <c r="F10" s="14"/>
      <c r="G10" s="23"/>
      <c r="H10" s="16" t="str">
        <f aca="false">IF(F10="","",IF(G10&lt;&gt;"",G10,IF(E10="JPY",IF(ISNUMBER($L$1),ROUND(F10/$L$1,2),"レート未入力"),F10)))</f>
        <v/>
      </c>
      <c r="I10" s="13"/>
      <c r="J10" s="22" t="str">
        <f aca="false">IF(A10="","",IF(A10&lt;DATE(2025,4,6),"2024/25",IF(A10&lt;DATE(2026,4,6),"2025/26",IF(A10&lt;DATE(2027,4,6),"2026/27","2027/28"))))</f>
        <v/>
      </c>
      <c r="N10" s="13"/>
    </row>
    <row r="11" customFormat="false" ht="15" hidden="false" customHeight="false" outlineLevel="0" collapsed="false">
      <c r="A11" s="31"/>
      <c r="B11" s="13"/>
      <c r="C11" s="13"/>
      <c r="D11" s="32"/>
      <c r="E11" s="32"/>
      <c r="F11" s="14"/>
      <c r="G11" s="23"/>
      <c r="H11" s="16" t="str">
        <f aca="false">IF(F11="","",IF(G11&lt;&gt;"",G11,IF(E11="JPY",IF(ISNUMBER($L$1),ROUND(F11/$L$1,2),"レート未入力"),F11)))</f>
        <v/>
      </c>
      <c r="I11" s="13"/>
      <c r="J11" s="22" t="str">
        <f aca="false">IF(A11="","",IF(A11&lt;DATE(2025,4,6),"2024/25",IF(A11&lt;DATE(2026,4,6),"2025/26",IF(A11&lt;DATE(2027,4,6),"2026/27","2027/28"))))</f>
        <v/>
      </c>
      <c r="N11" s="13"/>
    </row>
    <row r="12" customFormat="false" ht="15" hidden="false" customHeight="false" outlineLevel="0" collapsed="false">
      <c r="A12" s="31"/>
      <c r="B12" s="13"/>
      <c r="C12" s="13"/>
      <c r="D12" s="32"/>
      <c r="E12" s="32"/>
      <c r="F12" s="14"/>
      <c r="G12" s="23"/>
      <c r="H12" s="16" t="str">
        <f aca="false">IF(F12="","",IF(G12&lt;&gt;"",G12,IF(E12="JPY",IF(ISNUMBER($L$1),ROUND(F12/$L$1,2),"レート未入力"),F12)))</f>
        <v/>
      </c>
      <c r="I12" s="13"/>
      <c r="J12" s="22" t="str">
        <f aca="false">IF(A12="","",IF(A12&lt;DATE(2025,4,6),"2024/25",IF(A12&lt;DATE(2026,4,6),"2025/26",IF(A12&lt;DATE(2027,4,6),"2026/27","2027/28"))))</f>
        <v/>
      </c>
      <c r="N12" s="13"/>
    </row>
    <row r="13" customFormat="false" ht="15" hidden="false" customHeight="false" outlineLevel="0" collapsed="false">
      <c r="A13" s="31"/>
      <c r="B13" s="13"/>
      <c r="C13" s="13"/>
      <c r="D13" s="32"/>
      <c r="E13" s="32"/>
      <c r="F13" s="14"/>
      <c r="G13" s="23"/>
      <c r="H13" s="16" t="str">
        <f aca="false">IF(F13="","",IF(G13&lt;&gt;"",G13,IF(E13="JPY",IF(ISNUMBER($L$1),ROUND(F13/$L$1,2),"レート未入力"),F13)))</f>
        <v/>
      </c>
      <c r="I13" s="13"/>
      <c r="J13" s="22" t="str">
        <f aca="false">IF(A13="","",IF(A13&lt;DATE(2025,4,6),"2024/25",IF(A13&lt;DATE(2026,4,6),"2025/26",IF(A13&lt;DATE(2027,4,6),"2026/27","2027/28"))))</f>
        <v/>
      </c>
      <c r="N13" s="13"/>
    </row>
    <row r="14" customFormat="false" ht="15" hidden="false" customHeight="false" outlineLevel="0" collapsed="false">
      <c r="A14" s="31"/>
      <c r="B14" s="13"/>
      <c r="C14" s="13"/>
      <c r="D14" s="32"/>
      <c r="E14" s="32"/>
      <c r="F14" s="14"/>
      <c r="G14" s="23"/>
      <c r="H14" s="16" t="str">
        <f aca="false">IF(F14="","",IF(G14&lt;&gt;"",G14,IF(E14="JPY",IF(ISNUMBER($L$1),ROUND(F14/$L$1,2),"レート未入力"),F14)))</f>
        <v/>
      </c>
      <c r="I14" s="13"/>
      <c r="J14" s="22" t="str">
        <f aca="false">IF(A14="","",IF(A14&lt;DATE(2025,4,6),"2024/25",IF(A14&lt;DATE(2026,4,6),"2025/26",IF(A14&lt;DATE(2027,4,6),"2026/27","2027/28"))))</f>
        <v/>
      </c>
      <c r="N14" s="13"/>
    </row>
    <row r="15" customFormat="false" ht="15" hidden="false" customHeight="false" outlineLevel="0" collapsed="false">
      <c r="A15" s="31"/>
      <c r="B15" s="13"/>
      <c r="C15" s="13"/>
      <c r="D15" s="32"/>
      <c r="E15" s="32"/>
      <c r="F15" s="14"/>
      <c r="G15" s="23"/>
      <c r="H15" s="16" t="str">
        <f aca="false">IF(F15="","",IF(G15&lt;&gt;"",G15,IF(E15="JPY",IF(ISNUMBER($L$1),ROUND(F15/$L$1,2),"レート未入力"),F15)))</f>
        <v/>
      </c>
      <c r="I15" s="13"/>
      <c r="J15" s="22" t="str">
        <f aca="false">IF(A15="","",IF(A15&lt;DATE(2025,4,6),"2024/25",IF(A15&lt;DATE(2026,4,6),"2025/26",IF(A15&lt;DATE(2027,4,6),"2026/27","2027/28"))))</f>
        <v/>
      </c>
      <c r="N15" s="13"/>
    </row>
    <row r="16" customFormat="false" ht="15" hidden="false" customHeight="false" outlineLevel="0" collapsed="false">
      <c r="A16" s="31"/>
      <c r="B16" s="13"/>
      <c r="C16" s="13"/>
      <c r="D16" s="32"/>
      <c r="E16" s="32"/>
      <c r="F16" s="14"/>
      <c r="G16" s="23"/>
      <c r="H16" s="16" t="str">
        <f aca="false">IF(F16="","",IF(G16&lt;&gt;"",G16,IF(E16="JPY",IF(ISNUMBER($L$1),ROUND(F16/$L$1,2),"レート未入力"),F16)))</f>
        <v/>
      </c>
      <c r="I16" s="13"/>
      <c r="J16" s="22" t="str">
        <f aca="false">IF(A16="","",IF(A16&lt;DATE(2025,4,6),"2024/25",IF(A16&lt;DATE(2026,4,6),"2025/26",IF(A16&lt;DATE(2027,4,6),"2026/27","2027/28"))))</f>
        <v/>
      </c>
      <c r="N16" s="13"/>
    </row>
    <row r="17" customFormat="false" ht="15" hidden="false" customHeight="false" outlineLevel="0" collapsed="false">
      <c r="A17" s="31"/>
      <c r="B17" s="13"/>
      <c r="C17" s="13"/>
      <c r="D17" s="32"/>
      <c r="E17" s="32"/>
      <c r="F17" s="14"/>
      <c r="G17" s="23"/>
      <c r="H17" s="16" t="str">
        <f aca="false">IF(F17="","",IF(G17&lt;&gt;"",G17,IF(E17="JPY",IF(ISNUMBER($L$1),ROUND(F17/$L$1,2),"レート未入力"),F17)))</f>
        <v/>
      </c>
      <c r="I17" s="13"/>
      <c r="J17" s="22" t="str">
        <f aca="false">IF(A17="","",IF(A17&lt;DATE(2025,4,6),"2024/25",IF(A17&lt;DATE(2026,4,6),"2025/26",IF(A17&lt;DATE(2027,4,6),"2026/27","2027/28"))))</f>
        <v/>
      </c>
      <c r="N17" s="13"/>
    </row>
    <row r="18" customFormat="false" ht="15" hidden="false" customHeight="false" outlineLevel="0" collapsed="false">
      <c r="A18" s="31"/>
      <c r="B18" s="13"/>
      <c r="C18" s="13"/>
      <c r="D18" s="32"/>
      <c r="E18" s="32"/>
      <c r="F18" s="14"/>
      <c r="G18" s="23"/>
      <c r="H18" s="16" t="str">
        <f aca="false">IF(F18="","",IF(G18&lt;&gt;"",G18,IF(E18="JPY",IF(ISNUMBER($L$1),ROUND(F18/$L$1,2),"レート未入力"),F18)))</f>
        <v/>
      </c>
      <c r="I18" s="13"/>
      <c r="J18" s="22" t="str">
        <f aca="false">IF(A18="","",IF(A18&lt;DATE(2025,4,6),"2024/25",IF(A18&lt;DATE(2026,4,6),"2025/26",IF(A18&lt;DATE(2027,4,6),"2026/27","2027/28"))))</f>
        <v/>
      </c>
      <c r="N18" s="13"/>
    </row>
    <row r="19" customFormat="false" ht="15" hidden="false" customHeight="false" outlineLevel="0" collapsed="false">
      <c r="A19" s="31"/>
      <c r="B19" s="13"/>
      <c r="C19" s="13"/>
      <c r="D19" s="32"/>
      <c r="E19" s="32"/>
      <c r="F19" s="14"/>
      <c r="G19" s="23"/>
      <c r="H19" s="16" t="str">
        <f aca="false">IF(F19="","",IF(G19&lt;&gt;"",G19,IF(E19="JPY",IF(ISNUMBER($L$1),ROUND(F19/$L$1,2),"レート未入力"),F19)))</f>
        <v/>
      </c>
      <c r="I19" s="13"/>
      <c r="J19" s="22" t="str">
        <f aca="false">IF(A19="","",IF(A19&lt;DATE(2025,4,6),"2024/25",IF(A19&lt;DATE(2026,4,6),"2025/26",IF(A19&lt;DATE(2027,4,6),"2026/27","2027/28"))))</f>
        <v/>
      </c>
      <c r="N19" s="13"/>
    </row>
    <row r="20" customFormat="false" ht="15" hidden="false" customHeight="false" outlineLevel="0" collapsed="false">
      <c r="A20" s="31"/>
      <c r="B20" s="13"/>
      <c r="C20" s="13"/>
      <c r="D20" s="32"/>
      <c r="E20" s="32"/>
      <c r="F20" s="14"/>
      <c r="G20" s="23"/>
      <c r="H20" s="16" t="str">
        <f aca="false">IF(F20="","",IF(G20&lt;&gt;"",G20,IF(E20="JPY",IF(ISNUMBER($L$1),ROUND(F20/$L$1,2),"レート未入力"),F20)))</f>
        <v/>
      </c>
      <c r="I20" s="13"/>
      <c r="J20" s="22" t="str">
        <f aca="false">IF(A20="","",IF(A20&lt;DATE(2025,4,6),"2024/25",IF(A20&lt;DATE(2026,4,6),"2025/26",IF(A20&lt;DATE(2027,4,6),"2026/27","2027/28"))))</f>
        <v/>
      </c>
      <c r="N20" s="13"/>
    </row>
    <row r="21" customFormat="false" ht="15" hidden="false" customHeight="false" outlineLevel="0" collapsed="false">
      <c r="A21" s="31"/>
      <c r="B21" s="13"/>
      <c r="C21" s="13"/>
      <c r="D21" s="32"/>
      <c r="E21" s="32"/>
      <c r="F21" s="14"/>
      <c r="G21" s="23"/>
      <c r="H21" s="16" t="str">
        <f aca="false">IF(F21="","",IF(G21&lt;&gt;"",G21,IF(E21="JPY",IF(ISNUMBER($L$1),ROUND(F21/$L$1,2),"レート未入力"),F21)))</f>
        <v/>
      </c>
      <c r="I21" s="13"/>
      <c r="J21" s="22" t="str">
        <f aca="false">IF(A21="","",IF(A21&lt;DATE(2025,4,6),"2024/25",IF(A21&lt;DATE(2026,4,6),"2025/26",IF(A21&lt;DATE(2027,4,6),"2026/27","2027/28"))))</f>
        <v/>
      </c>
      <c r="N21" s="13"/>
    </row>
    <row r="22" customFormat="false" ht="15" hidden="false" customHeight="false" outlineLevel="0" collapsed="false">
      <c r="A22" s="31"/>
      <c r="B22" s="13"/>
      <c r="C22" s="13"/>
      <c r="D22" s="32"/>
      <c r="E22" s="32"/>
      <c r="F22" s="14"/>
      <c r="G22" s="23"/>
      <c r="H22" s="16" t="str">
        <f aca="false">IF(F22="","",IF(G22&lt;&gt;"",G22,IF(E22="JPY",IF(ISNUMBER($L$1),ROUND(F22/$L$1,2),"レート未入力"),F22)))</f>
        <v/>
      </c>
      <c r="I22" s="13"/>
      <c r="J22" s="22" t="str">
        <f aca="false">IF(A22="","",IF(A22&lt;DATE(2025,4,6),"2024/25",IF(A22&lt;DATE(2026,4,6),"2025/26",IF(A22&lt;DATE(2027,4,6),"2026/27","2027/28"))))</f>
        <v/>
      </c>
      <c r="N22" s="13"/>
    </row>
    <row r="23" customFormat="false" ht="15" hidden="false" customHeight="false" outlineLevel="0" collapsed="false">
      <c r="A23" s="31"/>
      <c r="B23" s="13"/>
      <c r="C23" s="13"/>
      <c r="D23" s="32"/>
      <c r="E23" s="32"/>
      <c r="F23" s="14"/>
      <c r="G23" s="23"/>
      <c r="H23" s="16" t="str">
        <f aca="false">IF(F23="","",IF(G23&lt;&gt;"",G23,IF(E23="JPY",IF(ISNUMBER($L$1),ROUND(F23/$L$1,2),"レート未入力"),F23)))</f>
        <v/>
      </c>
      <c r="I23" s="13"/>
      <c r="J23" s="22" t="str">
        <f aca="false">IF(A23="","",IF(A23&lt;DATE(2025,4,6),"2024/25",IF(A23&lt;DATE(2026,4,6),"2025/26",IF(A23&lt;DATE(2027,4,6),"2026/27","2027/28"))))</f>
        <v/>
      </c>
      <c r="N23" s="13"/>
    </row>
    <row r="24" customFormat="false" ht="15" hidden="false" customHeight="false" outlineLevel="0" collapsed="false">
      <c r="A24" s="31"/>
      <c r="B24" s="13"/>
      <c r="C24" s="13"/>
      <c r="D24" s="32"/>
      <c r="E24" s="32"/>
      <c r="F24" s="14"/>
      <c r="G24" s="23"/>
      <c r="H24" s="16" t="str">
        <f aca="false">IF(F24="","",IF(G24&lt;&gt;"",G24,IF(E24="JPY",IF(ISNUMBER($L$1),ROUND(F24/$L$1,2),"レート未入力"),F24)))</f>
        <v/>
      </c>
      <c r="I24" s="13"/>
      <c r="J24" s="22" t="str">
        <f aca="false">IF(A24="","",IF(A24&lt;DATE(2025,4,6),"2024/25",IF(A24&lt;DATE(2026,4,6),"2025/26",IF(A24&lt;DATE(2027,4,6),"2026/27","2027/28"))))</f>
        <v/>
      </c>
      <c r="N24" s="13"/>
    </row>
    <row r="25" customFormat="false" ht="15" hidden="false" customHeight="false" outlineLevel="0" collapsed="false">
      <c r="A25" s="31"/>
      <c r="B25" s="13"/>
      <c r="C25" s="13"/>
      <c r="D25" s="32"/>
      <c r="E25" s="32"/>
      <c r="F25" s="14"/>
      <c r="G25" s="23"/>
      <c r="H25" s="16" t="str">
        <f aca="false">IF(F25="","",IF(G25&lt;&gt;"",G25,IF(E25="JPY",IF(ISNUMBER($L$1),ROUND(F25/$L$1,2),"レート未入力"),F25)))</f>
        <v/>
      </c>
      <c r="I25" s="13"/>
      <c r="J25" s="22" t="str">
        <f aca="false">IF(A25="","",IF(A25&lt;DATE(2025,4,6),"2024/25",IF(A25&lt;DATE(2026,4,6),"2025/26",IF(A25&lt;DATE(2027,4,6),"2026/27","2027/28"))))</f>
        <v/>
      </c>
      <c r="N25" s="13"/>
    </row>
    <row r="26" customFormat="false" ht="15" hidden="false" customHeight="false" outlineLevel="0" collapsed="false">
      <c r="A26" s="3" t="s">
        <v>183</v>
      </c>
      <c r="H26" s="18" t="n">
        <f aca="false">SUM(H6:H25)</f>
        <v>0</v>
      </c>
    </row>
    <row r="28" customFormat="false" ht="15" hidden="false" customHeight="false" outlineLevel="0" collapsed="false">
      <c r="A28" s="26" t="s">
        <v>184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</row>
    <row r="29" customFormat="false" ht="30" hidden="false" customHeight="true" outlineLevel="0" collapsed="false">
      <c r="A29" s="9" t="s">
        <v>167</v>
      </c>
      <c r="B29" s="9" t="s">
        <v>185</v>
      </c>
      <c r="C29" s="9" t="s">
        <v>169</v>
      </c>
      <c r="D29" s="9" t="s">
        <v>38</v>
      </c>
      <c r="E29" s="9" t="s">
        <v>171</v>
      </c>
      <c r="F29" s="9" t="s">
        <v>172</v>
      </c>
      <c r="G29" s="9" t="s">
        <v>173</v>
      </c>
      <c r="H29" s="10" t="s">
        <v>186</v>
      </c>
      <c r="I29" s="9" t="s">
        <v>187</v>
      </c>
      <c r="J29" s="9" t="s">
        <v>188</v>
      </c>
      <c r="K29" s="9" t="s">
        <v>189</v>
      </c>
      <c r="L29" s="9" t="s">
        <v>176</v>
      </c>
      <c r="M29" s="9"/>
      <c r="N29" s="9" t="s">
        <v>177</v>
      </c>
    </row>
    <row r="30" customFormat="false" ht="15" hidden="false" customHeight="false" outlineLevel="0" collapsed="false">
      <c r="A30" s="31"/>
      <c r="B30" s="13"/>
      <c r="C30" s="13"/>
      <c r="D30" s="32"/>
      <c r="E30" s="32"/>
      <c r="F30" s="14"/>
      <c r="G30" s="23"/>
      <c r="H30" s="16" t="str">
        <f aca="false">IF(F30="","",IF(G30&lt;&gt;"",G30,IF(E30="JPY",IF(ISNUMBER($L$1),ROUND(F30/$L$1,2),"レート未入力"),F30)))</f>
        <v/>
      </c>
      <c r="I30" s="33"/>
      <c r="J30" s="16" t="str">
        <f aca="false">IF(ISNUMBER(H30),ROUND(H30*IF(I30="",1,I30),2),"")</f>
        <v/>
      </c>
      <c r="K30" s="35"/>
      <c r="L30" s="22" t="str">
        <f aca="false">IF(A30="","",IF(A30&lt;DATE(2025,4,6),"2024/25",IF(A30&lt;DATE(2026,4,6),"2025/26",IF(A30&lt;DATE(2027,4,6),"2026/27","2027/28"))))</f>
        <v/>
      </c>
      <c r="N30" s="13"/>
    </row>
    <row r="31" customFormat="false" ht="15" hidden="false" customHeight="false" outlineLevel="0" collapsed="false">
      <c r="A31" s="31"/>
      <c r="B31" s="13"/>
      <c r="C31" s="13"/>
      <c r="D31" s="32"/>
      <c r="E31" s="32"/>
      <c r="F31" s="14"/>
      <c r="G31" s="23"/>
      <c r="H31" s="16" t="str">
        <f aca="false">IF(F31="","",IF(G31&lt;&gt;"",G31,IF(E31="JPY",IF(ISNUMBER($L$1),ROUND(F31/$L$1,2),"レート未入力"),F31)))</f>
        <v/>
      </c>
      <c r="I31" s="33"/>
      <c r="J31" s="16" t="str">
        <f aca="false">IF(ISNUMBER(H31),ROUND(H31*IF(I31="",1,I31),2),"")</f>
        <v/>
      </c>
      <c r="K31" s="35"/>
      <c r="L31" s="22" t="str">
        <f aca="false">IF(A31="","",IF(A31&lt;DATE(2025,4,6),"2024/25",IF(A31&lt;DATE(2026,4,6),"2025/26",IF(A31&lt;DATE(2027,4,6),"2026/27","2027/28"))))</f>
        <v/>
      </c>
      <c r="N31" s="13"/>
    </row>
    <row r="32" customFormat="false" ht="15" hidden="false" customHeight="false" outlineLevel="0" collapsed="false">
      <c r="A32" s="31"/>
      <c r="B32" s="13"/>
      <c r="C32" s="13"/>
      <c r="D32" s="32"/>
      <c r="E32" s="32"/>
      <c r="F32" s="14"/>
      <c r="G32" s="23"/>
      <c r="H32" s="16" t="str">
        <f aca="false">IF(F32="","",IF(G32&lt;&gt;"",G32,IF(E32="JPY",IF(ISNUMBER($L$1),ROUND(F32/$L$1,2),"レート未入力"),F32)))</f>
        <v/>
      </c>
      <c r="I32" s="33"/>
      <c r="J32" s="16" t="str">
        <f aca="false">IF(ISNUMBER(H32),ROUND(H32*IF(I32="",1,I32),2),"")</f>
        <v/>
      </c>
      <c r="K32" s="35"/>
      <c r="L32" s="22" t="str">
        <f aca="false">IF(A32="","",IF(A32&lt;DATE(2025,4,6),"2024/25",IF(A32&lt;DATE(2026,4,6),"2025/26",IF(A32&lt;DATE(2027,4,6),"2026/27","2027/28"))))</f>
        <v/>
      </c>
      <c r="N32" s="13"/>
    </row>
    <row r="33" customFormat="false" ht="15" hidden="false" customHeight="false" outlineLevel="0" collapsed="false">
      <c r="A33" s="31"/>
      <c r="B33" s="13"/>
      <c r="C33" s="13"/>
      <c r="D33" s="32"/>
      <c r="E33" s="32"/>
      <c r="F33" s="14"/>
      <c r="G33" s="23"/>
      <c r="H33" s="16" t="str">
        <f aca="false">IF(F33="","",IF(G33&lt;&gt;"",G33,IF(E33="JPY",IF(ISNUMBER($L$1),ROUND(F33/$L$1,2),"レート未入力"),F33)))</f>
        <v/>
      </c>
      <c r="I33" s="33"/>
      <c r="J33" s="16" t="str">
        <f aca="false">IF(ISNUMBER(H33),ROUND(H33*IF(I33="",1,I33),2),"")</f>
        <v/>
      </c>
      <c r="K33" s="35"/>
      <c r="L33" s="22" t="str">
        <f aca="false">IF(A33="","",IF(A33&lt;DATE(2025,4,6),"2024/25",IF(A33&lt;DATE(2026,4,6),"2025/26",IF(A33&lt;DATE(2027,4,6),"2026/27","2027/28"))))</f>
        <v/>
      </c>
      <c r="N33" s="13"/>
    </row>
    <row r="34" customFormat="false" ht="15" hidden="false" customHeight="false" outlineLevel="0" collapsed="false">
      <c r="A34" s="31"/>
      <c r="B34" s="13"/>
      <c r="C34" s="13"/>
      <c r="D34" s="32"/>
      <c r="E34" s="32"/>
      <c r="F34" s="14"/>
      <c r="G34" s="23"/>
      <c r="H34" s="16" t="str">
        <f aca="false">IF(F34="","",IF(G34&lt;&gt;"",G34,IF(E34="JPY",IF(ISNUMBER($L$1),ROUND(F34/$L$1,2),"レート未入力"),F34)))</f>
        <v/>
      </c>
      <c r="I34" s="33"/>
      <c r="J34" s="16" t="str">
        <f aca="false">IF(ISNUMBER(H34),ROUND(H34*IF(I34="",1,I34),2),"")</f>
        <v/>
      </c>
      <c r="K34" s="35"/>
      <c r="L34" s="22" t="str">
        <f aca="false">IF(A34="","",IF(A34&lt;DATE(2025,4,6),"2024/25",IF(A34&lt;DATE(2026,4,6),"2025/26",IF(A34&lt;DATE(2027,4,6),"2026/27","2027/28"))))</f>
        <v/>
      </c>
      <c r="N34" s="13"/>
    </row>
    <row r="35" customFormat="false" ht="15" hidden="false" customHeight="false" outlineLevel="0" collapsed="false">
      <c r="A35" s="31"/>
      <c r="B35" s="13"/>
      <c r="C35" s="13"/>
      <c r="D35" s="32"/>
      <c r="E35" s="32"/>
      <c r="F35" s="14"/>
      <c r="G35" s="23"/>
      <c r="H35" s="16" t="str">
        <f aca="false">IF(F35="","",IF(G35&lt;&gt;"",G35,IF(E35="JPY",IF(ISNUMBER($L$1),ROUND(F35/$L$1,2),"レート未入力"),F35)))</f>
        <v/>
      </c>
      <c r="I35" s="33"/>
      <c r="J35" s="16" t="str">
        <f aca="false">IF(ISNUMBER(H35),ROUND(H35*IF(I35="",1,I35),2),"")</f>
        <v/>
      </c>
      <c r="K35" s="35"/>
      <c r="L35" s="22" t="str">
        <f aca="false">IF(A35="","",IF(A35&lt;DATE(2025,4,6),"2024/25",IF(A35&lt;DATE(2026,4,6),"2025/26",IF(A35&lt;DATE(2027,4,6),"2026/27","2027/28"))))</f>
        <v/>
      </c>
      <c r="N35" s="13"/>
    </row>
    <row r="36" customFormat="false" ht="15" hidden="false" customHeight="false" outlineLevel="0" collapsed="false">
      <c r="A36" s="31"/>
      <c r="B36" s="13"/>
      <c r="C36" s="13"/>
      <c r="D36" s="32"/>
      <c r="E36" s="32"/>
      <c r="F36" s="14"/>
      <c r="G36" s="23"/>
      <c r="H36" s="16" t="str">
        <f aca="false">IF(F36="","",IF(G36&lt;&gt;"",G36,IF(E36="JPY",IF(ISNUMBER($L$1),ROUND(F36/$L$1,2),"レート未入力"),F36)))</f>
        <v/>
      </c>
      <c r="I36" s="33"/>
      <c r="J36" s="16" t="str">
        <f aca="false">IF(ISNUMBER(H36),ROUND(H36*IF(I36="",1,I36),2),"")</f>
        <v/>
      </c>
      <c r="K36" s="35"/>
      <c r="L36" s="22" t="str">
        <f aca="false">IF(A36="","",IF(A36&lt;DATE(2025,4,6),"2024/25",IF(A36&lt;DATE(2026,4,6),"2025/26",IF(A36&lt;DATE(2027,4,6),"2026/27","2027/28"))))</f>
        <v/>
      </c>
      <c r="N36" s="13"/>
    </row>
    <row r="37" customFormat="false" ht="15" hidden="false" customHeight="false" outlineLevel="0" collapsed="false">
      <c r="A37" s="31"/>
      <c r="B37" s="13"/>
      <c r="C37" s="13"/>
      <c r="D37" s="32"/>
      <c r="E37" s="32"/>
      <c r="F37" s="14"/>
      <c r="G37" s="23"/>
      <c r="H37" s="16" t="str">
        <f aca="false">IF(F37="","",IF(G37&lt;&gt;"",G37,IF(E37="JPY",IF(ISNUMBER($L$1),ROUND(F37/$L$1,2),"レート未入力"),F37)))</f>
        <v/>
      </c>
      <c r="I37" s="33"/>
      <c r="J37" s="16" t="str">
        <f aca="false">IF(ISNUMBER(H37),ROUND(H37*IF(I37="",1,I37),2),"")</f>
        <v/>
      </c>
      <c r="K37" s="35"/>
      <c r="L37" s="22" t="str">
        <f aca="false">IF(A37="","",IF(A37&lt;DATE(2025,4,6),"2024/25",IF(A37&lt;DATE(2026,4,6),"2025/26",IF(A37&lt;DATE(2027,4,6),"2026/27","2027/28"))))</f>
        <v/>
      </c>
      <c r="N37" s="13"/>
    </row>
    <row r="38" customFormat="false" ht="15" hidden="false" customHeight="false" outlineLevel="0" collapsed="false">
      <c r="A38" s="31"/>
      <c r="B38" s="13"/>
      <c r="C38" s="13"/>
      <c r="D38" s="32"/>
      <c r="E38" s="32"/>
      <c r="F38" s="14"/>
      <c r="G38" s="23"/>
      <c r="H38" s="16" t="str">
        <f aca="false">IF(F38="","",IF(G38&lt;&gt;"",G38,IF(E38="JPY",IF(ISNUMBER($L$1),ROUND(F38/$L$1,2),"レート未入力"),F38)))</f>
        <v/>
      </c>
      <c r="I38" s="33"/>
      <c r="J38" s="16" t="str">
        <f aca="false">IF(ISNUMBER(H38),ROUND(H38*IF(I38="",1,I38),2),"")</f>
        <v/>
      </c>
      <c r="K38" s="35"/>
      <c r="L38" s="22" t="str">
        <f aca="false">IF(A38="","",IF(A38&lt;DATE(2025,4,6),"2024/25",IF(A38&lt;DATE(2026,4,6),"2025/26",IF(A38&lt;DATE(2027,4,6),"2026/27","2027/28"))))</f>
        <v/>
      </c>
      <c r="N38" s="13"/>
    </row>
    <row r="39" customFormat="false" ht="15" hidden="false" customHeight="false" outlineLevel="0" collapsed="false">
      <c r="A39" s="31"/>
      <c r="B39" s="13"/>
      <c r="C39" s="13"/>
      <c r="D39" s="32"/>
      <c r="E39" s="32"/>
      <c r="F39" s="14"/>
      <c r="G39" s="23"/>
      <c r="H39" s="16" t="str">
        <f aca="false">IF(F39="","",IF(G39&lt;&gt;"",G39,IF(E39="JPY",IF(ISNUMBER($L$1),ROUND(F39/$L$1,2),"レート未入力"),F39)))</f>
        <v/>
      </c>
      <c r="I39" s="33"/>
      <c r="J39" s="16" t="str">
        <f aca="false">IF(ISNUMBER(H39),ROUND(H39*IF(I39="",1,I39),2),"")</f>
        <v/>
      </c>
      <c r="K39" s="35"/>
      <c r="L39" s="22" t="str">
        <f aca="false">IF(A39="","",IF(A39&lt;DATE(2025,4,6),"2024/25",IF(A39&lt;DATE(2026,4,6),"2025/26",IF(A39&lt;DATE(2027,4,6),"2026/27","2027/28"))))</f>
        <v/>
      </c>
      <c r="N39" s="13"/>
    </row>
    <row r="40" customFormat="false" ht="15" hidden="false" customHeight="false" outlineLevel="0" collapsed="false">
      <c r="A40" s="31"/>
      <c r="B40" s="13"/>
      <c r="C40" s="13"/>
      <c r="D40" s="32"/>
      <c r="E40" s="32"/>
      <c r="F40" s="14"/>
      <c r="G40" s="23"/>
      <c r="H40" s="16" t="str">
        <f aca="false">IF(F40="","",IF(G40&lt;&gt;"",G40,IF(E40="JPY",IF(ISNUMBER($L$1),ROUND(F40/$L$1,2),"レート未入力"),F40)))</f>
        <v/>
      </c>
      <c r="I40" s="33"/>
      <c r="J40" s="16" t="str">
        <f aca="false">IF(ISNUMBER(H40),ROUND(H40*IF(I40="",1,I40),2),"")</f>
        <v/>
      </c>
      <c r="K40" s="35"/>
      <c r="L40" s="22" t="str">
        <f aca="false">IF(A40="","",IF(A40&lt;DATE(2025,4,6),"2024/25",IF(A40&lt;DATE(2026,4,6),"2025/26",IF(A40&lt;DATE(2027,4,6),"2026/27","2027/28"))))</f>
        <v/>
      </c>
      <c r="N40" s="13"/>
    </row>
    <row r="41" customFormat="false" ht="15" hidden="false" customHeight="false" outlineLevel="0" collapsed="false">
      <c r="A41" s="31"/>
      <c r="B41" s="13"/>
      <c r="C41" s="13"/>
      <c r="D41" s="32"/>
      <c r="E41" s="32"/>
      <c r="F41" s="14"/>
      <c r="G41" s="23"/>
      <c r="H41" s="16" t="str">
        <f aca="false">IF(F41="","",IF(G41&lt;&gt;"",G41,IF(E41="JPY",IF(ISNUMBER($L$1),ROUND(F41/$L$1,2),"レート未入力"),F41)))</f>
        <v/>
      </c>
      <c r="I41" s="33"/>
      <c r="J41" s="16" t="str">
        <f aca="false">IF(ISNUMBER(H41),ROUND(H41*IF(I41="",1,I41),2),"")</f>
        <v/>
      </c>
      <c r="K41" s="35"/>
      <c r="L41" s="22" t="str">
        <f aca="false">IF(A41="","",IF(A41&lt;DATE(2025,4,6),"2024/25",IF(A41&lt;DATE(2026,4,6),"2025/26",IF(A41&lt;DATE(2027,4,6),"2026/27","2027/28"))))</f>
        <v/>
      </c>
      <c r="N41" s="13"/>
    </row>
    <row r="42" customFormat="false" ht="15" hidden="false" customHeight="false" outlineLevel="0" collapsed="false">
      <c r="A42" s="31"/>
      <c r="B42" s="13"/>
      <c r="C42" s="13"/>
      <c r="D42" s="32"/>
      <c r="E42" s="32"/>
      <c r="F42" s="14"/>
      <c r="G42" s="23"/>
      <c r="H42" s="16" t="str">
        <f aca="false">IF(F42="","",IF(G42&lt;&gt;"",G42,IF(E42="JPY",IF(ISNUMBER($L$1),ROUND(F42/$L$1,2),"レート未入力"),F42)))</f>
        <v/>
      </c>
      <c r="I42" s="33"/>
      <c r="J42" s="16" t="str">
        <f aca="false">IF(ISNUMBER(H42),ROUND(H42*IF(I42="",1,I42),2),"")</f>
        <v/>
      </c>
      <c r="K42" s="35"/>
      <c r="L42" s="22" t="str">
        <f aca="false">IF(A42="","",IF(A42&lt;DATE(2025,4,6),"2024/25",IF(A42&lt;DATE(2026,4,6),"2025/26",IF(A42&lt;DATE(2027,4,6),"2026/27","2027/28"))))</f>
        <v/>
      </c>
      <c r="N42" s="13"/>
    </row>
    <row r="43" customFormat="false" ht="15" hidden="false" customHeight="false" outlineLevel="0" collapsed="false">
      <c r="A43" s="31"/>
      <c r="B43" s="13"/>
      <c r="C43" s="13"/>
      <c r="D43" s="32"/>
      <c r="E43" s="32"/>
      <c r="F43" s="14"/>
      <c r="G43" s="23"/>
      <c r="H43" s="16" t="str">
        <f aca="false">IF(F43="","",IF(G43&lt;&gt;"",G43,IF(E43="JPY",IF(ISNUMBER($L$1),ROUND(F43/$L$1,2),"レート未入力"),F43)))</f>
        <v/>
      </c>
      <c r="I43" s="33"/>
      <c r="J43" s="16" t="str">
        <f aca="false">IF(ISNUMBER(H43),ROUND(H43*IF(I43="",1,I43),2),"")</f>
        <v/>
      </c>
      <c r="K43" s="35"/>
      <c r="L43" s="22" t="str">
        <f aca="false">IF(A43="","",IF(A43&lt;DATE(2025,4,6),"2024/25",IF(A43&lt;DATE(2026,4,6),"2025/26",IF(A43&lt;DATE(2027,4,6),"2026/27","2027/28"))))</f>
        <v/>
      </c>
      <c r="N43" s="13"/>
    </row>
    <row r="44" customFormat="false" ht="15" hidden="false" customHeight="false" outlineLevel="0" collapsed="false">
      <c r="A44" s="31"/>
      <c r="B44" s="13"/>
      <c r="C44" s="13"/>
      <c r="D44" s="32"/>
      <c r="E44" s="32"/>
      <c r="F44" s="14"/>
      <c r="G44" s="23"/>
      <c r="H44" s="16" t="str">
        <f aca="false">IF(F44="","",IF(G44&lt;&gt;"",G44,IF(E44="JPY",IF(ISNUMBER($L$1),ROUND(F44/$L$1,2),"レート未入力"),F44)))</f>
        <v/>
      </c>
      <c r="I44" s="33"/>
      <c r="J44" s="16" t="str">
        <f aca="false">IF(ISNUMBER(H44),ROUND(H44*IF(I44="",1,I44),2),"")</f>
        <v/>
      </c>
      <c r="K44" s="35"/>
      <c r="L44" s="22" t="str">
        <f aca="false">IF(A44="","",IF(A44&lt;DATE(2025,4,6),"2024/25",IF(A44&lt;DATE(2026,4,6),"2025/26",IF(A44&lt;DATE(2027,4,6),"2026/27","2027/28"))))</f>
        <v/>
      </c>
      <c r="N44" s="13"/>
    </row>
    <row r="45" customFormat="false" ht="15" hidden="false" customHeight="false" outlineLevel="0" collapsed="false">
      <c r="A45" s="31"/>
      <c r="B45" s="13"/>
      <c r="C45" s="13"/>
      <c r="D45" s="32"/>
      <c r="E45" s="32"/>
      <c r="F45" s="14"/>
      <c r="G45" s="23"/>
      <c r="H45" s="16" t="str">
        <f aca="false">IF(F45="","",IF(G45&lt;&gt;"",G45,IF(E45="JPY",IF(ISNUMBER($L$1),ROUND(F45/$L$1,2),"レート未入力"),F45)))</f>
        <v/>
      </c>
      <c r="I45" s="33"/>
      <c r="J45" s="16" t="str">
        <f aca="false">IF(ISNUMBER(H45),ROUND(H45*IF(I45="",1,I45),2),"")</f>
        <v/>
      </c>
      <c r="K45" s="35"/>
      <c r="L45" s="22" t="str">
        <f aca="false">IF(A45="","",IF(A45&lt;DATE(2025,4,6),"2024/25",IF(A45&lt;DATE(2026,4,6),"2025/26",IF(A45&lt;DATE(2027,4,6),"2026/27","2027/28"))))</f>
        <v/>
      </c>
      <c r="N45" s="13"/>
    </row>
    <row r="46" customFormat="false" ht="15" hidden="false" customHeight="false" outlineLevel="0" collapsed="false">
      <c r="A46" s="31"/>
      <c r="B46" s="13"/>
      <c r="C46" s="13"/>
      <c r="D46" s="32"/>
      <c r="E46" s="32"/>
      <c r="F46" s="14"/>
      <c r="G46" s="23"/>
      <c r="H46" s="16" t="str">
        <f aca="false">IF(F46="","",IF(G46&lt;&gt;"",G46,IF(E46="JPY",IF(ISNUMBER($L$1),ROUND(F46/$L$1,2),"レート未入力"),F46)))</f>
        <v/>
      </c>
      <c r="I46" s="33"/>
      <c r="J46" s="16" t="str">
        <f aca="false">IF(ISNUMBER(H46),ROUND(H46*IF(I46="",1,I46),2),"")</f>
        <v/>
      </c>
      <c r="K46" s="35"/>
      <c r="L46" s="22" t="str">
        <f aca="false">IF(A46="","",IF(A46&lt;DATE(2025,4,6),"2024/25",IF(A46&lt;DATE(2026,4,6),"2025/26",IF(A46&lt;DATE(2027,4,6),"2026/27","2027/28"))))</f>
        <v/>
      </c>
      <c r="N46" s="13"/>
    </row>
    <row r="47" customFormat="false" ht="15" hidden="false" customHeight="false" outlineLevel="0" collapsed="false">
      <c r="A47" s="31"/>
      <c r="B47" s="13"/>
      <c r="C47" s="13"/>
      <c r="D47" s="32"/>
      <c r="E47" s="32"/>
      <c r="F47" s="14"/>
      <c r="G47" s="23"/>
      <c r="H47" s="16" t="str">
        <f aca="false">IF(F47="","",IF(G47&lt;&gt;"",G47,IF(E47="JPY",IF(ISNUMBER($L$1),ROUND(F47/$L$1,2),"レート未入力"),F47)))</f>
        <v/>
      </c>
      <c r="I47" s="33"/>
      <c r="J47" s="16" t="str">
        <f aca="false">IF(ISNUMBER(H47),ROUND(H47*IF(I47="",1,I47),2),"")</f>
        <v/>
      </c>
      <c r="K47" s="35"/>
      <c r="L47" s="22" t="str">
        <f aca="false">IF(A47="","",IF(A47&lt;DATE(2025,4,6),"2024/25",IF(A47&lt;DATE(2026,4,6),"2025/26",IF(A47&lt;DATE(2027,4,6),"2026/27","2027/28"))))</f>
        <v/>
      </c>
      <c r="N47" s="13"/>
    </row>
    <row r="48" customFormat="false" ht="15" hidden="false" customHeight="false" outlineLevel="0" collapsed="false">
      <c r="A48" s="31"/>
      <c r="B48" s="13"/>
      <c r="C48" s="13"/>
      <c r="D48" s="32"/>
      <c r="E48" s="32"/>
      <c r="F48" s="14"/>
      <c r="G48" s="23"/>
      <c r="H48" s="16" t="str">
        <f aca="false">IF(F48="","",IF(G48&lt;&gt;"",G48,IF(E48="JPY",IF(ISNUMBER($L$1),ROUND(F48/$L$1,2),"レート未入力"),F48)))</f>
        <v/>
      </c>
      <c r="I48" s="33"/>
      <c r="J48" s="16" t="str">
        <f aca="false">IF(ISNUMBER(H48),ROUND(H48*IF(I48="",1,I48),2),"")</f>
        <v/>
      </c>
      <c r="K48" s="35"/>
      <c r="L48" s="22" t="str">
        <f aca="false">IF(A48="","",IF(A48&lt;DATE(2025,4,6),"2024/25",IF(A48&lt;DATE(2026,4,6),"2025/26",IF(A48&lt;DATE(2027,4,6),"2026/27","2027/28"))))</f>
        <v/>
      </c>
      <c r="N48" s="13"/>
    </row>
    <row r="49" customFormat="false" ht="15" hidden="false" customHeight="false" outlineLevel="0" collapsed="false">
      <c r="A49" s="31"/>
      <c r="B49" s="13"/>
      <c r="C49" s="13"/>
      <c r="D49" s="32"/>
      <c r="E49" s="32"/>
      <c r="F49" s="14"/>
      <c r="G49" s="23"/>
      <c r="H49" s="16" t="str">
        <f aca="false">IF(F49="","",IF(G49&lt;&gt;"",G49,IF(E49="JPY",IF(ISNUMBER($L$1),ROUND(F49/$L$1,2),"レート未入力"),F49)))</f>
        <v/>
      </c>
      <c r="I49" s="33"/>
      <c r="J49" s="16" t="str">
        <f aca="false">IF(ISNUMBER(H49),ROUND(H49*IF(I49="",1,I49),2),"")</f>
        <v/>
      </c>
      <c r="K49" s="35"/>
      <c r="L49" s="22" t="str">
        <f aca="false">IF(A49="","",IF(A49&lt;DATE(2025,4,6),"2024/25",IF(A49&lt;DATE(2026,4,6),"2025/26",IF(A49&lt;DATE(2027,4,6),"2026/27","2027/28"))))</f>
        <v/>
      </c>
      <c r="N49" s="13"/>
    </row>
    <row r="50" customFormat="false" ht="15" hidden="false" customHeight="false" outlineLevel="0" collapsed="false">
      <c r="A50" s="31"/>
      <c r="B50" s="13"/>
      <c r="C50" s="13"/>
      <c r="D50" s="32"/>
      <c r="E50" s="32"/>
      <c r="F50" s="14"/>
      <c r="G50" s="23"/>
      <c r="H50" s="16" t="str">
        <f aca="false">IF(F50="","",IF(G50&lt;&gt;"",G50,IF(E50="JPY",IF(ISNUMBER($L$1),ROUND(F50/$L$1,2),"レート未入力"),F50)))</f>
        <v/>
      </c>
      <c r="I50" s="33"/>
      <c r="J50" s="16" t="str">
        <f aca="false">IF(ISNUMBER(H50),ROUND(H50*IF(I50="",1,I50),2),"")</f>
        <v/>
      </c>
      <c r="K50" s="35"/>
      <c r="L50" s="22" t="str">
        <f aca="false">IF(A50="","",IF(A50&lt;DATE(2025,4,6),"2024/25",IF(A50&lt;DATE(2026,4,6),"2025/26",IF(A50&lt;DATE(2027,4,6),"2026/27","2027/28"))))</f>
        <v/>
      </c>
      <c r="N50" s="13"/>
    </row>
    <row r="51" customFormat="false" ht="15" hidden="false" customHeight="false" outlineLevel="0" collapsed="false">
      <c r="A51" s="31"/>
      <c r="B51" s="13"/>
      <c r="C51" s="13"/>
      <c r="D51" s="32"/>
      <c r="E51" s="32"/>
      <c r="F51" s="14"/>
      <c r="G51" s="23"/>
      <c r="H51" s="16" t="str">
        <f aca="false">IF(F51="","",IF(G51&lt;&gt;"",G51,IF(E51="JPY",IF(ISNUMBER($L$1),ROUND(F51/$L$1,2),"レート未入力"),F51)))</f>
        <v/>
      </c>
      <c r="I51" s="33"/>
      <c r="J51" s="16" t="str">
        <f aca="false">IF(ISNUMBER(H51),ROUND(H51*IF(I51="",1,I51),2),"")</f>
        <v/>
      </c>
      <c r="K51" s="35"/>
      <c r="L51" s="22" t="str">
        <f aca="false">IF(A51="","",IF(A51&lt;DATE(2025,4,6),"2024/25",IF(A51&lt;DATE(2026,4,6),"2025/26",IF(A51&lt;DATE(2027,4,6),"2026/27","2027/28"))))</f>
        <v/>
      </c>
      <c r="N51" s="13"/>
    </row>
    <row r="52" customFormat="false" ht="15" hidden="false" customHeight="false" outlineLevel="0" collapsed="false">
      <c r="A52" s="31"/>
      <c r="B52" s="13"/>
      <c r="C52" s="13"/>
      <c r="D52" s="32"/>
      <c r="E52" s="32"/>
      <c r="F52" s="14"/>
      <c r="G52" s="23"/>
      <c r="H52" s="16" t="str">
        <f aca="false">IF(F52="","",IF(G52&lt;&gt;"",G52,IF(E52="JPY",IF(ISNUMBER($L$1),ROUND(F52/$L$1,2),"レート未入力"),F52)))</f>
        <v/>
      </c>
      <c r="I52" s="33"/>
      <c r="J52" s="16" t="str">
        <f aca="false">IF(ISNUMBER(H52),ROUND(H52*IF(I52="",1,I52),2),"")</f>
        <v/>
      </c>
      <c r="K52" s="35"/>
      <c r="L52" s="22" t="str">
        <f aca="false">IF(A52="","",IF(A52&lt;DATE(2025,4,6),"2024/25",IF(A52&lt;DATE(2026,4,6),"2025/26",IF(A52&lt;DATE(2027,4,6),"2026/27","2027/28"))))</f>
        <v/>
      </c>
      <c r="N52" s="13"/>
    </row>
    <row r="53" customFormat="false" ht="15" hidden="false" customHeight="false" outlineLevel="0" collapsed="false">
      <c r="A53" s="31"/>
      <c r="B53" s="13"/>
      <c r="C53" s="13"/>
      <c r="D53" s="32"/>
      <c r="E53" s="32"/>
      <c r="F53" s="14"/>
      <c r="G53" s="23"/>
      <c r="H53" s="16" t="str">
        <f aca="false">IF(F53="","",IF(G53&lt;&gt;"",G53,IF(E53="JPY",IF(ISNUMBER($L$1),ROUND(F53/$L$1,2),"レート未入力"),F53)))</f>
        <v/>
      </c>
      <c r="I53" s="33"/>
      <c r="J53" s="16" t="str">
        <f aca="false">IF(ISNUMBER(H53),ROUND(H53*IF(I53="",1,I53),2),"")</f>
        <v/>
      </c>
      <c r="K53" s="35"/>
      <c r="L53" s="22" t="str">
        <f aca="false">IF(A53="","",IF(A53&lt;DATE(2025,4,6),"2024/25",IF(A53&lt;DATE(2026,4,6),"2025/26",IF(A53&lt;DATE(2027,4,6),"2026/27","2027/28"))))</f>
        <v/>
      </c>
      <c r="N53" s="13"/>
    </row>
    <row r="54" customFormat="false" ht="15" hidden="false" customHeight="false" outlineLevel="0" collapsed="false">
      <c r="A54" s="31"/>
      <c r="B54" s="13"/>
      <c r="C54" s="13"/>
      <c r="D54" s="32"/>
      <c r="E54" s="32"/>
      <c r="F54" s="14"/>
      <c r="G54" s="23"/>
      <c r="H54" s="16" t="str">
        <f aca="false">IF(F54="","",IF(G54&lt;&gt;"",G54,IF(E54="JPY",IF(ISNUMBER($L$1),ROUND(F54/$L$1,2),"レート未入力"),F54)))</f>
        <v/>
      </c>
      <c r="I54" s="33"/>
      <c r="J54" s="16" t="str">
        <f aca="false">IF(ISNUMBER(H54),ROUND(H54*IF(I54="",1,I54),2),"")</f>
        <v/>
      </c>
      <c r="K54" s="35"/>
      <c r="L54" s="22" t="str">
        <f aca="false">IF(A54="","",IF(A54&lt;DATE(2025,4,6),"2024/25",IF(A54&lt;DATE(2026,4,6),"2025/26",IF(A54&lt;DATE(2027,4,6),"2026/27","2027/28"))))</f>
        <v/>
      </c>
      <c r="N54" s="13"/>
    </row>
    <row r="55" customFormat="false" ht="15" hidden="false" customHeight="false" outlineLevel="0" collapsed="false">
      <c r="A55" s="31"/>
      <c r="B55" s="13"/>
      <c r="C55" s="13"/>
      <c r="D55" s="32"/>
      <c r="E55" s="32"/>
      <c r="F55" s="14"/>
      <c r="G55" s="23"/>
      <c r="H55" s="16" t="str">
        <f aca="false">IF(F55="","",IF(G55&lt;&gt;"",G55,IF(E55="JPY",IF(ISNUMBER($L$1),ROUND(F55/$L$1,2),"レート未入力"),F55)))</f>
        <v/>
      </c>
      <c r="I55" s="33"/>
      <c r="J55" s="16" t="str">
        <f aca="false">IF(ISNUMBER(H55),ROUND(H55*IF(I55="",1,I55),2),"")</f>
        <v/>
      </c>
      <c r="K55" s="35"/>
      <c r="L55" s="22" t="str">
        <f aca="false">IF(A55="","",IF(A55&lt;DATE(2025,4,6),"2024/25",IF(A55&lt;DATE(2026,4,6),"2025/26",IF(A55&lt;DATE(2027,4,6),"2026/27","2027/28"))))</f>
        <v/>
      </c>
      <c r="N55" s="13"/>
    </row>
    <row r="56" customFormat="false" ht="15" hidden="false" customHeight="false" outlineLevel="0" collapsed="false">
      <c r="A56" s="31"/>
      <c r="B56" s="13"/>
      <c r="C56" s="13"/>
      <c r="D56" s="32"/>
      <c r="E56" s="32"/>
      <c r="F56" s="14"/>
      <c r="G56" s="23"/>
      <c r="H56" s="16" t="str">
        <f aca="false">IF(F56="","",IF(G56&lt;&gt;"",G56,IF(E56="JPY",IF(ISNUMBER($L$1),ROUND(F56/$L$1,2),"レート未入力"),F56)))</f>
        <v/>
      </c>
      <c r="I56" s="33"/>
      <c r="J56" s="16" t="str">
        <f aca="false">IF(ISNUMBER(H56),ROUND(H56*IF(I56="",1,I56),2),"")</f>
        <v/>
      </c>
      <c r="K56" s="35"/>
      <c r="L56" s="22" t="str">
        <f aca="false">IF(A56="","",IF(A56&lt;DATE(2025,4,6),"2024/25",IF(A56&lt;DATE(2026,4,6),"2025/26",IF(A56&lt;DATE(2027,4,6),"2026/27","2027/28"))))</f>
        <v/>
      </c>
      <c r="N56" s="13"/>
    </row>
    <row r="57" customFormat="false" ht="15" hidden="false" customHeight="false" outlineLevel="0" collapsed="false">
      <c r="A57" s="31"/>
      <c r="B57" s="13"/>
      <c r="C57" s="13"/>
      <c r="D57" s="32"/>
      <c r="E57" s="32"/>
      <c r="F57" s="14"/>
      <c r="G57" s="23"/>
      <c r="H57" s="16" t="str">
        <f aca="false">IF(F57="","",IF(G57&lt;&gt;"",G57,IF(E57="JPY",IF(ISNUMBER($L$1),ROUND(F57/$L$1,2),"レート未入力"),F57)))</f>
        <v/>
      </c>
      <c r="I57" s="33"/>
      <c r="J57" s="16" t="str">
        <f aca="false">IF(ISNUMBER(H57),ROUND(H57*IF(I57="",1,I57),2),"")</f>
        <v/>
      </c>
      <c r="K57" s="35"/>
      <c r="L57" s="22" t="str">
        <f aca="false">IF(A57="","",IF(A57&lt;DATE(2025,4,6),"2024/25",IF(A57&lt;DATE(2026,4,6),"2025/26",IF(A57&lt;DATE(2027,4,6),"2026/27","2027/28"))))</f>
        <v/>
      </c>
      <c r="N57" s="13"/>
    </row>
    <row r="58" customFormat="false" ht="15" hidden="false" customHeight="false" outlineLevel="0" collapsed="false">
      <c r="A58" s="31"/>
      <c r="B58" s="13"/>
      <c r="C58" s="13"/>
      <c r="D58" s="32"/>
      <c r="E58" s="32"/>
      <c r="F58" s="14"/>
      <c r="G58" s="23"/>
      <c r="H58" s="16" t="str">
        <f aca="false">IF(F58="","",IF(G58&lt;&gt;"",G58,IF(E58="JPY",IF(ISNUMBER($L$1),ROUND(F58/$L$1,2),"レート未入力"),F58)))</f>
        <v/>
      </c>
      <c r="I58" s="33"/>
      <c r="J58" s="16" t="str">
        <f aca="false">IF(ISNUMBER(H58),ROUND(H58*IF(I58="",1,I58),2),"")</f>
        <v/>
      </c>
      <c r="K58" s="35"/>
      <c r="L58" s="22" t="str">
        <f aca="false">IF(A58="","",IF(A58&lt;DATE(2025,4,6),"2024/25",IF(A58&lt;DATE(2026,4,6),"2025/26",IF(A58&lt;DATE(2027,4,6),"2026/27","2027/28"))))</f>
        <v/>
      </c>
      <c r="N58" s="13"/>
    </row>
    <row r="59" customFormat="false" ht="15" hidden="false" customHeight="false" outlineLevel="0" collapsed="false">
      <c r="A59" s="31"/>
      <c r="B59" s="13"/>
      <c r="C59" s="13"/>
      <c r="D59" s="32"/>
      <c r="E59" s="32"/>
      <c r="F59" s="14"/>
      <c r="G59" s="23"/>
      <c r="H59" s="16" t="str">
        <f aca="false">IF(F59="","",IF(G59&lt;&gt;"",G59,IF(E59="JPY",IF(ISNUMBER($L$1),ROUND(F59/$L$1,2),"レート未入力"),F59)))</f>
        <v/>
      </c>
      <c r="I59" s="33"/>
      <c r="J59" s="16" t="str">
        <f aca="false">IF(ISNUMBER(H59),ROUND(H59*IF(I59="",1,I59),2),"")</f>
        <v/>
      </c>
      <c r="K59" s="35"/>
      <c r="L59" s="22" t="str">
        <f aca="false">IF(A59="","",IF(A59&lt;DATE(2025,4,6),"2024/25",IF(A59&lt;DATE(2026,4,6),"2025/26",IF(A59&lt;DATE(2027,4,6),"2026/27","2027/28"))))</f>
        <v/>
      </c>
      <c r="N59" s="13"/>
    </row>
    <row r="60" customFormat="false" ht="15" hidden="false" customHeight="false" outlineLevel="0" collapsed="false">
      <c r="A60" s="31"/>
      <c r="B60" s="13"/>
      <c r="C60" s="13"/>
      <c r="D60" s="32"/>
      <c r="E60" s="32"/>
      <c r="F60" s="14"/>
      <c r="G60" s="23"/>
      <c r="H60" s="16" t="str">
        <f aca="false">IF(F60="","",IF(G60&lt;&gt;"",G60,IF(E60="JPY",IF(ISNUMBER($L$1),ROUND(F60/$L$1,2),"レート未入力"),F60)))</f>
        <v/>
      </c>
      <c r="I60" s="33"/>
      <c r="J60" s="16" t="str">
        <f aca="false">IF(ISNUMBER(H60),ROUND(H60*IF(I60="",1,I60),2),"")</f>
        <v/>
      </c>
      <c r="K60" s="35"/>
      <c r="L60" s="22" t="str">
        <f aca="false">IF(A60="","",IF(A60&lt;DATE(2025,4,6),"2024/25",IF(A60&lt;DATE(2026,4,6),"2025/26",IF(A60&lt;DATE(2027,4,6),"2026/27","2027/28"))))</f>
        <v/>
      </c>
      <c r="N60" s="13"/>
    </row>
    <row r="61" customFormat="false" ht="15" hidden="false" customHeight="false" outlineLevel="0" collapsed="false">
      <c r="A61" s="31"/>
      <c r="B61" s="13"/>
      <c r="C61" s="13"/>
      <c r="D61" s="32"/>
      <c r="E61" s="32"/>
      <c r="F61" s="14"/>
      <c r="G61" s="23"/>
      <c r="H61" s="16" t="str">
        <f aca="false">IF(F61="","",IF(G61&lt;&gt;"",G61,IF(E61="JPY",IF(ISNUMBER($L$1),ROUND(F61/$L$1,2),"レート未入力"),F61)))</f>
        <v/>
      </c>
      <c r="I61" s="33"/>
      <c r="J61" s="16" t="str">
        <f aca="false">IF(ISNUMBER(H61),ROUND(H61*IF(I61="",1,I61),2),"")</f>
        <v/>
      </c>
      <c r="K61" s="35"/>
      <c r="L61" s="22" t="str">
        <f aca="false">IF(A61="","",IF(A61&lt;DATE(2025,4,6),"2024/25",IF(A61&lt;DATE(2026,4,6),"2025/26",IF(A61&lt;DATE(2027,4,6),"2026/27","2027/28"))))</f>
        <v/>
      </c>
      <c r="N61" s="13"/>
    </row>
    <row r="62" customFormat="false" ht="15" hidden="false" customHeight="false" outlineLevel="0" collapsed="false">
      <c r="A62" s="31"/>
      <c r="B62" s="13"/>
      <c r="C62" s="13"/>
      <c r="D62" s="32"/>
      <c r="E62" s="32"/>
      <c r="F62" s="14"/>
      <c r="G62" s="23"/>
      <c r="H62" s="16" t="str">
        <f aca="false">IF(F62="","",IF(G62&lt;&gt;"",G62,IF(E62="JPY",IF(ISNUMBER($L$1),ROUND(F62/$L$1,2),"レート未入力"),F62)))</f>
        <v/>
      </c>
      <c r="I62" s="33"/>
      <c r="J62" s="16" t="str">
        <f aca="false">IF(ISNUMBER(H62),ROUND(H62*IF(I62="",1,I62),2),"")</f>
        <v/>
      </c>
      <c r="K62" s="35"/>
      <c r="L62" s="22" t="str">
        <f aca="false">IF(A62="","",IF(A62&lt;DATE(2025,4,6),"2024/25",IF(A62&lt;DATE(2026,4,6),"2025/26",IF(A62&lt;DATE(2027,4,6),"2026/27","2027/28"))))</f>
        <v/>
      </c>
      <c r="N62" s="13"/>
    </row>
    <row r="63" customFormat="false" ht="15" hidden="false" customHeight="false" outlineLevel="0" collapsed="false">
      <c r="A63" s="31"/>
      <c r="B63" s="13"/>
      <c r="C63" s="13"/>
      <c r="D63" s="32"/>
      <c r="E63" s="32"/>
      <c r="F63" s="14"/>
      <c r="G63" s="23"/>
      <c r="H63" s="16" t="str">
        <f aca="false">IF(F63="","",IF(G63&lt;&gt;"",G63,IF(E63="JPY",IF(ISNUMBER($L$1),ROUND(F63/$L$1,2),"レート未入力"),F63)))</f>
        <v/>
      </c>
      <c r="I63" s="33"/>
      <c r="J63" s="16" t="str">
        <f aca="false">IF(ISNUMBER(H63),ROUND(H63*IF(I63="",1,I63),2),"")</f>
        <v/>
      </c>
      <c r="K63" s="35"/>
      <c r="L63" s="22" t="str">
        <f aca="false">IF(A63="","",IF(A63&lt;DATE(2025,4,6),"2024/25",IF(A63&lt;DATE(2026,4,6),"2025/26",IF(A63&lt;DATE(2027,4,6),"2026/27","2027/28"))))</f>
        <v/>
      </c>
      <c r="N63" s="13"/>
    </row>
    <row r="64" customFormat="false" ht="15" hidden="false" customHeight="false" outlineLevel="0" collapsed="false">
      <c r="A64" s="31"/>
      <c r="B64" s="13"/>
      <c r="C64" s="13"/>
      <c r="D64" s="32"/>
      <c r="E64" s="32"/>
      <c r="F64" s="14"/>
      <c r="G64" s="23"/>
      <c r="H64" s="16" t="str">
        <f aca="false">IF(F64="","",IF(G64&lt;&gt;"",G64,IF(E64="JPY",IF(ISNUMBER($L$1),ROUND(F64/$L$1,2),"レート未入力"),F64)))</f>
        <v/>
      </c>
      <c r="I64" s="33"/>
      <c r="J64" s="16" t="str">
        <f aca="false">IF(ISNUMBER(H64),ROUND(H64*IF(I64="",1,I64),2),"")</f>
        <v/>
      </c>
      <c r="K64" s="35"/>
      <c r="L64" s="22" t="str">
        <f aca="false">IF(A64="","",IF(A64&lt;DATE(2025,4,6),"2024/25",IF(A64&lt;DATE(2026,4,6),"2025/26",IF(A64&lt;DATE(2027,4,6),"2026/27","2027/28"))))</f>
        <v/>
      </c>
      <c r="N64" s="13"/>
    </row>
    <row r="65" customFormat="false" ht="15" hidden="false" customHeight="false" outlineLevel="0" collapsed="false">
      <c r="A65" s="31"/>
      <c r="B65" s="13"/>
      <c r="C65" s="13"/>
      <c r="D65" s="32"/>
      <c r="E65" s="32"/>
      <c r="F65" s="14"/>
      <c r="G65" s="23"/>
      <c r="H65" s="16" t="str">
        <f aca="false">IF(F65="","",IF(G65&lt;&gt;"",G65,IF(E65="JPY",IF(ISNUMBER($L$1),ROUND(F65/$L$1,2),"レート未入力"),F65)))</f>
        <v/>
      </c>
      <c r="I65" s="33"/>
      <c r="J65" s="16" t="str">
        <f aca="false">IF(ISNUMBER(H65),ROUND(H65*IF(I65="",1,I65),2),"")</f>
        <v/>
      </c>
      <c r="K65" s="35"/>
      <c r="L65" s="22" t="str">
        <f aca="false">IF(A65="","",IF(A65&lt;DATE(2025,4,6),"2024/25",IF(A65&lt;DATE(2026,4,6),"2025/26",IF(A65&lt;DATE(2027,4,6),"2026/27","2027/28"))))</f>
        <v/>
      </c>
      <c r="N65" s="13"/>
    </row>
    <row r="66" customFormat="false" ht="15" hidden="false" customHeight="false" outlineLevel="0" collapsed="false">
      <c r="A66" s="31"/>
      <c r="B66" s="13"/>
      <c r="C66" s="13"/>
      <c r="D66" s="32"/>
      <c r="E66" s="32"/>
      <c r="F66" s="14"/>
      <c r="G66" s="23"/>
      <c r="H66" s="16" t="str">
        <f aca="false">IF(F66="","",IF(G66&lt;&gt;"",G66,IF(E66="JPY",IF(ISNUMBER($L$1),ROUND(F66/$L$1,2),"レート未入力"),F66)))</f>
        <v/>
      </c>
      <c r="I66" s="33"/>
      <c r="J66" s="16" t="str">
        <f aca="false">IF(ISNUMBER(H66),ROUND(H66*IF(I66="",1,I66),2),"")</f>
        <v/>
      </c>
      <c r="K66" s="35"/>
      <c r="L66" s="22" t="str">
        <f aca="false">IF(A66="","",IF(A66&lt;DATE(2025,4,6),"2024/25",IF(A66&lt;DATE(2026,4,6),"2025/26",IF(A66&lt;DATE(2027,4,6),"2026/27","2027/28"))))</f>
        <v/>
      </c>
      <c r="N66" s="13"/>
    </row>
    <row r="67" customFormat="false" ht="15" hidden="false" customHeight="false" outlineLevel="0" collapsed="false">
      <c r="A67" s="31"/>
      <c r="B67" s="13"/>
      <c r="C67" s="13"/>
      <c r="D67" s="32"/>
      <c r="E67" s="32"/>
      <c r="F67" s="14"/>
      <c r="G67" s="23"/>
      <c r="H67" s="16" t="str">
        <f aca="false">IF(F67="","",IF(G67&lt;&gt;"",G67,IF(E67="JPY",IF(ISNUMBER($L$1),ROUND(F67/$L$1,2),"レート未入力"),F67)))</f>
        <v/>
      </c>
      <c r="I67" s="33"/>
      <c r="J67" s="16" t="str">
        <f aca="false">IF(ISNUMBER(H67),ROUND(H67*IF(I67="",1,I67),2),"")</f>
        <v/>
      </c>
      <c r="K67" s="35"/>
      <c r="L67" s="22" t="str">
        <f aca="false">IF(A67="","",IF(A67&lt;DATE(2025,4,6),"2024/25",IF(A67&lt;DATE(2026,4,6),"2025/26",IF(A67&lt;DATE(2027,4,6),"2026/27","2027/28"))))</f>
        <v/>
      </c>
      <c r="N67" s="13"/>
    </row>
    <row r="68" customFormat="false" ht="15" hidden="false" customHeight="false" outlineLevel="0" collapsed="false">
      <c r="A68" s="31"/>
      <c r="B68" s="13"/>
      <c r="C68" s="13"/>
      <c r="D68" s="32"/>
      <c r="E68" s="32"/>
      <c r="F68" s="14"/>
      <c r="G68" s="23"/>
      <c r="H68" s="16" t="str">
        <f aca="false">IF(F68="","",IF(G68&lt;&gt;"",G68,IF(E68="JPY",IF(ISNUMBER($L$1),ROUND(F68/$L$1,2),"レート未入力"),F68)))</f>
        <v/>
      </c>
      <c r="I68" s="33"/>
      <c r="J68" s="16" t="str">
        <f aca="false">IF(ISNUMBER(H68),ROUND(H68*IF(I68="",1,I68),2),"")</f>
        <v/>
      </c>
      <c r="K68" s="35"/>
      <c r="L68" s="22" t="str">
        <f aca="false">IF(A68="","",IF(A68&lt;DATE(2025,4,6),"2024/25",IF(A68&lt;DATE(2026,4,6),"2025/26",IF(A68&lt;DATE(2027,4,6),"2026/27","2027/28"))))</f>
        <v/>
      </c>
      <c r="N68" s="13"/>
    </row>
    <row r="69" customFormat="false" ht="15" hidden="false" customHeight="false" outlineLevel="0" collapsed="false">
      <c r="A69" s="31"/>
      <c r="B69" s="13"/>
      <c r="C69" s="13"/>
      <c r="D69" s="32"/>
      <c r="E69" s="32"/>
      <c r="F69" s="14"/>
      <c r="G69" s="23"/>
      <c r="H69" s="16" t="str">
        <f aca="false">IF(F69="","",IF(G69&lt;&gt;"",G69,IF(E69="JPY",IF(ISNUMBER($L$1),ROUND(F69/$L$1,2),"レート未入力"),F69)))</f>
        <v/>
      </c>
      <c r="I69" s="33"/>
      <c r="J69" s="16" t="str">
        <f aca="false">IF(ISNUMBER(H69),ROUND(H69*IF(I69="",1,I69),2),"")</f>
        <v/>
      </c>
      <c r="K69" s="35"/>
      <c r="L69" s="22" t="str">
        <f aca="false">IF(A69="","",IF(A69&lt;DATE(2025,4,6),"2024/25",IF(A69&lt;DATE(2026,4,6),"2025/26",IF(A69&lt;DATE(2027,4,6),"2026/27","2027/28"))))</f>
        <v/>
      </c>
      <c r="N69" s="13"/>
    </row>
    <row r="70" customFormat="false" ht="15" hidden="false" customHeight="false" outlineLevel="0" collapsed="false">
      <c r="A70" s="3" t="s">
        <v>196</v>
      </c>
      <c r="J70" s="18" t="n">
        <f aca="false">SUM(J30:J69)</f>
        <v>0</v>
      </c>
    </row>
    <row r="72" customFormat="false" ht="15" hidden="false" customHeight="false" outlineLevel="0" collapsed="false">
      <c r="A72" s="26" t="s">
        <v>197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customFormat="false" ht="15" hidden="false" customHeight="false" outlineLevel="0" collapsed="false">
      <c r="A73" s="17" t="s">
        <v>137</v>
      </c>
      <c r="D73" s="36" t="s">
        <v>16</v>
      </c>
      <c r="E73" s="36" t="s">
        <v>18</v>
      </c>
      <c r="F73" s="36"/>
    </row>
    <row r="74" customFormat="false" ht="15" hidden="false" customHeight="false" outlineLevel="0" collapsed="false">
      <c r="A74" s="17" t="s">
        <v>183</v>
      </c>
      <c r="D74" s="18" t="n">
        <f aca="false">SUMIFS($H$6:$H$25,$J$6:$J$25,"2025/26")</f>
        <v>0</v>
      </c>
      <c r="E74" s="18" t="n">
        <f aca="false">SUMIFS($H$6:$H$25,$J$6:$J$25,"2026/27")</f>
        <v>0</v>
      </c>
      <c r="F74" s="18"/>
    </row>
    <row r="75" customFormat="false" ht="15" hidden="false" customHeight="false" outlineLevel="0" collapsed="false">
      <c r="A75" s="21" t="s">
        <v>41</v>
      </c>
      <c r="D75" s="16" t="n">
        <f aca="false">SUMIFS($J$30:$J$69,$D$30:$D$69,$A75,$L$30:$L$69,"2025/26")</f>
        <v>0</v>
      </c>
      <c r="E75" s="16" t="n">
        <f aca="false">SUMIFS($J$30:$J$69,$D$30:$D$69,$A75,$L$30:$L$69,"2026/27")</f>
        <v>0</v>
      </c>
      <c r="F75" s="16"/>
    </row>
    <row r="76" customFormat="false" ht="15" hidden="false" customHeight="false" outlineLevel="0" collapsed="false">
      <c r="A76" s="21" t="s">
        <v>43</v>
      </c>
      <c r="D76" s="16" t="n">
        <f aca="false">SUMIFS($J$30:$J$69,$D$30:$D$69,$A76,$L$30:$L$69,"2025/26")</f>
        <v>0</v>
      </c>
      <c r="E76" s="16" t="n">
        <f aca="false">SUMIFS($J$30:$J$69,$D$30:$D$69,$A76,$L$30:$L$69,"2026/27")</f>
        <v>0</v>
      </c>
      <c r="F76" s="16"/>
    </row>
    <row r="77" customFormat="false" ht="15" hidden="false" customHeight="false" outlineLevel="0" collapsed="false">
      <c r="A77" s="21" t="s">
        <v>45</v>
      </c>
      <c r="D77" s="16" t="n">
        <f aca="false">SUMIFS($J$30:$J$69,$D$30:$D$69,$A77,$L$30:$L$69,"2025/26")</f>
        <v>0</v>
      </c>
      <c r="E77" s="16" t="n">
        <f aca="false">SUMIFS($J$30:$J$69,$D$30:$D$69,$A77,$L$30:$L$69,"2026/27")</f>
        <v>0</v>
      </c>
      <c r="F77" s="16"/>
    </row>
    <row r="78" customFormat="false" ht="15" hidden="false" customHeight="false" outlineLevel="0" collapsed="false">
      <c r="A78" s="21" t="s">
        <v>47</v>
      </c>
      <c r="D78" s="16" t="n">
        <f aca="false">SUMIFS($J$30:$J$69,$D$30:$D$69,$A78,$L$30:$L$69,"2025/26")</f>
        <v>0</v>
      </c>
      <c r="E78" s="16" t="n">
        <f aca="false">SUMIFS($J$30:$J$69,$D$30:$D$69,$A78,$L$30:$L$69,"2026/27")</f>
        <v>0</v>
      </c>
      <c r="F78" s="16"/>
    </row>
    <row r="79" customFormat="false" ht="15" hidden="false" customHeight="false" outlineLevel="0" collapsed="false">
      <c r="A79" s="21" t="s">
        <v>49</v>
      </c>
      <c r="D79" s="16" t="n">
        <f aca="false">SUMIFS($J$30:$J$69,$D$30:$D$69,$A79,$L$30:$L$69,"2025/26")</f>
        <v>0</v>
      </c>
      <c r="E79" s="16" t="n">
        <f aca="false">SUMIFS($J$30:$J$69,$D$30:$D$69,$A79,$L$30:$L$69,"2026/27")</f>
        <v>0</v>
      </c>
      <c r="F79" s="16"/>
    </row>
    <row r="80" customFormat="false" ht="15" hidden="false" customHeight="false" outlineLevel="0" collapsed="false">
      <c r="A80" s="21" t="s">
        <v>51</v>
      </c>
      <c r="D80" s="16" t="n">
        <f aca="false">SUMIFS($J$30:$J$69,$D$30:$D$69,$A80,$L$30:$L$69,"2025/26")</f>
        <v>0</v>
      </c>
      <c r="E80" s="16" t="n">
        <f aca="false">SUMIFS($J$30:$J$69,$D$30:$D$69,$A80,$L$30:$L$69,"2026/27")</f>
        <v>0</v>
      </c>
      <c r="F80" s="16"/>
    </row>
    <row r="81" customFormat="false" ht="15" hidden="false" customHeight="false" outlineLevel="0" collapsed="false">
      <c r="A81" s="21" t="s">
        <v>53</v>
      </c>
      <c r="D81" s="16" t="n">
        <f aca="false">SUMIFS($J$30:$J$69,$D$30:$D$69,$A81,$L$30:$L$69,"2025/26")</f>
        <v>0</v>
      </c>
      <c r="E81" s="16" t="n">
        <f aca="false">SUMIFS($J$30:$J$69,$D$30:$D$69,$A81,$L$30:$L$69,"2026/27")</f>
        <v>0</v>
      </c>
      <c r="F81" s="16"/>
    </row>
    <row r="82" customFormat="false" ht="15" hidden="false" customHeight="false" outlineLevel="0" collapsed="false">
      <c r="A82" s="21" t="s">
        <v>55</v>
      </c>
      <c r="D82" s="16" t="n">
        <f aca="false">SUMIFS($J$30:$J$69,$D$30:$D$69,$A82,$L$30:$L$69,"2025/26")</f>
        <v>0</v>
      </c>
      <c r="E82" s="16" t="n">
        <f aca="false">SUMIFS($J$30:$J$69,$D$30:$D$69,$A82,$L$30:$L$69,"2026/27")</f>
        <v>0</v>
      </c>
      <c r="F82" s="16"/>
    </row>
    <row r="83" customFormat="false" ht="15" hidden="false" customHeight="false" outlineLevel="0" collapsed="false">
      <c r="A83" s="21" t="s">
        <v>57</v>
      </c>
      <c r="D83" s="16" t="n">
        <f aca="false">SUMIFS($J$30:$J$69,$D$30:$D$69,$A83,$L$30:$L$69,"2025/26")</f>
        <v>0</v>
      </c>
      <c r="E83" s="16" t="n">
        <f aca="false">SUMIFS($J$30:$J$69,$D$30:$D$69,$A83,$L$30:$L$69,"2026/27")</f>
        <v>0</v>
      </c>
      <c r="F83" s="16"/>
    </row>
    <row r="84" customFormat="false" ht="15" hidden="false" customHeight="false" outlineLevel="0" collapsed="false">
      <c r="A84" s="21" t="s">
        <v>59</v>
      </c>
      <c r="D84" s="16" t="n">
        <f aca="false">SUMIFS($J$30:$J$69,$D$30:$D$69,$A84,$L$30:$L$69,"2025/26")</f>
        <v>0</v>
      </c>
      <c r="E84" s="16" t="n">
        <f aca="false">SUMIFS($J$30:$J$69,$D$30:$D$69,$A84,$L$30:$L$69,"2026/27")</f>
        <v>0</v>
      </c>
      <c r="F84" s="16"/>
    </row>
    <row r="85" customFormat="false" ht="15" hidden="false" customHeight="false" outlineLevel="0" collapsed="false">
      <c r="A85" s="21" t="s">
        <v>61</v>
      </c>
      <c r="D85" s="16" t="n">
        <f aca="false">SUMIFS($J$30:$J$69,$D$30:$D$69,$A85,$L$30:$L$69,"2025/26")</f>
        <v>0</v>
      </c>
      <c r="E85" s="16" t="n">
        <f aca="false">SUMIFS($J$30:$J$69,$D$30:$D$69,$A85,$L$30:$L$69,"2026/27")</f>
        <v>0</v>
      </c>
      <c r="F85" s="16"/>
    </row>
    <row r="86" customFormat="false" ht="15" hidden="false" customHeight="false" outlineLevel="0" collapsed="false">
      <c r="A86" s="21" t="s">
        <v>63</v>
      </c>
      <c r="D86" s="16" t="n">
        <f aca="false">SUMIFS($J$30:$J$69,$D$30:$D$69,$A86,$L$30:$L$69,"2025/26")</f>
        <v>0</v>
      </c>
      <c r="E86" s="16" t="n">
        <f aca="false">SUMIFS($J$30:$J$69,$D$30:$D$69,$A86,$L$30:$L$69,"2026/27")</f>
        <v>0</v>
      </c>
      <c r="F86" s="16"/>
    </row>
    <row r="87" customFormat="false" ht="15" hidden="false" customHeight="false" outlineLevel="0" collapsed="false">
      <c r="A87" s="21" t="s">
        <v>64</v>
      </c>
      <c r="D87" s="16" t="n">
        <f aca="false">SUMIFS($J$30:$J$69,$D$30:$D$69,$A87,$L$30:$L$69,"2025/26")</f>
        <v>0</v>
      </c>
      <c r="E87" s="16" t="n">
        <f aca="false">SUMIFS($J$30:$J$69,$D$30:$D$69,$A87,$L$30:$L$69,"2026/27")</f>
        <v>0</v>
      </c>
      <c r="F87" s="16"/>
    </row>
    <row r="88" customFormat="false" ht="15" hidden="false" customHeight="false" outlineLevel="0" collapsed="false">
      <c r="A88" s="17" t="s">
        <v>198</v>
      </c>
      <c r="D88" s="18" t="n">
        <f aca="false">SUM(D75:D86)</f>
        <v>0</v>
      </c>
      <c r="E88" s="18" t="n">
        <f aca="false">SUM(E75:E86)</f>
        <v>0</v>
      </c>
      <c r="F88" s="18"/>
    </row>
    <row r="89" customFormat="false" ht="15" hidden="false" customHeight="false" outlineLevel="0" collapsed="false">
      <c r="A89" s="17" t="s">
        <v>199</v>
      </c>
      <c r="D89" s="18" t="n">
        <f aca="false">D74-D88-D87</f>
        <v>0</v>
      </c>
      <c r="E89" s="18" t="n">
        <f aca="false">E74-E88-E87</f>
        <v>0</v>
      </c>
      <c r="F89" s="18"/>
    </row>
    <row r="90" customFormat="false" ht="15" hidden="false" customHeight="false" outlineLevel="0" collapsed="false">
      <c r="A90" s="37" t="s">
        <v>200</v>
      </c>
    </row>
    <row r="91" customFormat="false" ht="15" hidden="false" customHeight="false" outlineLevel="0" collapsed="false">
      <c r="A91" s="21" t="s">
        <v>201</v>
      </c>
      <c r="D91" s="16" t="n">
        <f aca="false">SUMIFS($J$30:$J$69,$D$30:$D$69,"")</f>
        <v>0</v>
      </c>
    </row>
  </sheetData>
  <mergeCells count="17"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</mergeCells>
  <dataValidations count="5">
    <dataValidation allowBlank="true" error="0%〜100%で入力してください" errorStyle="stop" operator="between" showDropDown="false" showErrorMessage="true" showInputMessage="false" sqref="I30:I69" type="decimal">
      <formula1>0</formula1>
      <formula2>1</formula2>
    </dataValidation>
    <dataValidation allowBlank="true" errorStyle="stop" operator="between" showDropDown="false" showErrorMessage="false" showInputMessage="false" sqref="E6:E25 E30:E69" type="list">
      <formula1>_list!$B$1:$B$2</formula1>
      <formula2>0</formula2>
    </dataValidation>
    <dataValidation allowBlank="true" errorStyle="stop" operator="between" showDropDown="false" showErrorMessage="false" showInputMessage="false" sqref="D30:D69" type="list">
      <formula1>_list!$A$1:$A$13</formula1>
      <formula2>0</formula2>
    </dataValidation>
    <dataValidation allowBlank="true" errorStyle="stop" operator="between" showDropDown="false" showErrorMessage="false" showInputMessage="false" sqref="D6:D25" type="list">
      <formula1>_list!$C$1:$C$7</formula1>
      <formula2>0</formula2>
    </dataValidation>
    <dataValidation allowBlank="true" error="日付で入力してください（例：2025/5/2）" errorStyle="stop" operator="between" showDropDown="false" showErrorMessage="true" showInputMessage="false" sqref="A6:A25 A30:A69" type="date">
      <formula1>DATE(2025,4,1)</formula1>
      <formula2>DATE(2027,12,31)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24"/>
  </cols>
  <sheetData>
    <row r="1" customFormat="false" ht="19.4" hidden="false" customHeight="false" outlineLevel="0" collapsed="false">
      <c r="A1" s="1" t="s">
        <v>219</v>
      </c>
      <c r="J1" s="3" t="s">
        <v>164</v>
      </c>
      <c r="L1" s="25" t="str">
        <f aca="false">IF(為替レート!$B$23="","未入力",為替レート!$B$23)</f>
        <v>未入力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26" t="s">
        <v>166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customFormat="false" ht="30" hidden="false" customHeight="true" outlineLevel="0" collapsed="false">
      <c r="A5" s="9" t="s">
        <v>167</v>
      </c>
      <c r="B5" s="9" t="s">
        <v>168</v>
      </c>
      <c r="C5" s="9" t="s">
        <v>169</v>
      </c>
      <c r="D5" s="9" t="s">
        <v>170</v>
      </c>
      <c r="E5" s="9" t="s">
        <v>171</v>
      </c>
      <c r="F5" s="9" t="s">
        <v>172</v>
      </c>
      <c r="G5" s="9" t="s">
        <v>173</v>
      </c>
      <c r="H5" s="9" t="s">
        <v>174</v>
      </c>
      <c r="I5" s="9" t="s">
        <v>175</v>
      </c>
      <c r="J5" s="9" t="s">
        <v>176</v>
      </c>
      <c r="K5" s="9"/>
      <c r="L5" s="9"/>
      <c r="M5" s="9"/>
      <c r="N5" s="9" t="s">
        <v>177</v>
      </c>
    </row>
    <row r="6" customFormat="false" ht="15" hidden="false" customHeight="false" outlineLevel="0" collapsed="false">
      <c r="A6" s="31"/>
      <c r="B6" s="13"/>
      <c r="C6" s="13"/>
      <c r="D6" s="32"/>
      <c r="E6" s="32"/>
      <c r="F6" s="14"/>
      <c r="G6" s="23"/>
      <c r="H6" s="16" t="str">
        <f aca="false">IF(F6="","",IF(G6&lt;&gt;"",G6,IF(E6="JPY",IF(ISNUMBER($L$1),ROUND(F6/$L$1,2),"レート未入力"),F6)))</f>
        <v/>
      </c>
      <c r="I6" s="13"/>
      <c r="J6" s="22" t="str">
        <f aca="false">IF(A6="","",IF(A6&lt;DATE(2025,4,6),"2024/25",IF(A6&lt;DATE(2026,4,6),"2025/26",IF(A6&lt;DATE(2027,4,6),"2026/27","2027/28"))))</f>
        <v/>
      </c>
      <c r="N6" s="13"/>
    </row>
    <row r="7" customFormat="false" ht="15" hidden="false" customHeight="false" outlineLevel="0" collapsed="false">
      <c r="A7" s="31"/>
      <c r="B7" s="13"/>
      <c r="C7" s="13"/>
      <c r="D7" s="32"/>
      <c r="E7" s="32"/>
      <c r="F7" s="14"/>
      <c r="G7" s="23"/>
      <c r="H7" s="16" t="str">
        <f aca="false">IF(F7="","",IF(G7&lt;&gt;"",G7,IF(E7="JPY",IF(ISNUMBER($L$1),ROUND(F7/$L$1,2),"レート未入力"),F7)))</f>
        <v/>
      </c>
      <c r="I7" s="13"/>
      <c r="J7" s="22" t="str">
        <f aca="false">IF(A7="","",IF(A7&lt;DATE(2025,4,6),"2024/25",IF(A7&lt;DATE(2026,4,6),"2025/26",IF(A7&lt;DATE(2027,4,6),"2026/27","2027/28"))))</f>
        <v/>
      </c>
      <c r="N7" s="13"/>
    </row>
    <row r="8" customFormat="false" ht="15" hidden="false" customHeight="false" outlineLevel="0" collapsed="false">
      <c r="A8" s="31"/>
      <c r="B8" s="13"/>
      <c r="C8" s="13"/>
      <c r="D8" s="32"/>
      <c r="E8" s="32"/>
      <c r="F8" s="14"/>
      <c r="G8" s="23"/>
      <c r="H8" s="16" t="str">
        <f aca="false">IF(F8="","",IF(G8&lt;&gt;"",G8,IF(E8="JPY",IF(ISNUMBER($L$1),ROUND(F8/$L$1,2),"レート未入力"),F8)))</f>
        <v/>
      </c>
      <c r="I8" s="13"/>
      <c r="J8" s="22" t="str">
        <f aca="false">IF(A8="","",IF(A8&lt;DATE(2025,4,6),"2024/25",IF(A8&lt;DATE(2026,4,6),"2025/26",IF(A8&lt;DATE(2027,4,6),"2026/27","2027/28"))))</f>
        <v/>
      </c>
      <c r="N8" s="13"/>
    </row>
    <row r="9" customFormat="false" ht="15" hidden="false" customHeight="false" outlineLevel="0" collapsed="false">
      <c r="A9" s="31"/>
      <c r="B9" s="13"/>
      <c r="C9" s="13"/>
      <c r="D9" s="32"/>
      <c r="E9" s="32"/>
      <c r="F9" s="14"/>
      <c r="G9" s="23"/>
      <c r="H9" s="16" t="str">
        <f aca="false">IF(F9="","",IF(G9&lt;&gt;"",G9,IF(E9="JPY",IF(ISNUMBER($L$1),ROUND(F9/$L$1,2),"レート未入力"),F9)))</f>
        <v/>
      </c>
      <c r="I9" s="13"/>
      <c r="J9" s="22" t="str">
        <f aca="false">IF(A9="","",IF(A9&lt;DATE(2025,4,6),"2024/25",IF(A9&lt;DATE(2026,4,6),"2025/26",IF(A9&lt;DATE(2027,4,6),"2026/27","2027/28"))))</f>
        <v/>
      </c>
      <c r="N9" s="13"/>
    </row>
    <row r="10" customFormat="false" ht="15" hidden="false" customHeight="false" outlineLevel="0" collapsed="false">
      <c r="A10" s="31"/>
      <c r="B10" s="13"/>
      <c r="C10" s="13"/>
      <c r="D10" s="32"/>
      <c r="E10" s="32"/>
      <c r="F10" s="14"/>
      <c r="G10" s="23"/>
      <c r="H10" s="16" t="str">
        <f aca="false">IF(F10="","",IF(G10&lt;&gt;"",G10,IF(E10="JPY",IF(ISNUMBER($L$1),ROUND(F10/$L$1,2),"レート未入力"),F10)))</f>
        <v/>
      </c>
      <c r="I10" s="13"/>
      <c r="J10" s="22" t="str">
        <f aca="false">IF(A10="","",IF(A10&lt;DATE(2025,4,6),"2024/25",IF(A10&lt;DATE(2026,4,6),"2025/26",IF(A10&lt;DATE(2027,4,6),"2026/27","2027/28"))))</f>
        <v/>
      </c>
      <c r="N10" s="13"/>
    </row>
    <row r="11" customFormat="false" ht="15" hidden="false" customHeight="false" outlineLevel="0" collapsed="false">
      <c r="A11" s="31"/>
      <c r="B11" s="13"/>
      <c r="C11" s="13"/>
      <c r="D11" s="32"/>
      <c r="E11" s="32"/>
      <c r="F11" s="14"/>
      <c r="G11" s="23"/>
      <c r="H11" s="16" t="str">
        <f aca="false">IF(F11="","",IF(G11&lt;&gt;"",G11,IF(E11="JPY",IF(ISNUMBER($L$1),ROUND(F11/$L$1,2),"レート未入力"),F11)))</f>
        <v/>
      </c>
      <c r="I11" s="13"/>
      <c r="J11" s="22" t="str">
        <f aca="false">IF(A11="","",IF(A11&lt;DATE(2025,4,6),"2024/25",IF(A11&lt;DATE(2026,4,6),"2025/26",IF(A11&lt;DATE(2027,4,6),"2026/27","2027/28"))))</f>
        <v/>
      </c>
      <c r="N11" s="13"/>
    </row>
    <row r="12" customFormat="false" ht="15" hidden="false" customHeight="false" outlineLevel="0" collapsed="false">
      <c r="A12" s="31"/>
      <c r="B12" s="13"/>
      <c r="C12" s="13"/>
      <c r="D12" s="32"/>
      <c r="E12" s="32"/>
      <c r="F12" s="14"/>
      <c r="G12" s="23"/>
      <c r="H12" s="16" t="str">
        <f aca="false">IF(F12="","",IF(G12&lt;&gt;"",G12,IF(E12="JPY",IF(ISNUMBER($L$1),ROUND(F12/$L$1,2),"レート未入力"),F12)))</f>
        <v/>
      </c>
      <c r="I12" s="13"/>
      <c r="J12" s="22" t="str">
        <f aca="false">IF(A12="","",IF(A12&lt;DATE(2025,4,6),"2024/25",IF(A12&lt;DATE(2026,4,6),"2025/26",IF(A12&lt;DATE(2027,4,6),"2026/27","2027/28"))))</f>
        <v/>
      </c>
      <c r="N12" s="13"/>
    </row>
    <row r="13" customFormat="false" ht="15" hidden="false" customHeight="false" outlineLevel="0" collapsed="false">
      <c r="A13" s="31"/>
      <c r="B13" s="13"/>
      <c r="C13" s="13"/>
      <c r="D13" s="32"/>
      <c r="E13" s="32"/>
      <c r="F13" s="14"/>
      <c r="G13" s="23"/>
      <c r="H13" s="16" t="str">
        <f aca="false">IF(F13="","",IF(G13&lt;&gt;"",G13,IF(E13="JPY",IF(ISNUMBER($L$1),ROUND(F13/$L$1,2),"レート未入力"),F13)))</f>
        <v/>
      </c>
      <c r="I13" s="13"/>
      <c r="J13" s="22" t="str">
        <f aca="false">IF(A13="","",IF(A13&lt;DATE(2025,4,6),"2024/25",IF(A13&lt;DATE(2026,4,6),"2025/26",IF(A13&lt;DATE(2027,4,6),"2026/27","2027/28"))))</f>
        <v/>
      </c>
      <c r="N13" s="13"/>
    </row>
    <row r="14" customFormat="false" ht="15" hidden="false" customHeight="false" outlineLevel="0" collapsed="false">
      <c r="A14" s="31"/>
      <c r="B14" s="13"/>
      <c r="C14" s="13"/>
      <c r="D14" s="32"/>
      <c r="E14" s="32"/>
      <c r="F14" s="14"/>
      <c r="G14" s="23"/>
      <c r="H14" s="16" t="str">
        <f aca="false">IF(F14="","",IF(G14&lt;&gt;"",G14,IF(E14="JPY",IF(ISNUMBER($L$1),ROUND(F14/$L$1,2),"レート未入力"),F14)))</f>
        <v/>
      </c>
      <c r="I14" s="13"/>
      <c r="J14" s="22" t="str">
        <f aca="false">IF(A14="","",IF(A14&lt;DATE(2025,4,6),"2024/25",IF(A14&lt;DATE(2026,4,6),"2025/26",IF(A14&lt;DATE(2027,4,6),"2026/27","2027/28"))))</f>
        <v/>
      </c>
      <c r="N14" s="13"/>
    </row>
    <row r="15" customFormat="false" ht="15" hidden="false" customHeight="false" outlineLevel="0" collapsed="false">
      <c r="A15" s="31"/>
      <c r="B15" s="13"/>
      <c r="C15" s="13"/>
      <c r="D15" s="32"/>
      <c r="E15" s="32"/>
      <c r="F15" s="14"/>
      <c r="G15" s="23"/>
      <c r="H15" s="16" t="str">
        <f aca="false">IF(F15="","",IF(G15&lt;&gt;"",G15,IF(E15="JPY",IF(ISNUMBER($L$1),ROUND(F15/$L$1,2),"レート未入力"),F15)))</f>
        <v/>
      </c>
      <c r="I15" s="13"/>
      <c r="J15" s="22" t="str">
        <f aca="false">IF(A15="","",IF(A15&lt;DATE(2025,4,6),"2024/25",IF(A15&lt;DATE(2026,4,6),"2025/26",IF(A15&lt;DATE(2027,4,6),"2026/27","2027/28"))))</f>
        <v/>
      </c>
      <c r="N15" s="13"/>
    </row>
    <row r="16" customFormat="false" ht="15" hidden="false" customHeight="false" outlineLevel="0" collapsed="false">
      <c r="A16" s="31"/>
      <c r="B16" s="13"/>
      <c r="C16" s="13"/>
      <c r="D16" s="32"/>
      <c r="E16" s="32"/>
      <c r="F16" s="14"/>
      <c r="G16" s="23"/>
      <c r="H16" s="16" t="str">
        <f aca="false">IF(F16="","",IF(G16&lt;&gt;"",G16,IF(E16="JPY",IF(ISNUMBER($L$1),ROUND(F16/$L$1,2),"レート未入力"),F16)))</f>
        <v/>
      </c>
      <c r="I16" s="13"/>
      <c r="J16" s="22" t="str">
        <f aca="false">IF(A16="","",IF(A16&lt;DATE(2025,4,6),"2024/25",IF(A16&lt;DATE(2026,4,6),"2025/26",IF(A16&lt;DATE(2027,4,6),"2026/27","2027/28"))))</f>
        <v/>
      </c>
      <c r="N16" s="13"/>
    </row>
    <row r="17" customFormat="false" ht="15" hidden="false" customHeight="false" outlineLevel="0" collapsed="false">
      <c r="A17" s="31"/>
      <c r="B17" s="13"/>
      <c r="C17" s="13"/>
      <c r="D17" s="32"/>
      <c r="E17" s="32"/>
      <c r="F17" s="14"/>
      <c r="G17" s="23"/>
      <c r="H17" s="16" t="str">
        <f aca="false">IF(F17="","",IF(G17&lt;&gt;"",G17,IF(E17="JPY",IF(ISNUMBER($L$1),ROUND(F17/$L$1,2),"レート未入力"),F17)))</f>
        <v/>
      </c>
      <c r="I17" s="13"/>
      <c r="J17" s="22" t="str">
        <f aca="false">IF(A17="","",IF(A17&lt;DATE(2025,4,6),"2024/25",IF(A17&lt;DATE(2026,4,6),"2025/26",IF(A17&lt;DATE(2027,4,6),"2026/27","2027/28"))))</f>
        <v/>
      </c>
      <c r="N17" s="13"/>
    </row>
    <row r="18" customFormat="false" ht="15" hidden="false" customHeight="false" outlineLevel="0" collapsed="false">
      <c r="A18" s="31"/>
      <c r="B18" s="13"/>
      <c r="C18" s="13"/>
      <c r="D18" s="32"/>
      <c r="E18" s="32"/>
      <c r="F18" s="14"/>
      <c r="G18" s="23"/>
      <c r="H18" s="16" t="str">
        <f aca="false">IF(F18="","",IF(G18&lt;&gt;"",G18,IF(E18="JPY",IF(ISNUMBER($L$1),ROUND(F18/$L$1,2),"レート未入力"),F18)))</f>
        <v/>
      </c>
      <c r="I18" s="13"/>
      <c r="J18" s="22" t="str">
        <f aca="false">IF(A18="","",IF(A18&lt;DATE(2025,4,6),"2024/25",IF(A18&lt;DATE(2026,4,6),"2025/26",IF(A18&lt;DATE(2027,4,6),"2026/27","2027/28"))))</f>
        <v/>
      </c>
      <c r="N18" s="13"/>
    </row>
    <row r="19" customFormat="false" ht="15" hidden="false" customHeight="false" outlineLevel="0" collapsed="false">
      <c r="A19" s="31"/>
      <c r="B19" s="13"/>
      <c r="C19" s="13"/>
      <c r="D19" s="32"/>
      <c r="E19" s="32"/>
      <c r="F19" s="14"/>
      <c r="G19" s="23"/>
      <c r="H19" s="16" t="str">
        <f aca="false">IF(F19="","",IF(G19&lt;&gt;"",G19,IF(E19="JPY",IF(ISNUMBER($L$1),ROUND(F19/$L$1,2),"レート未入力"),F19)))</f>
        <v/>
      </c>
      <c r="I19" s="13"/>
      <c r="J19" s="22" t="str">
        <f aca="false">IF(A19="","",IF(A19&lt;DATE(2025,4,6),"2024/25",IF(A19&lt;DATE(2026,4,6),"2025/26",IF(A19&lt;DATE(2027,4,6),"2026/27","2027/28"))))</f>
        <v/>
      </c>
      <c r="N19" s="13"/>
    </row>
    <row r="20" customFormat="false" ht="15" hidden="false" customHeight="false" outlineLevel="0" collapsed="false">
      <c r="A20" s="31"/>
      <c r="B20" s="13"/>
      <c r="C20" s="13"/>
      <c r="D20" s="32"/>
      <c r="E20" s="32"/>
      <c r="F20" s="14"/>
      <c r="G20" s="23"/>
      <c r="H20" s="16" t="str">
        <f aca="false">IF(F20="","",IF(G20&lt;&gt;"",G20,IF(E20="JPY",IF(ISNUMBER($L$1),ROUND(F20/$L$1,2),"レート未入力"),F20)))</f>
        <v/>
      </c>
      <c r="I20" s="13"/>
      <c r="J20" s="22" t="str">
        <f aca="false">IF(A20="","",IF(A20&lt;DATE(2025,4,6),"2024/25",IF(A20&lt;DATE(2026,4,6),"2025/26",IF(A20&lt;DATE(2027,4,6),"2026/27","2027/28"))))</f>
        <v/>
      </c>
      <c r="N20" s="13"/>
    </row>
    <row r="21" customFormat="false" ht="15" hidden="false" customHeight="false" outlineLevel="0" collapsed="false">
      <c r="A21" s="31"/>
      <c r="B21" s="13"/>
      <c r="C21" s="13"/>
      <c r="D21" s="32"/>
      <c r="E21" s="32"/>
      <c r="F21" s="14"/>
      <c r="G21" s="23"/>
      <c r="H21" s="16" t="str">
        <f aca="false">IF(F21="","",IF(G21&lt;&gt;"",G21,IF(E21="JPY",IF(ISNUMBER($L$1),ROUND(F21/$L$1,2),"レート未入力"),F21)))</f>
        <v/>
      </c>
      <c r="I21" s="13"/>
      <c r="J21" s="22" t="str">
        <f aca="false">IF(A21="","",IF(A21&lt;DATE(2025,4,6),"2024/25",IF(A21&lt;DATE(2026,4,6),"2025/26",IF(A21&lt;DATE(2027,4,6),"2026/27","2027/28"))))</f>
        <v/>
      </c>
      <c r="N21" s="13"/>
    </row>
    <row r="22" customFormat="false" ht="15" hidden="false" customHeight="false" outlineLevel="0" collapsed="false">
      <c r="A22" s="31"/>
      <c r="B22" s="13"/>
      <c r="C22" s="13"/>
      <c r="D22" s="32"/>
      <c r="E22" s="32"/>
      <c r="F22" s="14"/>
      <c r="G22" s="23"/>
      <c r="H22" s="16" t="str">
        <f aca="false">IF(F22="","",IF(G22&lt;&gt;"",G22,IF(E22="JPY",IF(ISNUMBER($L$1),ROUND(F22/$L$1,2),"レート未入力"),F22)))</f>
        <v/>
      </c>
      <c r="I22" s="13"/>
      <c r="J22" s="22" t="str">
        <f aca="false">IF(A22="","",IF(A22&lt;DATE(2025,4,6),"2024/25",IF(A22&lt;DATE(2026,4,6),"2025/26",IF(A22&lt;DATE(2027,4,6),"2026/27","2027/28"))))</f>
        <v/>
      </c>
      <c r="N22" s="13"/>
    </row>
    <row r="23" customFormat="false" ht="15" hidden="false" customHeight="false" outlineLevel="0" collapsed="false">
      <c r="A23" s="31"/>
      <c r="B23" s="13"/>
      <c r="C23" s="13"/>
      <c r="D23" s="32"/>
      <c r="E23" s="32"/>
      <c r="F23" s="14"/>
      <c r="G23" s="23"/>
      <c r="H23" s="16" t="str">
        <f aca="false">IF(F23="","",IF(G23&lt;&gt;"",G23,IF(E23="JPY",IF(ISNUMBER($L$1),ROUND(F23/$L$1,2),"レート未入力"),F23)))</f>
        <v/>
      </c>
      <c r="I23" s="13"/>
      <c r="J23" s="22" t="str">
        <f aca="false">IF(A23="","",IF(A23&lt;DATE(2025,4,6),"2024/25",IF(A23&lt;DATE(2026,4,6),"2025/26",IF(A23&lt;DATE(2027,4,6),"2026/27","2027/28"))))</f>
        <v/>
      </c>
      <c r="N23" s="13"/>
    </row>
    <row r="24" customFormat="false" ht="15" hidden="false" customHeight="false" outlineLevel="0" collapsed="false">
      <c r="A24" s="31"/>
      <c r="B24" s="13"/>
      <c r="C24" s="13"/>
      <c r="D24" s="32"/>
      <c r="E24" s="32"/>
      <c r="F24" s="14"/>
      <c r="G24" s="23"/>
      <c r="H24" s="16" t="str">
        <f aca="false">IF(F24="","",IF(G24&lt;&gt;"",G24,IF(E24="JPY",IF(ISNUMBER($L$1),ROUND(F24/$L$1,2),"レート未入力"),F24)))</f>
        <v/>
      </c>
      <c r="I24" s="13"/>
      <c r="J24" s="22" t="str">
        <f aca="false">IF(A24="","",IF(A24&lt;DATE(2025,4,6),"2024/25",IF(A24&lt;DATE(2026,4,6),"2025/26",IF(A24&lt;DATE(2027,4,6),"2026/27","2027/28"))))</f>
        <v/>
      </c>
      <c r="N24" s="13"/>
    </row>
    <row r="25" customFormat="false" ht="15" hidden="false" customHeight="false" outlineLevel="0" collapsed="false">
      <c r="A25" s="31"/>
      <c r="B25" s="13"/>
      <c r="C25" s="13"/>
      <c r="D25" s="32"/>
      <c r="E25" s="32"/>
      <c r="F25" s="14"/>
      <c r="G25" s="23"/>
      <c r="H25" s="16" t="str">
        <f aca="false">IF(F25="","",IF(G25&lt;&gt;"",G25,IF(E25="JPY",IF(ISNUMBER($L$1),ROUND(F25/$L$1,2),"レート未入力"),F25)))</f>
        <v/>
      </c>
      <c r="I25" s="13"/>
      <c r="J25" s="22" t="str">
        <f aca="false">IF(A25="","",IF(A25&lt;DATE(2025,4,6),"2024/25",IF(A25&lt;DATE(2026,4,6),"2025/26",IF(A25&lt;DATE(2027,4,6),"2026/27","2027/28"))))</f>
        <v/>
      </c>
      <c r="N25" s="13"/>
    </row>
    <row r="26" customFormat="false" ht="15" hidden="false" customHeight="false" outlineLevel="0" collapsed="false">
      <c r="A26" s="3" t="s">
        <v>183</v>
      </c>
      <c r="H26" s="18" t="n">
        <f aca="false">SUM(H6:H25)</f>
        <v>0</v>
      </c>
    </row>
    <row r="28" customFormat="false" ht="15" hidden="false" customHeight="false" outlineLevel="0" collapsed="false">
      <c r="A28" s="26" t="s">
        <v>184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</row>
    <row r="29" customFormat="false" ht="30" hidden="false" customHeight="true" outlineLevel="0" collapsed="false">
      <c r="A29" s="9" t="s">
        <v>167</v>
      </c>
      <c r="B29" s="9" t="s">
        <v>185</v>
      </c>
      <c r="C29" s="9" t="s">
        <v>169</v>
      </c>
      <c r="D29" s="9" t="s">
        <v>38</v>
      </c>
      <c r="E29" s="9" t="s">
        <v>171</v>
      </c>
      <c r="F29" s="9" t="s">
        <v>172</v>
      </c>
      <c r="G29" s="9" t="s">
        <v>173</v>
      </c>
      <c r="H29" s="10" t="s">
        <v>186</v>
      </c>
      <c r="I29" s="9" t="s">
        <v>187</v>
      </c>
      <c r="J29" s="9" t="s">
        <v>188</v>
      </c>
      <c r="K29" s="9" t="s">
        <v>189</v>
      </c>
      <c r="L29" s="9" t="s">
        <v>176</v>
      </c>
      <c r="M29" s="9"/>
      <c r="N29" s="9" t="s">
        <v>177</v>
      </c>
    </row>
    <row r="30" customFormat="false" ht="15" hidden="false" customHeight="false" outlineLevel="0" collapsed="false">
      <c r="A30" s="31"/>
      <c r="B30" s="13"/>
      <c r="C30" s="13"/>
      <c r="D30" s="32"/>
      <c r="E30" s="32"/>
      <c r="F30" s="14"/>
      <c r="G30" s="23"/>
      <c r="H30" s="16" t="str">
        <f aca="false">IF(F30="","",IF(G30&lt;&gt;"",G30,IF(E30="JPY",IF(ISNUMBER($L$1),ROUND(F30/$L$1,2),"レート未入力"),F30)))</f>
        <v/>
      </c>
      <c r="I30" s="33"/>
      <c r="J30" s="16" t="str">
        <f aca="false">IF(ISNUMBER(H30),ROUND(H30*IF(I30="",1,I30),2),"")</f>
        <v/>
      </c>
      <c r="K30" s="35"/>
      <c r="L30" s="22" t="str">
        <f aca="false">IF(A30="","",IF(A30&lt;DATE(2025,4,6),"2024/25",IF(A30&lt;DATE(2026,4,6),"2025/26",IF(A30&lt;DATE(2027,4,6),"2026/27","2027/28"))))</f>
        <v/>
      </c>
      <c r="N30" s="13"/>
    </row>
    <row r="31" customFormat="false" ht="15" hidden="false" customHeight="false" outlineLevel="0" collapsed="false">
      <c r="A31" s="31"/>
      <c r="B31" s="13"/>
      <c r="C31" s="13"/>
      <c r="D31" s="32"/>
      <c r="E31" s="32"/>
      <c r="F31" s="14"/>
      <c r="G31" s="23"/>
      <c r="H31" s="16" t="str">
        <f aca="false">IF(F31="","",IF(G31&lt;&gt;"",G31,IF(E31="JPY",IF(ISNUMBER($L$1),ROUND(F31/$L$1,2),"レート未入力"),F31)))</f>
        <v/>
      </c>
      <c r="I31" s="33"/>
      <c r="J31" s="16" t="str">
        <f aca="false">IF(ISNUMBER(H31),ROUND(H31*IF(I31="",1,I31),2),"")</f>
        <v/>
      </c>
      <c r="K31" s="35"/>
      <c r="L31" s="22" t="str">
        <f aca="false">IF(A31="","",IF(A31&lt;DATE(2025,4,6),"2024/25",IF(A31&lt;DATE(2026,4,6),"2025/26",IF(A31&lt;DATE(2027,4,6),"2026/27","2027/28"))))</f>
        <v/>
      </c>
      <c r="N31" s="13"/>
    </row>
    <row r="32" customFormat="false" ht="15" hidden="false" customHeight="false" outlineLevel="0" collapsed="false">
      <c r="A32" s="31"/>
      <c r="B32" s="13"/>
      <c r="C32" s="13"/>
      <c r="D32" s="32"/>
      <c r="E32" s="32"/>
      <c r="F32" s="14"/>
      <c r="G32" s="23"/>
      <c r="H32" s="16" t="str">
        <f aca="false">IF(F32="","",IF(G32&lt;&gt;"",G32,IF(E32="JPY",IF(ISNUMBER($L$1),ROUND(F32/$L$1,2),"レート未入力"),F32)))</f>
        <v/>
      </c>
      <c r="I32" s="33"/>
      <c r="J32" s="16" t="str">
        <f aca="false">IF(ISNUMBER(H32),ROUND(H32*IF(I32="",1,I32),2),"")</f>
        <v/>
      </c>
      <c r="K32" s="35"/>
      <c r="L32" s="22" t="str">
        <f aca="false">IF(A32="","",IF(A32&lt;DATE(2025,4,6),"2024/25",IF(A32&lt;DATE(2026,4,6),"2025/26",IF(A32&lt;DATE(2027,4,6),"2026/27","2027/28"))))</f>
        <v/>
      </c>
      <c r="N32" s="13"/>
    </row>
    <row r="33" customFormat="false" ht="15" hidden="false" customHeight="false" outlineLevel="0" collapsed="false">
      <c r="A33" s="31"/>
      <c r="B33" s="13"/>
      <c r="C33" s="13"/>
      <c r="D33" s="32"/>
      <c r="E33" s="32"/>
      <c r="F33" s="14"/>
      <c r="G33" s="23"/>
      <c r="H33" s="16" t="str">
        <f aca="false">IF(F33="","",IF(G33&lt;&gt;"",G33,IF(E33="JPY",IF(ISNUMBER($L$1),ROUND(F33/$L$1,2),"レート未入力"),F33)))</f>
        <v/>
      </c>
      <c r="I33" s="33"/>
      <c r="J33" s="16" t="str">
        <f aca="false">IF(ISNUMBER(H33),ROUND(H33*IF(I33="",1,I33),2),"")</f>
        <v/>
      </c>
      <c r="K33" s="35"/>
      <c r="L33" s="22" t="str">
        <f aca="false">IF(A33="","",IF(A33&lt;DATE(2025,4,6),"2024/25",IF(A33&lt;DATE(2026,4,6),"2025/26",IF(A33&lt;DATE(2027,4,6),"2026/27","2027/28"))))</f>
        <v/>
      </c>
      <c r="N33" s="13"/>
    </row>
    <row r="34" customFormat="false" ht="15" hidden="false" customHeight="false" outlineLevel="0" collapsed="false">
      <c r="A34" s="31"/>
      <c r="B34" s="13"/>
      <c r="C34" s="13"/>
      <c r="D34" s="32"/>
      <c r="E34" s="32"/>
      <c r="F34" s="14"/>
      <c r="G34" s="23"/>
      <c r="H34" s="16" t="str">
        <f aca="false">IF(F34="","",IF(G34&lt;&gt;"",G34,IF(E34="JPY",IF(ISNUMBER($L$1),ROUND(F34/$L$1,2),"レート未入力"),F34)))</f>
        <v/>
      </c>
      <c r="I34" s="33"/>
      <c r="J34" s="16" t="str">
        <f aca="false">IF(ISNUMBER(H34),ROUND(H34*IF(I34="",1,I34),2),"")</f>
        <v/>
      </c>
      <c r="K34" s="35"/>
      <c r="L34" s="22" t="str">
        <f aca="false">IF(A34="","",IF(A34&lt;DATE(2025,4,6),"2024/25",IF(A34&lt;DATE(2026,4,6),"2025/26",IF(A34&lt;DATE(2027,4,6),"2026/27","2027/28"))))</f>
        <v/>
      </c>
      <c r="N34" s="13"/>
    </row>
    <row r="35" customFormat="false" ht="15" hidden="false" customHeight="false" outlineLevel="0" collapsed="false">
      <c r="A35" s="31"/>
      <c r="B35" s="13"/>
      <c r="C35" s="13"/>
      <c r="D35" s="32"/>
      <c r="E35" s="32"/>
      <c r="F35" s="14"/>
      <c r="G35" s="23"/>
      <c r="H35" s="16" t="str">
        <f aca="false">IF(F35="","",IF(G35&lt;&gt;"",G35,IF(E35="JPY",IF(ISNUMBER($L$1),ROUND(F35/$L$1,2),"レート未入力"),F35)))</f>
        <v/>
      </c>
      <c r="I35" s="33"/>
      <c r="J35" s="16" t="str">
        <f aca="false">IF(ISNUMBER(H35),ROUND(H35*IF(I35="",1,I35),2),"")</f>
        <v/>
      </c>
      <c r="K35" s="35"/>
      <c r="L35" s="22" t="str">
        <f aca="false">IF(A35="","",IF(A35&lt;DATE(2025,4,6),"2024/25",IF(A35&lt;DATE(2026,4,6),"2025/26",IF(A35&lt;DATE(2027,4,6),"2026/27","2027/28"))))</f>
        <v/>
      </c>
      <c r="N35" s="13"/>
    </row>
    <row r="36" customFormat="false" ht="15" hidden="false" customHeight="false" outlineLevel="0" collapsed="false">
      <c r="A36" s="31"/>
      <c r="B36" s="13"/>
      <c r="C36" s="13"/>
      <c r="D36" s="32"/>
      <c r="E36" s="32"/>
      <c r="F36" s="14"/>
      <c r="G36" s="23"/>
      <c r="H36" s="16" t="str">
        <f aca="false">IF(F36="","",IF(G36&lt;&gt;"",G36,IF(E36="JPY",IF(ISNUMBER($L$1),ROUND(F36/$L$1,2),"レート未入力"),F36)))</f>
        <v/>
      </c>
      <c r="I36" s="33"/>
      <c r="J36" s="16" t="str">
        <f aca="false">IF(ISNUMBER(H36),ROUND(H36*IF(I36="",1,I36),2),"")</f>
        <v/>
      </c>
      <c r="K36" s="35"/>
      <c r="L36" s="22" t="str">
        <f aca="false">IF(A36="","",IF(A36&lt;DATE(2025,4,6),"2024/25",IF(A36&lt;DATE(2026,4,6),"2025/26",IF(A36&lt;DATE(2027,4,6),"2026/27","2027/28"))))</f>
        <v/>
      </c>
      <c r="N36" s="13"/>
    </row>
    <row r="37" customFormat="false" ht="15" hidden="false" customHeight="false" outlineLevel="0" collapsed="false">
      <c r="A37" s="31"/>
      <c r="B37" s="13"/>
      <c r="C37" s="13"/>
      <c r="D37" s="32"/>
      <c r="E37" s="32"/>
      <c r="F37" s="14"/>
      <c r="G37" s="23"/>
      <c r="H37" s="16" t="str">
        <f aca="false">IF(F37="","",IF(G37&lt;&gt;"",G37,IF(E37="JPY",IF(ISNUMBER($L$1),ROUND(F37/$L$1,2),"レート未入力"),F37)))</f>
        <v/>
      </c>
      <c r="I37" s="33"/>
      <c r="J37" s="16" t="str">
        <f aca="false">IF(ISNUMBER(H37),ROUND(H37*IF(I37="",1,I37),2),"")</f>
        <v/>
      </c>
      <c r="K37" s="35"/>
      <c r="L37" s="22" t="str">
        <f aca="false">IF(A37="","",IF(A37&lt;DATE(2025,4,6),"2024/25",IF(A37&lt;DATE(2026,4,6),"2025/26",IF(A37&lt;DATE(2027,4,6),"2026/27","2027/28"))))</f>
        <v/>
      </c>
      <c r="N37" s="13"/>
    </row>
    <row r="38" customFormat="false" ht="15" hidden="false" customHeight="false" outlineLevel="0" collapsed="false">
      <c r="A38" s="31"/>
      <c r="B38" s="13"/>
      <c r="C38" s="13"/>
      <c r="D38" s="32"/>
      <c r="E38" s="32"/>
      <c r="F38" s="14"/>
      <c r="G38" s="23"/>
      <c r="H38" s="16" t="str">
        <f aca="false">IF(F38="","",IF(G38&lt;&gt;"",G38,IF(E38="JPY",IF(ISNUMBER($L$1),ROUND(F38/$L$1,2),"レート未入力"),F38)))</f>
        <v/>
      </c>
      <c r="I38" s="33"/>
      <c r="J38" s="16" t="str">
        <f aca="false">IF(ISNUMBER(H38),ROUND(H38*IF(I38="",1,I38),2),"")</f>
        <v/>
      </c>
      <c r="K38" s="35"/>
      <c r="L38" s="22" t="str">
        <f aca="false">IF(A38="","",IF(A38&lt;DATE(2025,4,6),"2024/25",IF(A38&lt;DATE(2026,4,6),"2025/26",IF(A38&lt;DATE(2027,4,6),"2026/27","2027/28"))))</f>
        <v/>
      </c>
      <c r="N38" s="13"/>
    </row>
    <row r="39" customFormat="false" ht="15" hidden="false" customHeight="false" outlineLevel="0" collapsed="false">
      <c r="A39" s="31"/>
      <c r="B39" s="13"/>
      <c r="C39" s="13"/>
      <c r="D39" s="32"/>
      <c r="E39" s="32"/>
      <c r="F39" s="14"/>
      <c r="G39" s="23"/>
      <c r="H39" s="16" t="str">
        <f aca="false">IF(F39="","",IF(G39&lt;&gt;"",G39,IF(E39="JPY",IF(ISNUMBER($L$1),ROUND(F39/$L$1,2),"レート未入力"),F39)))</f>
        <v/>
      </c>
      <c r="I39" s="33"/>
      <c r="J39" s="16" t="str">
        <f aca="false">IF(ISNUMBER(H39),ROUND(H39*IF(I39="",1,I39),2),"")</f>
        <v/>
      </c>
      <c r="K39" s="35"/>
      <c r="L39" s="22" t="str">
        <f aca="false">IF(A39="","",IF(A39&lt;DATE(2025,4,6),"2024/25",IF(A39&lt;DATE(2026,4,6),"2025/26",IF(A39&lt;DATE(2027,4,6),"2026/27","2027/28"))))</f>
        <v/>
      </c>
      <c r="N39" s="13"/>
    </row>
    <row r="40" customFormat="false" ht="15" hidden="false" customHeight="false" outlineLevel="0" collapsed="false">
      <c r="A40" s="31"/>
      <c r="B40" s="13"/>
      <c r="C40" s="13"/>
      <c r="D40" s="32"/>
      <c r="E40" s="32"/>
      <c r="F40" s="14"/>
      <c r="G40" s="23"/>
      <c r="H40" s="16" t="str">
        <f aca="false">IF(F40="","",IF(G40&lt;&gt;"",G40,IF(E40="JPY",IF(ISNUMBER($L$1),ROUND(F40/$L$1,2),"レート未入力"),F40)))</f>
        <v/>
      </c>
      <c r="I40" s="33"/>
      <c r="J40" s="16" t="str">
        <f aca="false">IF(ISNUMBER(H40),ROUND(H40*IF(I40="",1,I40),2),"")</f>
        <v/>
      </c>
      <c r="K40" s="35"/>
      <c r="L40" s="22" t="str">
        <f aca="false">IF(A40="","",IF(A40&lt;DATE(2025,4,6),"2024/25",IF(A40&lt;DATE(2026,4,6),"2025/26",IF(A40&lt;DATE(2027,4,6),"2026/27","2027/28"))))</f>
        <v/>
      </c>
      <c r="N40" s="13"/>
    </row>
    <row r="41" customFormat="false" ht="15" hidden="false" customHeight="false" outlineLevel="0" collapsed="false">
      <c r="A41" s="31"/>
      <c r="B41" s="13"/>
      <c r="C41" s="13"/>
      <c r="D41" s="32"/>
      <c r="E41" s="32"/>
      <c r="F41" s="14"/>
      <c r="G41" s="23"/>
      <c r="H41" s="16" t="str">
        <f aca="false">IF(F41="","",IF(G41&lt;&gt;"",G41,IF(E41="JPY",IF(ISNUMBER($L$1),ROUND(F41/$L$1,2),"レート未入力"),F41)))</f>
        <v/>
      </c>
      <c r="I41" s="33"/>
      <c r="J41" s="16" t="str">
        <f aca="false">IF(ISNUMBER(H41),ROUND(H41*IF(I41="",1,I41),2),"")</f>
        <v/>
      </c>
      <c r="K41" s="35"/>
      <c r="L41" s="22" t="str">
        <f aca="false">IF(A41="","",IF(A41&lt;DATE(2025,4,6),"2024/25",IF(A41&lt;DATE(2026,4,6),"2025/26",IF(A41&lt;DATE(2027,4,6),"2026/27","2027/28"))))</f>
        <v/>
      </c>
      <c r="N41" s="13"/>
    </row>
    <row r="42" customFormat="false" ht="15" hidden="false" customHeight="false" outlineLevel="0" collapsed="false">
      <c r="A42" s="31"/>
      <c r="B42" s="13"/>
      <c r="C42" s="13"/>
      <c r="D42" s="32"/>
      <c r="E42" s="32"/>
      <c r="F42" s="14"/>
      <c r="G42" s="23"/>
      <c r="H42" s="16" t="str">
        <f aca="false">IF(F42="","",IF(G42&lt;&gt;"",G42,IF(E42="JPY",IF(ISNUMBER($L$1),ROUND(F42/$L$1,2),"レート未入力"),F42)))</f>
        <v/>
      </c>
      <c r="I42" s="33"/>
      <c r="J42" s="16" t="str">
        <f aca="false">IF(ISNUMBER(H42),ROUND(H42*IF(I42="",1,I42),2),"")</f>
        <v/>
      </c>
      <c r="K42" s="35"/>
      <c r="L42" s="22" t="str">
        <f aca="false">IF(A42="","",IF(A42&lt;DATE(2025,4,6),"2024/25",IF(A42&lt;DATE(2026,4,6),"2025/26",IF(A42&lt;DATE(2027,4,6),"2026/27","2027/28"))))</f>
        <v/>
      </c>
      <c r="N42" s="13"/>
    </row>
    <row r="43" customFormat="false" ht="15" hidden="false" customHeight="false" outlineLevel="0" collapsed="false">
      <c r="A43" s="31"/>
      <c r="B43" s="13"/>
      <c r="C43" s="13"/>
      <c r="D43" s="32"/>
      <c r="E43" s="32"/>
      <c r="F43" s="14"/>
      <c r="G43" s="23"/>
      <c r="H43" s="16" t="str">
        <f aca="false">IF(F43="","",IF(G43&lt;&gt;"",G43,IF(E43="JPY",IF(ISNUMBER($L$1),ROUND(F43/$L$1,2),"レート未入力"),F43)))</f>
        <v/>
      </c>
      <c r="I43" s="33"/>
      <c r="J43" s="16" t="str">
        <f aca="false">IF(ISNUMBER(H43),ROUND(H43*IF(I43="",1,I43),2),"")</f>
        <v/>
      </c>
      <c r="K43" s="35"/>
      <c r="L43" s="22" t="str">
        <f aca="false">IF(A43="","",IF(A43&lt;DATE(2025,4,6),"2024/25",IF(A43&lt;DATE(2026,4,6),"2025/26",IF(A43&lt;DATE(2027,4,6),"2026/27","2027/28"))))</f>
        <v/>
      </c>
      <c r="N43" s="13"/>
    </row>
    <row r="44" customFormat="false" ht="15" hidden="false" customHeight="false" outlineLevel="0" collapsed="false">
      <c r="A44" s="31"/>
      <c r="B44" s="13"/>
      <c r="C44" s="13"/>
      <c r="D44" s="32"/>
      <c r="E44" s="32"/>
      <c r="F44" s="14"/>
      <c r="G44" s="23"/>
      <c r="H44" s="16" t="str">
        <f aca="false">IF(F44="","",IF(G44&lt;&gt;"",G44,IF(E44="JPY",IF(ISNUMBER($L$1),ROUND(F44/$L$1,2),"レート未入力"),F44)))</f>
        <v/>
      </c>
      <c r="I44" s="33"/>
      <c r="J44" s="16" t="str">
        <f aca="false">IF(ISNUMBER(H44),ROUND(H44*IF(I44="",1,I44),2),"")</f>
        <v/>
      </c>
      <c r="K44" s="35"/>
      <c r="L44" s="22" t="str">
        <f aca="false">IF(A44="","",IF(A44&lt;DATE(2025,4,6),"2024/25",IF(A44&lt;DATE(2026,4,6),"2025/26",IF(A44&lt;DATE(2027,4,6),"2026/27","2027/28"))))</f>
        <v/>
      </c>
      <c r="N44" s="13"/>
    </row>
    <row r="45" customFormat="false" ht="15" hidden="false" customHeight="false" outlineLevel="0" collapsed="false">
      <c r="A45" s="31"/>
      <c r="B45" s="13"/>
      <c r="C45" s="13"/>
      <c r="D45" s="32"/>
      <c r="E45" s="32"/>
      <c r="F45" s="14"/>
      <c r="G45" s="23"/>
      <c r="H45" s="16" t="str">
        <f aca="false">IF(F45="","",IF(G45&lt;&gt;"",G45,IF(E45="JPY",IF(ISNUMBER($L$1),ROUND(F45/$L$1,2),"レート未入力"),F45)))</f>
        <v/>
      </c>
      <c r="I45" s="33"/>
      <c r="J45" s="16" t="str">
        <f aca="false">IF(ISNUMBER(H45),ROUND(H45*IF(I45="",1,I45),2),"")</f>
        <v/>
      </c>
      <c r="K45" s="35"/>
      <c r="L45" s="22" t="str">
        <f aca="false">IF(A45="","",IF(A45&lt;DATE(2025,4,6),"2024/25",IF(A45&lt;DATE(2026,4,6),"2025/26",IF(A45&lt;DATE(2027,4,6),"2026/27","2027/28"))))</f>
        <v/>
      </c>
      <c r="N45" s="13"/>
    </row>
    <row r="46" customFormat="false" ht="15" hidden="false" customHeight="false" outlineLevel="0" collapsed="false">
      <c r="A46" s="31"/>
      <c r="B46" s="13"/>
      <c r="C46" s="13"/>
      <c r="D46" s="32"/>
      <c r="E46" s="32"/>
      <c r="F46" s="14"/>
      <c r="G46" s="23"/>
      <c r="H46" s="16" t="str">
        <f aca="false">IF(F46="","",IF(G46&lt;&gt;"",G46,IF(E46="JPY",IF(ISNUMBER($L$1),ROUND(F46/$L$1,2),"レート未入力"),F46)))</f>
        <v/>
      </c>
      <c r="I46" s="33"/>
      <c r="J46" s="16" t="str">
        <f aca="false">IF(ISNUMBER(H46),ROUND(H46*IF(I46="",1,I46),2),"")</f>
        <v/>
      </c>
      <c r="K46" s="35"/>
      <c r="L46" s="22" t="str">
        <f aca="false">IF(A46="","",IF(A46&lt;DATE(2025,4,6),"2024/25",IF(A46&lt;DATE(2026,4,6),"2025/26",IF(A46&lt;DATE(2027,4,6),"2026/27","2027/28"))))</f>
        <v/>
      </c>
      <c r="N46" s="13"/>
    </row>
    <row r="47" customFormat="false" ht="15" hidden="false" customHeight="false" outlineLevel="0" collapsed="false">
      <c r="A47" s="31"/>
      <c r="B47" s="13"/>
      <c r="C47" s="13"/>
      <c r="D47" s="32"/>
      <c r="E47" s="32"/>
      <c r="F47" s="14"/>
      <c r="G47" s="23"/>
      <c r="H47" s="16" t="str">
        <f aca="false">IF(F47="","",IF(G47&lt;&gt;"",G47,IF(E47="JPY",IF(ISNUMBER($L$1),ROUND(F47/$L$1,2),"レート未入力"),F47)))</f>
        <v/>
      </c>
      <c r="I47" s="33"/>
      <c r="J47" s="16" t="str">
        <f aca="false">IF(ISNUMBER(H47),ROUND(H47*IF(I47="",1,I47),2),"")</f>
        <v/>
      </c>
      <c r="K47" s="35"/>
      <c r="L47" s="22" t="str">
        <f aca="false">IF(A47="","",IF(A47&lt;DATE(2025,4,6),"2024/25",IF(A47&lt;DATE(2026,4,6),"2025/26",IF(A47&lt;DATE(2027,4,6),"2026/27","2027/28"))))</f>
        <v/>
      </c>
      <c r="N47" s="13"/>
    </row>
    <row r="48" customFormat="false" ht="15" hidden="false" customHeight="false" outlineLevel="0" collapsed="false">
      <c r="A48" s="31"/>
      <c r="B48" s="13"/>
      <c r="C48" s="13"/>
      <c r="D48" s="32"/>
      <c r="E48" s="32"/>
      <c r="F48" s="14"/>
      <c r="G48" s="23"/>
      <c r="H48" s="16" t="str">
        <f aca="false">IF(F48="","",IF(G48&lt;&gt;"",G48,IF(E48="JPY",IF(ISNUMBER($L$1),ROUND(F48/$L$1,2),"レート未入力"),F48)))</f>
        <v/>
      </c>
      <c r="I48" s="33"/>
      <c r="J48" s="16" t="str">
        <f aca="false">IF(ISNUMBER(H48),ROUND(H48*IF(I48="",1,I48),2),"")</f>
        <v/>
      </c>
      <c r="K48" s="35"/>
      <c r="L48" s="22" t="str">
        <f aca="false">IF(A48="","",IF(A48&lt;DATE(2025,4,6),"2024/25",IF(A48&lt;DATE(2026,4,6),"2025/26",IF(A48&lt;DATE(2027,4,6),"2026/27","2027/28"))))</f>
        <v/>
      </c>
      <c r="N48" s="13"/>
    </row>
    <row r="49" customFormat="false" ht="15" hidden="false" customHeight="false" outlineLevel="0" collapsed="false">
      <c r="A49" s="31"/>
      <c r="B49" s="13"/>
      <c r="C49" s="13"/>
      <c r="D49" s="32"/>
      <c r="E49" s="32"/>
      <c r="F49" s="14"/>
      <c r="G49" s="23"/>
      <c r="H49" s="16" t="str">
        <f aca="false">IF(F49="","",IF(G49&lt;&gt;"",G49,IF(E49="JPY",IF(ISNUMBER($L$1),ROUND(F49/$L$1,2),"レート未入力"),F49)))</f>
        <v/>
      </c>
      <c r="I49" s="33"/>
      <c r="J49" s="16" t="str">
        <f aca="false">IF(ISNUMBER(H49),ROUND(H49*IF(I49="",1,I49),2),"")</f>
        <v/>
      </c>
      <c r="K49" s="35"/>
      <c r="L49" s="22" t="str">
        <f aca="false">IF(A49="","",IF(A49&lt;DATE(2025,4,6),"2024/25",IF(A49&lt;DATE(2026,4,6),"2025/26",IF(A49&lt;DATE(2027,4,6),"2026/27","2027/28"))))</f>
        <v/>
      </c>
      <c r="N49" s="13"/>
    </row>
    <row r="50" customFormat="false" ht="15" hidden="false" customHeight="false" outlineLevel="0" collapsed="false">
      <c r="A50" s="31"/>
      <c r="B50" s="13"/>
      <c r="C50" s="13"/>
      <c r="D50" s="32"/>
      <c r="E50" s="32"/>
      <c r="F50" s="14"/>
      <c r="G50" s="23"/>
      <c r="H50" s="16" t="str">
        <f aca="false">IF(F50="","",IF(G50&lt;&gt;"",G50,IF(E50="JPY",IF(ISNUMBER($L$1),ROUND(F50/$L$1,2),"レート未入力"),F50)))</f>
        <v/>
      </c>
      <c r="I50" s="33"/>
      <c r="J50" s="16" t="str">
        <f aca="false">IF(ISNUMBER(H50),ROUND(H50*IF(I50="",1,I50),2),"")</f>
        <v/>
      </c>
      <c r="K50" s="35"/>
      <c r="L50" s="22" t="str">
        <f aca="false">IF(A50="","",IF(A50&lt;DATE(2025,4,6),"2024/25",IF(A50&lt;DATE(2026,4,6),"2025/26",IF(A50&lt;DATE(2027,4,6),"2026/27","2027/28"))))</f>
        <v/>
      </c>
      <c r="N50" s="13"/>
    </row>
    <row r="51" customFormat="false" ht="15" hidden="false" customHeight="false" outlineLevel="0" collapsed="false">
      <c r="A51" s="31"/>
      <c r="B51" s="13"/>
      <c r="C51" s="13"/>
      <c r="D51" s="32"/>
      <c r="E51" s="32"/>
      <c r="F51" s="14"/>
      <c r="G51" s="23"/>
      <c r="H51" s="16" t="str">
        <f aca="false">IF(F51="","",IF(G51&lt;&gt;"",G51,IF(E51="JPY",IF(ISNUMBER($L$1),ROUND(F51/$L$1,2),"レート未入力"),F51)))</f>
        <v/>
      </c>
      <c r="I51" s="33"/>
      <c r="J51" s="16" t="str">
        <f aca="false">IF(ISNUMBER(H51),ROUND(H51*IF(I51="",1,I51),2),"")</f>
        <v/>
      </c>
      <c r="K51" s="35"/>
      <c r="L51" s="22" t="str">
        <f aca="false">IF(A51="","",IF(A51&lt;DATE(2025,4,6),"2024/25",IF(A51&lt;DATE(2026,4,6),"2025/26",IF(A51&lt;DATE(2027,4,6),"2026/27","2027/28"))))</f>
        <v/>
      </c>
      <c r="N51" s="13"/>
    </row>
    <row r="52" customFormat="false" ht="15" hidden="false" customHeight="false" outlineLevel="0" collapsed="false">
      <c r="A52" s="31"/>
      <c r="B52" s="13"/>
      <c r="C52" s="13"/>
      <c r="D52" s="32"/>
      <c r="E52" s="32"/>
      <c r="F52" s="14"/>
      <c r="G52" s="23"/>
      <c r="H52" s="16" t="str">
        <f aca="false">IF(F52="","",IF(G52&lt;&gt;"",G52,IF(E52="JPY",IF(ISNUMBER($L$1),ROUND(F52/$L$1,2),"レート未入力"),F52)))</f>
        <v/>
      </c>
      <c r="I52" s="33"/>
      <c r="J52" s="16" t="str">
        <f aca="false">IF(ISNUMBER(H52),ROUND(H52*IF(I52="",1,I52),2),"")</f>
        <v/>
      </c>
      <c r="K52" s="35"/>
      <c r="L52" s="22" t="str">
        <f aca="false">IF(A52="","",IF(A52&lt;DATE(2025,4,6),"2024/25",IF(A52&lt;DATE(2026,4,6),"2025/26",IF(A52&lt;DATE(2027,4,6),"2026/27","2027/28"))))</f>
        <v/>
      </c>
      <c r="N52" s="13"/>
    </row>
    <row r="53" customFormat="false" ht="15" hidden="false" customHeight="false" outlineLevel="0" collapsed="false">
      <c r="A53" s="31"/>
      <c r="B53" s="13"/>
      <c r="C53" s="13"/>
      <c r="D53" s="32"/>
      <c r="E53" s="32"/>
      <c r="F53" s="14"/>
      <c r="G53" s="23"/>
      <c r="H53" s="16" t="str">
        <f aca="false">IF(F53="","",IF(G53&lt;&gt;"",G53,IF(E53="JPY",IF(ISNUMBER($L$1),ROUND(F53/$L$1,2),"レート未入力"),F53)))</f>
        <v/>
      </c>
      <c r="I53" s="33"/>
      <c r="J53" s="16" t="str">
        <f aca="false">IF(ISNUMBER(H53),ROUND(H53*IF(I53="",1,I53),2),"")</f>
        <v/>
      </c>
      <c r="K53" s="35"/>
      <c r="L53" s="22" t="str">
        <f aca="false">IF(A53="","",IF(A53&lt;DATE(2025,4,6),"2024/25",IF(A53&lt;DATE(2026,4,6),"2025/26",IF(A53&lt;DATE(2027,4,6),"2026/27","2027/28"))))</f>
        <v/>
      </c>
      <c r="N53" s="13"/>
    </row>
    <row r="54" customFormat="false" ht="15" hidden="false" customHeight="false" outlineLevel="0" collapsed="false">
      <c r="A54" s="31"/>
      <c r="B54" s="13"/>
      <c r="C54" s="13"/>
      <c r="D54" s="32"/>
      <c r="E54" s="32"/>
      <c r="F54" s="14"/>
      <c r="G54" s="23"/>
      <c r="H54" s="16" t="str">
        <f aca="false">IF(F54="","",IF(G54&lt;&gt;"",G54,IF(E54="JPY",IF(ISNUMBER($L$1),ROUND(F54/$L$1,2),"レート未入力"),F54)))</f>
        <v/>
      </c>
      <c r="I54" s="33"/>
      <c r="J54" s="16" t="str">
        <f aca="false">IF(ISNUMBER(H54),ROUND(H54*IF(I54="",1,I54),2),"")</f>
        <v/>
      </c>
      <c r="K54" s="35"/>
      <c r="L54" s="22" t="str">
        <f aca="false">IF(A54="","",IF(A54&lt;DATE(2025,4,6),"2024/25",IF(A54&lt;DATE(2026,4,6),"2025/26",IF(A54&lt;DATE(2027,4,6),"2026/27","2027/28"))))</f>
        <v/>
      </c>
      <c r="N54" s="13"/>
    </row>
    <row r="55" customFormat="false" ht="15" hidden="false" customHeight="false" outlineLevel="0" collapsed="false">
      <c r="A55" s="31"/>
      <c r="B55" s="13"/>
      <c r="C55" s="13"/>
      <c r="D55" s="32"/>
      <c r="E55" s="32"/>
      <c r="F55" s="14"/>
      <c r="G55" s="23"/>
      <c r="H55" s="16" t="str">
        <f aca="false">IF(F55="","",IF(G55&lt;&gt;"",G55,IF(E55="JPY",IF(ISNUMBER($L$1),ROUND(F55/$L$1,2),"レート未入力"),F55)))</f>
        <v/>
      </c>
      <c r="I55" s="33"/>
      <c r="J55" s="16" t="str">
        <f aca="false">IF(ISNUMBER(H55),ROUND(H55*IF(I55="",1,I55),2),"")</f>
        <v/>
      </c>
      <c r="K55" s="35"/>
      <c r="L55" s="22" t="str">
        <f aca="false">IF(A55="","",IF(A55&lt;DATE(2025,4,6),"2024/25",IF(A55&lt;DATE(2026,4,6),"2025/26",IF(A55&lt;DATE(2027,4,6),"2026/27","2027/28"))))</f>
        <v/>
      </c>
      <c r="N55" s="13"/>
    </row>
    <row r="56" customFormat="false" ht="15" hidden="false" customHeight="false" outlineLevel="0" collapsed="false">
      <c r="A56" s="31"/>
      <c r="B56" s="13"/>
      <c r="C56" s="13"/>
      <c r="D56" s="32"/>
      <c r="E56" s="32"/>
      <c r="F56" s="14"/>
      <c r="G56" s="23"/>
      <c r="H56" s="16" t="str">
        <f aca="false">IF(F56="","",IF(G56&lt;&gt;"",G56,IF(E56="JPY",IF(ISNUMBER($L$1),ROUND(F56/$L$1,2),"レート未入力"),F56)))</f>
        <v/>
      </c>
      <c r="I56" s="33"/>
      <c r="J56" s="16" t="str">
        <f aca="false">IF(ISNUMBER(H56),ROUND(H56*IF(I56="",1,I56),2),"")</f>
        <v/>
      </c>
      <c r="K56" s="35"/>
      <c r="L56" s="22" t="str">
        <f aca="false">IF(A56="","",IF(A56&lt;DATE(2025,4,6),"2024/25",IF(A56&lt;DATE(2026,4,6),"2025/26",IF(A56&lt;DATE(2027,4,6),"2026/27","2027/28"))))</f>
        <v/>
      </c>
      <c r="N56" s="13"/>
    </row>
    <row r="57" customFormat="false" ht="15" hidden="false" customHeight="false" outlineLevel="0" collapsed="false">
      <c r="A57" s="31"/>
      <c r="B57" s="13"/>
      <c r="C57" s="13"/>
      <c r="D57" s="32"/>
      <c r="E57" s="32"/>
      <c r="F57" s="14"/>
      <c r="G57" s="23"/>
      <c r="H57" s="16" t="str">
        <f aca="false">IF(F57="","",IF(G57&lt;&gt;"",G57,IF(E57="JPY",IF(ISNUMBER($L$1),ROUND(F57/$L$1,2),"レート未入力"),F57)))</f>
        <v/>
      </c>
      <c r="I57" s="33"/>
      <c r="J57" s="16" t="str">
        <f aca="false">IF(ISNUMBER(H57),ROUND(H57*IF(I57="",1,I57),2),"")</f>
        <v/>
      </c>
      <c r="K57" s="35"/>
      <c r="L57" s="22" t="str">
        <f aca="false">IF(A57="","",IF(A57&lt;DATE(2025,4,6),"2024/25",IF(A57&lt;DATE(2026,4,6),"2025/26",IF(A57&lt;DATE(2027,4,6),"2026/27","2027/28"))))</f>
        <v/>
      </c>
      <c r="N57" s="13"/>
    </row>
    <row r="58" customFormat="false" ht="15" hidden="false" customHeight="false" outlineLevel="0" collapsed="false">
      <c r="A58" s="31"/>
      <c r="B58" s="13"/>
      <c r="C58" s="13"/>
      <c r="D58" s="32"/>
      <c r="E58" s="32"/>
      <c r="F58" s="14"/>
      <c r="G58" s="23"/>
      <c r="H58" s="16" t="str">
        <f aca="false">IF(F58="","",IF(G58&lt;&gt;"",G58,IF(E58="JPY",IF(ISNUMBER($L$1),ROUND(F58/$L$1,2),"レート未入力"),F58)))</f>
        <v/>
      </c>
      <c r="I58" s="33"/>
      <c r="J58" s="16" t="str">
        <f aca="false">IF(ISNUMBER(H58),ROUND(H58*IF(I58="",1,I58),2),"")</f>
        <v/>
      </c>
      <c r="K58" s="35"/>
      <c r="L58" s="22" t="str">
        <f aca="false">IF(A58="","",IF(A58&lt;DATE(2025,4,6),"2024/25",IF(A58&lt;DATE(2026,4,6),"2025/26",IF(A58&lt;DATE(2027,4,6),"2026/27","2027/28"))))</f>
        <v/>
      </c>
      <c r="N58" s="13"/>
    </row>
    <row r="59" customFormat="false" ht="15" hidden="false" customHeight="false" outlineLevel="0" collapsed="false">
      <c r="A59" s="31"/>
      <c r="B59" s="13"/>
      <c r="C59" s="13"/>
      <c r="D59" s="32"/>
      <c r="E59" s="32"/>
      <c r="F59" s="14"/>
      <c r="G59" s="23"/>
      <c r="H59" s="16" t="str">
        <f aca="false">IF(F59="","",IF(G59&lt;&gt;"",G59,IF(E59="JPY",IF(ISNUMBER($L$1),ROUND(F59/$L$1,2),"レート未入力"),F59)))</f>
        <v/>
      </c>
      <c r="I59" s="33"/>
      <c r="J59" s="16" t="str">
        <f aca="false">IF(ISNUMBER(H59),ROUND(H59*IF(I59="",1,I59),2),"")</f>
        <v/>
      </c>
      <c r="K59" s="35"/>
      <c r="L59" s="22" t="str">
        <f aca="false">IF(A59="","",IF(A59&lt;DATE(2025,4,6),"2024/25",IF(A59&lt;DATE(2026,4,6),"2025/26",IF(A59&lt;DATE(2027,4,6),"2026/27","2027/28"))))</f>
        <v/>
      </c>
      <c r="N59" s="13"/>
    </row>
    <row r="60" customFormat="false" ht="15" hidden="false" customHeight="false" outlineLevel="0" collapsed="false">
      <c r="A60" s="31"/>
      <c r="B60" s="13"/>
      <c r="C60" s="13"/>
      <c r="D60" s="32"/>
      <c r="E60" s="32"/>
      <c r="F60" s="14"/>
      <c r="G60" s="23"/>
      <c r="H60" s="16" t="str">
        <f aca="false">IF(F60="","",IF(G60&lt;&gt;"",G60,IF(E60="JPY",IF(ISNUMBER($L$1),ROUND(F60/$L$1,2),"レート未入力"),F60)))</f>
        <v/>
      </c>
      <c r="I60" s="33"/>
      <c r="J60" s="16" t="str">
        <f aca="false">IF(ISNUMBER(H60),ROUND(H60*IF(I60="",1,I60),2),"")</f>
        <v/>
      </c>
      <c r="K60" s="35"/>
      <c r="L60" s="22" t="str">
        <f aca="false">IF(A60="","",IF(A60&lt;DATE(2025,4,6),"2024/25",IF(A60&lt;DATE(2026,4,6),"2025/26",IF(A60&lt;DATE(2027,4,6),"2026/27","2027/28"))))</f>
        <v/>
      </c>
      <c r="N60" s="13"/>
    </row>
    <row r="61" customFormat="false" ht="15" hidden="false" customHeight="false" outlineLevel="0" collapsed="false">
      <c r="A61" s="31"/>
      <c r="B61" s="13"/>
      <c r="C61" s="13"/>
      <c r="D61" s="32"/>
      <c r="E61" s="32"/>
      <c r="F61" s="14"/>
      <c r="G61" s="23"/>
      <c r="H61" s="16" t="str">
        <f aca="false">IF(F61="","",IF(G61&lt;&gt;"",G61,IF(E61="JPY",IF(ISNUMBER($L$1),ROUND(F61/$L$1,2),"レート未入力"),F61)))</f>
        <v/>
      </c>
      <c r="I61" s="33"/>
      <c r="J61" s="16" t="str">
        <f aca="false">IF(ISNUMBER(H61),ROUND(H61*IF(I61="",1,I61),2),"")</f>
        <v/>
      </c>
      <c r="K61" s="35"/>
      <c r="L61" s="22" t="str">
        <f aca="false">IF(A61="","",IF(A61&lt;DATE(2025,4,6),"2024/25",IF(A61&lt;DATE(2026,4,6),"2025/26",IF(A61&lt;DATE(2027,4,6),"2026/27","2027/28"))))</f>
        <v/>
      </c>
      <c r="N61" s="13"/>
    </row>
    <row r="62" customFormat="false" ht="15" hidden="false" customHeight="false" outlineLevel="0" collapsed="false">
      <c r="A62" s="31"/>
      <c r="B62" s="13"/>
      <c r="C62" s="13"/>
      <c r="D62" s="32"/>
      <c r="E62" s="32"/>
      <c r="F62" s="14"/>
      <c r="G62" s="23"/>
      <c r="H62" s="16" t="str">
        <f aca="false">IF(F62="","",IF(G62&lt;&gt;"",G62,IF(E62="JPY",IF(ISNUMBER($L$1),ROUND(F62/$L$1,2),"レート未入力"),F62)))</f>
        <v/>
      </c>
      <c r="I62" s="33"/>
      <c r="J62" s="16" t="str">
        <f aca="false">IF(ISNUMBER(H62),ROUND(H62*IF(I62="",1,I62),2),"")</f>
        <v/>
      </c>
      <c r="K62" s="35"/>
      <c r="L62" s="22" t="str">
        <f aca="false">IF(A62="","",IF(A62&lt;DATE(2025,4,6),"2024/25",IF(A62&lt;DATE(2026,4,6),"2025/26",IF(A62&lt;DATE(2027,4,6),"2026/27","2027/28"))))</f>
        <v/>
      </c>
      <c r="N62" s="13"/>
    </row>
    <row r="63" customFormat="false" ht="15" hidden="false" customHeight="false" outlineLevel="0" collapsed="false">
      <c r="A63" s="31"/>
      <c r="B63" s="13"/>
      <c r="C63" s="13"/>
      <c r="D63" s="32"/>
      <c r="E63" s="32"/>
      <c r="F63" s="14"/>
      <c r="G63" s="23"/>
      <c r="H63" s="16" t="str">
        <f aca="false">IF(F63="","",IF(G63&lt;&gt;"",G63,IF(E63="JPY",IF(ISNUMBER($L$1),ROUND(F63/$L$1,2),"レート未入力"),F63)))</f>
        <v/>
      </c>
      <c r="I63" s="33"/>
      <c r="J63" s="16" t="str">
        <f aca="false">IF(ISNUMBER(H63),ROUND(H63*IF(I63="",1,I63),2),"")</f>
        <v/>
      </c>
      <c r="K63" s="35"/>
      <c r="L63" s="22" t="str">
        <f aca="false">IF(A63="","",IF(A63&lt;DATE(2025,4,6),"2024/25",IF(A63&lt;DATE(2026,4,6),"2025/26",IF(A63&lt;DATE(2027,4,6),"2026/27","2027/28"))))</f>
        <v/>
      </c>
      <c r="N63" s="13"/>
    </row>
    <row r="64" customFormat="false" ht="15" hidden="false" customHeight="false" outlineLevel="0" collapsed="false">
      <c r="A64" s="31"/>
      <c r="B64" s="13"/>
      <c r="C64" s="13"/>
      <c r="D64" s="32"/>
      <c r="E64" s="32"/>
      <c r="F64" s="14"/>
      <c r="G64" s="23"/>
      <c r="H64" s="16" t="str">
        <f aca="false">IF(F64="","",IF(G64&lt;&gt;"",G64,IF(E64="JPY",IF(ISNUMBER($L$1),ROUND(F64/$L$1,2),"レート未入力"),F64)))</f>
        <v/>
      </c>
      <c r="I64" s="33"/>
      <c r="J64" s="16" t="str">
        <f aca="false">IF(ISNUMBER(H64),ROUND(H64*IF(I64="",1,I64),2),"")</f>
        <v/>
      </c>
      <c r="K64" s="35"/>
      <c r="L64" s="22" t="str">
        <f aca="false">IF(A64="","",IF(A64&lt;DATE(2025,4,6),"2024/25",IF(A64&lt;DATE(2026,4,6),"2025/26",IF(A64&lt;DATE(2027,4,6),"2026/27","2027/28"))))</f>
        <v/>
      </c>
      <c r="N64" s="13"/>
    </row>
    <row r="65" customFormat="false" ht="15" hidden="false" customHeight="false" outlineLevel="0" collapsed="false">
      <c r="A65" s="31"/>
      <c r="B65" s="13"/>
      <c r="C65" s="13"/>
      <c r="D65" s="32"/>
      <c r="E65" s="32"/>
      <c r="F65" s="14"/>
      <c r="G65" s="23"/>
      <c r="H65" s="16" t="str">
        <f aca="false">IF(F65="","",IF(G65&lt;&gt;"",G65,IF(E65="JPY",IF(ISNUMBER($L$1),ROUND(F65/$L$1,2),"レート未入力"),F65)))</f>
        <v/>
      </c>
      <c r="I65" s="33"/>
      <c r="J65" s="16" t="str">
        <f aca="false">IF(ISNUMBER(H65),ROUND(H65*IF(I65="",1,I65),2),"")</f>
        <v/>
      </c>
      <c r="K65" s="35"/>
      <c r="L65" s="22" t="str">
        <f aca="false">IF(A65="","",IF(A65&lt;DATE(2025,4,6),"2024/25",IF(A65&lt;DATE(2026,4,6),"2025/26",IF(A65&lt;DATE(2027,4,6),"2026/27","2027/28"))))</f>
        <v/>
      </c>
      <c r="N65" s="13"/>
    </row>
    <row r="66" customFormat="false" ht="15" hidden="false" customHeight="false" outlineLevel="0" collapsed="false">
      <c r="A66" s="31"/>
      <c r="B66" s="13"/>
      <c r="C66" s="13"/>
      <c r="D66" s="32"/>
      <c r="E66" s="32"/>
      <c r="F66" s="14"/>
      <c r="G66" s="23"/>
      <c r="H66" s="16" t="str">
        <f aca="false">IF(F66="","",IF(G66&lt;&gt;"",G66,IF(E66="JPY",IF(ISNUMBER($L$1),ROUND(F66/$L$1,2),"レート未入力"),F66)))</f>
        <v/>
      </c>
      <c r="I66" s="33"/>
      <c r="J66" s="16" t="str">
        <f aca="false">IF(ISNUMBER(H66),ROUND(H66*IF(I66="",1,I66),2),"")</f>
        <v/>
      </c>
      <c r="K66" s="35"/>
      <c r="L66" s="22" t="str">
        <f aca="false">IF(A66="","",IF(A66&lt;DATE(2025,4,6),"2024/25",IF(A66&lt;DATE(2026,4,6),"2025/26",IF(A66&lt;DATE(2027,4,6),"2026/27","2027/28"))))</f>
        <v/>
      </c>
      <c r="N66" s="13"/>
    </row>
    <row r="67" customFormat="false" ht="15" hidden="false" customHeight="false" outlineLevel="0" collapsed="false">
      <c r="A67" s="31"/>
      <c r="B67" s="13"/>
      <c r="C67" s="13"/>
      <c r="D67" s="32"/>
      <c r="E67" s="32"/>
      <c r="F67" s="14"/>
      <c r="G67" s="23"/>
      <c r="H67" s="16" t="str">
        <f aca="false">IF(F67="","",IF(G67&lt;&gt;"",G67,IF(E67="JPY",IF(ISNUMBER($L$1),ROUND(F67/$L$1,2),"レート未入力"),F67)))</f>
        <v/>
      </c>
      <c r="I67" s="33"/>
      <c r="J67" s="16" t="str">
        <f aca="false">IF(ISNUMBER(H67),ROUND(H67*IF(I67="",1,I67),2),"")</f>
        <v/>
      </c>
      <c r="K67" s="35"/>
      <c r="L67" s="22" t="str">
        <f aca="false">IF(A67="","",IF(A67&lt;DATE(2025,4,6),"2024/25",IF(A67&lt;DATE(2026,4,6),"2025/26",IF(A67&lt;DATE(2027,4,6),"2026/27","2027/28"))))</f>
        <v/>
      </c>
      <c r="N67" s="13"/>
    </row>
    <row r="68" customFormat="false" ht="15" hidden="false" customHeight="false" outlineLevel="0" collapsed="false">
      <c r="A68" s="31"/>
      <c r="B68" s="13"/>
      <c r="C68" s="13"/>
      <c r="D68" s="32"/>
      <c r="E68" s="32"/>
      <c r="F68" s="14"/>
      <c r="G68" s="23"/>
      <c r="H68" s="16" t="str">
        <f aca="false">IF(F68="","",IF(G68&lt;&gt;"",G68,IF(E68="JPY",IF(ISNUMBER($L$1),ROUND(F68/$L$1,2),"レート未入力"),F68)))</f>
        <v/>
      </c>
      <c r="I68" s="33"/>
      <c r="J68" s="16" t="str">
        <f aca="false">IF(ISNUMBER(H68),ROUND(H68*IF(I68="",1,I68),2),"")</f>
        <v/>
      </c>
      <c r="K68" s="35"/>
      <c r="L68" s="22" t="str">
        <f aca="false">IF(A68="","",IF(A68&lt;DATE(2025,4,6),"2024/25",IF(A68&lt;DATE(2026,4,6),"2025/26",IF(A68&lt;DATE(2027,4,6),"2026/27","2027/28"))))</f>
        <v/>
      </c>
      <c r="N68" s="13"/>
    </row>
    <row r="69" customFormat="false" ht="15" hidden="false" customHeight="false" outlineLevel="0" collapsed="false">
      <c r="A69" s="31"/>
      <c r="B69" s="13"/>
      <c r="C69" s="13"/>
      <c r="D69" s="32"/>
      <c r="E69" s="32"/>
      <c r="F69" s="14"/>
      <c r="G69" s="23"/>
      <c r="H69" s="16" t="str">
        <f aca="false">IF(F69="","",IF(G69&lt;&gt;"",G69,IF(E69="JPY",IF(ISNUMBER($L$1),ROUND(F69/$L$1,2),"レート未入力"),F69)))</f>
        <v/>
      </c>
      <c r="I69" s="33"/>
      <c r="J69" s="16" t="str">
        <f aca="false">IF(ISNUMBER(H69),ROUND(H69*IF(I69="",1,I69),2),"")</f>
        <v/>
      </c>
      <c r="K69" s="35"/>
      <c r="L69" s="22" t="str">
        <f aca="false">IF(A69="","",IF(A69&lt;DATE(2025,4,6),"2024/25",IF(A69&lt;DATE(2026,4,6),"2025/26",IF(A69&lt;DATE(2027,4,6),"2026/27","2027/28"))))</f>
        <v/>
      </c>
      <c r="N69" s="13"/>
    </row>
    <row r="70" customFormat="false" ht="15" hidden="false" customHeight="false" outlineLevel="0" collapsed="false">
      <c r="A70" s="3" t="s">
        <v>196</v>
      </c>
      <c r="J70" s="18" t="n">
        <f aca="false">SUM(J30:J69)</f>
        <v>0</v>
      </c>
    </row>
    <row r="72" customFormat="false" ht="15" hidden="false" customHeight="false" outlineLevel="0" collapsed="false">
      <c r="A72" s="26" t="s">
        <v>197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customFormat="false" ht="15" hidden="false" customHeight="false" outlineLevel="0" collapsed="false">
      <c r="A73" s="17" t="s">
        <v>137</v>
      </c>
      <c r="D73" s="36" t="s">
        <v>16</v>
      </c>
      <c r="E73" s="36" t="s">
        <v>18</v>
      </c>
      <c r="F73" s="36"/>
    </row>
    <row r="74" customFormat="false" ht="15" hidden="false" customHeight="false" outlineLevel="0" collapsed="false">
      <c r="A74" s="17" t="s">
        <v>183</v>
      </c>
      <c r="D74" s="18" t="n">
        <f aca="false">SUMIFS($H$6:$H$25,$J$6:$J$25,"2025/26")</f>
        <v>0</v>
      </c>
      <c r="E74" s="18" t="n">
        <f aca="false">SUMIFS($H$6:$H$25,$J$6:$J$25,"2026/27")</f>
        <v>0</v>
      </c>
      <c r="F74" s="18"/>
    </row>
    <row r="75" customFormat="false" ht="15" hidden="false" customHeight="false" outlineLevel="0" collapsed="false">
      <c r="A75" s="21" t="s">
        <v>41</v>
      </c>
      <c r="D75" s="16" t="n">
        <f aca="false">SUMIFS($J$30:$J$69,$D$30:$D$69,$A75,$L$30:$L$69,"2025/26")</f>
        <v>0</v>
      </c>
      <c r="E75" s="16" t="n">
        <f aca="false">SUMIFS($J$30:$J$69,$D$30:$D$69,$A75,$L$30:$L$69,"2026/27")</f>
        <v>0</v>
      </c>
      <c r="F75" s="16"/>
    </row>
    <row r="76" customFormat="false" ht="15" hidden="false" customHeight="false" outlineLevel="0" collapsed="false">
      <c r="A76" s="21" t="s">
        <v>43</v>
      </c>
      <c r="D76" s="16" t="n">
        <f aca="false">SUMIFS($J$30:$J$69,$D$30:$D$69,$A76,$L$30:$L$69,"2025/26")</f>
        <v>0</v>
      </c>
      <c r="E76" s="16" t="n">
        <f aca="false">SUMIFS($J$30:$J$69,$D$30:$D$69,$A76,$L$30:$L$69,"2026/27")</f>
        <v>0</v>
      </c>
      <c r="F76" s="16"/>
    </row>
    <row r="77" customFormat="false" ht="15" hidden="false" customHeight="false" outlineLevel="0" collapsed="false">
      <c r="A77" s="21" t="s">
        <v>45</v>
      </c>
      <c r="D77" s="16" t="n">
        <f aca="false">SUMIFS($J$30:$J$69,$D$30:$D$69,$A77,$L$30:$L$69,"2025/26")</f>
        <v>0</v>
      </c>
      <c r="E77" s="16" t="n">
        <f aca="false">SUMIFS($J$30:$J$69,$D$30:$D$69,$A77,$L$30:$L$69,"2026/27")</f>
        <v>0</v>
      </c>
      <c r="F77" s="16"/>
    </row>
    <row r="78" customFormat="false" ht="15" hidden="false" customHeight="false" outlineLevel="0" collapsed="false">
      <c r="A78" s="21" t="s">
        <v>47</v>
      </c>
      <c r="D78" s="16" t="n">
        <f aca="false">SUMIFS($J$30:$J$69,$D$30:$D$69,$A78,$L$30:$L$69,"2025/26")</f>
        <v>0</v>
      </c>
      <c r="E78" s="16" t="n">
        <f aca="false">SUMIFS($J$30:$J$69,$D$30:$D$69,$A78,$L$30:$L$69,"2026/27")</f>
        <v>0</v>
      </c>
      <c r="F78" s="16"/>
    </row>
    <row r="79" customFormat="false" ht="15" hidden="false" customHeight="false" outlineLevel="0" collapsed="false">
      <c r="A79" s="21" t="s">
        <v>49</v>
      </c>
      <c r="D79" s="16" t="n">
        <f aca="false">SUMIFS($J$30:$J$69,$D$30:$D$69,$A79,$L$30:$L$69,"2025/26")</f>
        <v>0</v>
      </c>
      <c r="E79" s="16" t="n">
        <f aca="false">SUMIFS($J$30:$J$69,$D$30:$D$69,$A79,$L$30:$L$69,"2026/27")</f>
        <v>0</v>
      </c>
      <c r="F79" s="16"/>
    </row>
    <row r="80" customFormat="false" ht="15" hidden="false" customHeight="false" outlineLevel="0" collapsed="false">
      <c r="A80" s="21" t="s">
        <v>51</v>
      </c>
      <c r="D80" s="16" t="n">
        <f aca="false">SUMIFS($J$30:$J$69,$D$30:$D$69,$A80,$L$30:$L$69,"2025/26")</f>
        <v>0</v>
      </c>
      <c r="E80" s="16" t="n">
        <f aca="false">SUMIFS($J$30:$J$69,$D$30:$D$69,$A80,$L$30:$L$69,"2026/27")</f>
        <v>0</v>
      </c>
      <c r="F80" s="16"/>
    </row>
    <row r="81" customFormat="false" ht="15" hidden="false" customHeight="false" outlineLevel="0" collapsed="false">
      <c r="A81" s="21" t="s">
        <v>53</v>
      </c>
      <c r="D81" s="16" t="n">
        <f aca="false">SUMIFS($J$30:$J$69,$D$30:$D$69,$A81,$L$30:$L$69,"2025/26")</f>
        <v>0</v>
      </c>
      <c r="E81" s="16" t="n">
        <f aca="false">SUMIFS($J$30:$J$69,$D$30:$D$69,$A81,$L$30:$L$69,"2026/27")</f>
        <v>0</v>
      </c>
      <c r="F81" s="16"/>
    </row>
    <row r="82" customFormat="false" ht="15" hidden="false" customHeight="false" outlineLevel="0" collapsed="false">
      <c r="A82" s="21" t="s">
        <v>55</v>
      </c>
      <c r="D82" s="16" t="n">
        <f aca="false">SUMIFS($J$30:$J$69,$D$30:$D$69,$A82,$L$30:$L$69,"2025/26")</f>
        <v>0</v>
      </c>
      <c r="E82" s="16" t="n">
        <f aca="false">SUMIFS($J$30:$J$69,$D$30:$D$69,$A82,$L$30:$L$69,"2026/27")</f>
        <v>0</v>
      </c>
      <c r="F82" s="16"/>
    </row>
    <row r="83" customFormat="false" ht="15" hidden="false" customHeight="false" outlineLevel="0" collapsed="false">
      <c r="A83" s="21" t="s">
        <v>57</v>
      </c>
      <c r="D83" s="16" t="n">
        <f aca="false">SUMIFS($J$30:$J$69,$D$30:$D$69,$A83,$L$30:$L$69,"2025/26")</f>
        <v>0</v>
      </c>
      <c r="E83" s="16" t="n">
        <f aca="false">SUMIFS($J$30:$J$69,$D$30:$D$69,$A83,$L$30:$L$69,"2026/27")</f>
        <v>0</v>
      </c>
      <c r="F83" s="16"/>
    </row>
    <row r="84" customFormat="false" ht="15" hidden="false" customHeight="false" outlineLevel="0" collapsed="false">
      <c r="A84" s="21" t="s">
        <v>59</v>
      </c>
      <c r="D84" s="16" t="n">
        <f aca="false">SUMIFS($J$30:$J$69,$D$30:$D$69,$A84,$L$30:$L$69,"2025/26")</f>
        <v>0</v>
      </c>
      <c r="E84" s="16" t="n">
        <f aca="false">SUMIFS($J$30:$J$69,$D$30:$D$69,$A84,$L$30:$L$69,"2026/27")</f>
        <v>0</v>
      </c>
      <c r="F84" s="16"/>
    </row>
    <row r="85" customFormat="false" ht="15" hidden="false" customHeight="false" outlineLevel="0" collapsed="false">
      <c r="A85" s="21" t="s">
        <v>61</v>
      </c>
      <c r="D85" s="16" t="n">
        <f aca="false">SUMIFS($J$30:$J$69,$D$30:$D$69,$A85,$L$30:$L$69,"2025/26")</f>
        <v>0</v>
      </c>
      <c r="E85" s="16" t="n">
        <f aca="false">SUMIFS($J$30:$J$69,$D$30:$D$69,$A85,$L$30:$L$69,"2026/27")</f>
        <v>0</v>
      </c>
      <c r="F85" s="16"/>
    </row>
    <row r="86" customFormat="false" ht="15" hidden="false" customHeight="false" outlineLevel="0" collapsed="false">
      <c r="A86" s="21" t="s">
        <v>63</v>
      </c>
      <c r="D86" s="16" t="n">
        <f aca="false">SUMIFS($J$30:$J$69,$D$30:$D$69,$A86,$L$30:$L$69,"2025/26")</f>
        <v>0</v>
      </c>
      <c r="E86" s="16" t="n">
        <f aca="false">SUMIFS($J$30:$J$69,$D$30:$D$69,$A86,$L$30:$L$69,"2026/27")</f>
        <v>0</v>
      </c>
      <c r="F86" s="16"/>
    </row>
    <row r="87" customFormat="false" ht="15" hidden="false" customHeight="false" outlineLevel="0" collapsed="false">
      <c r="A87" s="21" t="s">
        <v>64</v>
      </c>
      <c r="D87" s="16" t="n">
        <f aca="false">SUMIFS($J$30:$J$69,$D$30:$D$69,$A87,$L$30:$L$69,"2025/26")</f>
        <v>0</v>
      </c>
      <c r="E87" s="16" t="n">
        <f aca="false">SUMIFS($J$30:$J$69,$D$30:$D$69,$A87,$L$30:$L$69,"2026/27")</f>
        <v>0</v>
      </c>
      <c r="F87" s="16"/>
    </row>
    <row r="88" customFormat="false" ht="15" hidden="false" customHeight="false" outlineLevel="0" collapsed="false">
      <c r="A88" s="17" t="s">
        <v>198</v>
      </c>
      <c r="D88" s="18" t="n">
        <f aca="false">SUM(D75:D86)</f>
        <v>0</v>
      </c>
      <c r="E88" s="18" t="n">
        <f aca="false">SUM(E75:E86)</f>
        <v>0</v>
      </c>
      <c r="F88" s="18"/>
    </row>
    <row r="89" customFormat="false" ht="15" hidden="false" customHeight="false" outlineLevel="0" collapsed="false">
      <c r="A89" s="17" t="s">
        <v>199</v>
      </c>
      <c r="D89" s="18" t="n">
        <f aca="false">D74-D88-D87</f>
        <v>0</v>
      </c>
      <c r="E89" s="18" t="n">
        <f aca="false">E74-E88-E87</f>
        <v>0</v>
      </c>
      <c r="F89" s="18"/>
    </row>
    <row r="90" customFormat="false" ht="15" hidden="false" customHeight="false" outlineLevel="0" collapsed="false">
      <c r="A90" s="37" t="s">
        <v>200</v>
      </c>
    </row>
    <row r="91" customFormat="false" ht="15" hidden="false" customHeight="false" outlineLevel="0" collapsed="false">
      <c r="A91" s="21" t="s">
        <v>201</v>
      </c>
      <c r="D91" s="16" t="n">
        <f aca="false">SUMIFS($J$30:$J$69,$D$30:$D$69,"")</f>
        <v>0</v>
      </c>
    </row>
  </sheetData>
  <mergeCells count="17"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</mergeCells>
  <dataValidations count="5">
    <dataValidation allowBlank="true" error="0%〜100%で入力してください" errorStyle="stop" operator="between" showDropDown="false" showErrorMessage="true" showInputMessage="false" sqref="I30:I69" type="decimal">
      <formula1>0</formula1>
      <formula2>1</formula2>
    </dataValidation>
    <dataValidation allowBlank="true" errorStyle="stop" operator="between" showDropDown="false" showErrorMessage="false" showInputMessage="false" sqref="E6:E25 E30:E69" type="list">
      <formula1>_list!$B$1:$B$2</formula1>
      <formula2>0</formula2>
    </dataValidation>
    <dataValidation allowBlank="true" errorStyle="stop" operator="between" showDropDown="false" showErrorMessage="false" showInputMessage="false" sqref="D30:D69" type="list">
      <formula1>_list!$A$1:$A$13</formula1>
      <formula2>0</formula2>
    </dataValidation>
    <dataValidation allowBlank="true" errorStyle="stop" operator="between" showDropDown="false" showErrorMessage="false" showInputMessage="false" sqref="D6:D25" type="list">
      <formula1>_list!$C$1:$C$7</formula1>
      <formula2>0</formula2>
    </dataValidation>
    <dataValidation allowBlank="true" error="日付で入力してください（例：2025/5/2）" errorStyle="stop" operator="between" showDropDown="false" showErrorMessage="true" showInputMessage="false" sqref="A6:A25 A30:A69" type="date">
      <formula1>DATE(2025,4,1)</formula1>
      <formula2>DATE(2027,12,31)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24"/>
  </cols>
  <sheetData>
    <row r="1" customFormat="false" ht="19.4" hidden="false" customHeight="false" outlineLevel="0" collapsed="false">
      <c r="A1" s="1" t="s">
        <v>220</v>
      </c>
      <c r="J1" s="3" t="s">
        <v>164</v>
      </c>
      <c r="L1" s="25" t="str">
        <f aca="false">IF(為替レート!$B$24="","未入力",為替レート!$B$24)</f>
        <v>未入力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26" t="s">
        <v>166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customFormat="false" ht="30" hidden="false" customHeight="true" outlineLevel="0" collapsed="false">
      <c r="A5" s="9" t="s">
        <v>167</v>
      </c>
      <c r="B5" s="9" t="s">
        <v>168</v>
      </c>
      <c r="C5" s="9" t="s">
        <v>169</v>
      </c>
      <c r="D5" s="9" t="s">
        <v>170</v>
      </c>
      <c r="E5" s="9" t="s">
        <v>171</v>
      </c>
      <c r="F5" s="9" t="s">
        <v>172</v>
      </c>
      <c r="G5" s="9" t="s">
        <v>173</v>
      </c>
      <c r="H5" s="9" t="s">
        <v>174</v>
      </c>
      <c r="I5" s="9" t="s">
        <v>175</v>
      </c>
      <c r="J5" s="9" t="s">
        <v>176</v>
      </c>
      <c r="K5" s="9"/>
      <c r="L5" s="9"/>
      <c r="M5" s="9"/>
      <c r="N5" s="9" t="s">
        <v>177</v>
      </c>
    </row>
    <row r="6" customFormat="false" ht="15" hidden="false" customHeight="false" outlineLevel="0" collapsed="false">
      <c r="A6" s="31"/>
      <c r="B6" s="13"/>
      <c r="C6" s="13"/>
      <c r="D6" s="32"/>
      <c r="E6" s="32"/>
      <c r="F6" s="14"/>
      <c r="G6" s="23"/>
      <c r="H6" s="16" t="str">
        <f aca="false">IF(F6="","",IF(G6&lt;&gt;"",G6,IF(E6="JPY",IF(ISNUMBER($L$1),ROUND(F6/$L$1,2),"レート未入力"),F6)))</f>
        <v/>
      </c>
      <c r="I6" s="13"/>
      <c r="J6" s="22" t="str">
        <f aca="false">IF(A6="","",IF(A6&lt;DATE(2025,4,6),"2024/25",IF(A6&lt;DATE(2026,4,6),"2025/26",IF(A6&lt;DATE(2027,4,6),"2026/27","2027/28"))))</f>
        <v/>
      </c>
      <c r="N6" s="13"/>
    </row>
    <row r="7" customFormat="false" ht="15" hidden="false" customHeight="false" outlineLevel="0" collapsed="false">
      <c r="A7" s="31"/>
      <c r="B7" s="13"/>
      <c r="C7" s="13"/>
      <c r="D7" s="32"/>
      <c r="E7" s="32"/>
      <c r="F7" s="14"/>
      <c r="G7" s="23"/>
      <c r="H7" s="16" t="str">
        <f aca="false">IF(F7="","",IF(G7&lt;&gt;"",G7,IF(E7="JPY",IF(ISNUMBER($L$1),ROUND(F7/$L$1,2),"レート未入力"),F7)))</f>
        <v/>
      </c>
      <c r="I7" s="13"/>
      <c r="J7" s="22" t="str">
        <f aca="false">IF(A7="","",IF(A7&lt;DATE(2025,4,6),"2024/25",IF(A7&lt;DATE(2026,4,6),"2025/26",IF(A7&lt;DATE(2027,4,6),"2026/27","2027/28"))))</f>
        <v/>
      </c>
      <c r="N7" s="13"/>
    </row>
    <row r="8" customFormat="false" ht="15" hidden="false" customHeight="false" outlineLevel="0" collapsed="false">
      <c r="A8" s="31"/>
      <c r="B8" s="13"/>
      <c r="C8" s="13"/>
      <c r="D8" s="32"/>
      <c r="E8" s="32"/>
      <c r="F8" s="14"/>
      <c r="G8" s="23"/>
      <c r="H8" s="16" t="str">
        <f aca="false">IF(F8="","",IF(G8&lt;&gt;"",G8,IF(E8="JPY",IF(ISNUMBER($L$1),ROUND(F8/$L$1,2),"レート未入力"),F8)))</f>
        <v/>
      </c>
      <c r="I8" s="13"/>
      <c r="J8" s="22" t="str">
        <f aca="false">IF(A8="","",IF(A8&lt;DATE(2025,4,6),"2024/25",IF(A8&lt;DATE(2026,4,6),"2025/26",IF(A8&lt;DATE(2027,4,6),"2026/27","2027/28"))))</f>
        <v/>
      </c>
      <c r="N8" s="13"/>
    </row>
    <row r="9" customFormat="false" ht="15" hidden="false" customHeight="false" outlineLevel="0" collapsed="false">
      <c r="A9" s="31"/>
      <c r="B9" s="13"/>
      <c r="C9" s="13"/>
      <c r="D9" s="32"/>
      <c r="E9" s="32"/>
      <c r="F9" s="14"/>
      <c r="G9" s="23"/>
      <c r="H9" s="16" t="str">
        <f aca="false">IF(F9="","",IF(G9&lt;&gt;"",G9,IF(E9="JPY",IF(ISNUMBER($L$1),ROUND(F9/$L$1,2),"レート未入力"),F9)))</f>
        <v/>
      </c>
      <c r="I9" s="13"/>
      <c r="J9" s="22" t="str">
        <f aca="false">IF(A9="","",IF(A9&lt;DATE(2025,4,6),"2024/25",IF(A9&lt;DATE(2026,4,6),"2025/26",IF(A9&lt;DATE(2027,4,6),"2026/27","2027/28"))))</f>
        <v/>
      </c>
      <c r="N9" s="13"/>
    </row>
    <row r="10" customFormat="false" ht="15" hidden="false" customHeight="false" outlineLevel="0" collapsed="false">
      <c r="A10" s="31"/>
      <c r="B10" s="13"/>
      <c r="C10" s="13"/>
      <c r="D10" s="32"/>
      <c r="E10" s="32"/>
      <c r="F10" s="14"/>
      <c r="G10" s="23"/>
      <c r="H10" s="16" t="str">
        <f aca="false">IF(F10="","",IF(G10&lt;&gt;"",G10,IF(E10="JPY",IF(ISNUMBER($L$1),ROUND(F10/$L$1,2),"レート未入力"),F10)))</f>
        <v/>
      </c>
      <c r="I10" s="13"/>
      <c r="J10" s="22" t="str">
        <f aca="false">IF(A10="","",IF(A10&lt;DATE(2025,4,6),"2024/25",IF(A10&lt;DATE(2026,4,6),"2025/26",IF(A10&lt;DATE(2027,4,6),"2026/27","2027/28"))))</f>
        <v/>
      </c>
      <c r="N10" s="13"/>
    </row>
    <row r="11" customFormat="false" ht="15" hidden="false" customHeight="false" outlineLevel="0" collapsed="false">
      <c r="A11" s="31"/>
      <c r="B11" s="13"/>
      <c r="C11" s="13"/>
      <c r="D11" s="32"/>
      <c r="E11" s="32"/>
      <c r="F11" s="14"/>
      <c r="G11" s="23"/>
      <c r="H11" s="16" t="str">
        <f aca="false">IF(F11="","",IF(G11&lt;&gt;"",G11,IF(E11="JPY",IF(ISNUMBER($L$1),ROUND(F11/$L$1,2),"レート未入力"),F11)))</f>
        <v/>
      </c>
      <c r="I11" s="13"/>
      <c r="J11" s="22" t="str">
        <f aca="false">IF(A11="","",IF(A11&lt;DATE(2025,4,6),"2024/25",IF(A11&lt;DATE(2026,4,6),"2025/26",IF(A11&lt;DATE(2027,4,6),"2026/27","2027/28"))))</f>
        <v/>
      </c>
      <c r="N11" s="13"/>
    </row>
    <row r="12" customFormat="false" ht="15" hidden="false" customHeight="false" outlineLevel="0" collapsed="false">
      <c r="A12" s="31"/>
      <c r="B12" s="13"/>
      <c r="C12" s="13"/>
      <c r="D12" s="32"/>
      <c r="E12" s="32"/>
      <c r="F12" s="14"/>
      <c r="G12" s="23"/>
      <c r="H12" s="16" t="str">
        <f aca="false">IF(F12="","",IF(G12&lt;&gt;"",G12,IF(E12="JPY",IF(ISNUMBER($L$1),ROUND(F12/$L$1,2),"レート未入力"),F12)))</f>
        <v/>
      </c>
      <c r="I12" s="13"/>
      <c r="J12" s="22" t="str">
        <f aca="false">IF(A12="","",IF(A12&lt;DATE(2025,4,6),"2024/25",IF(A12&lt;DATE(2026,4,6),"2025/26",IF(A12&lt;DATE(2027,4,6),"2026/27","2027/28"))))</f>
        <v/>
      </c>
      <c r="N12" s="13"/>
    </row>
    <row r="13" customFormat="false" ht="15" hidden="false" customHeight="false" outlineLevel="0" collapsed="false">
      <c r="A13" s="31"/>
      <c r="B13" s="13"/>
      <c r="C13" s="13"/>
      <c r="D13" s="32"/>
      <c r="E13" s="32"/>
      <c r="F13" s="14"/>
      <c r="G13" s="23"/>
      <c r="H13" s="16" t="str">
        <f aca="false">IF(F13="","",IF(G13&lt;&gt;"",G13,IF(E13="JPY",IF(ISNUMBER($L$1),ROUND(F13/$L$1,2),"レート未入力"),F13)))</f>
        <v/>
      </c>
      <c r="I13" s="13"/>
      <c r="J13" s="22" t="str">
        <f aca="false">IF(A13="","",IF(A13&lt;DATE(2025,4,6),"2024/25",IF(A13&lt;DATE(2026,4,6),"2025/26",IF(A13&lt;DATE(2027,4,6),"2026/27","2027/28"))))</f>
        <v/>
      </c>
      <c r="N13" s="13"/>
    </row>
    <row r="14" customFormat="false" ht="15" hidden="false" customHeight="false" outlineLevel="0" collapsed="false">
      <c r="A14" s="31"/>
      <c r="B14" s="13"/>
      <c r="C14" s="13"/>
      <c r="D14" s="32"/>
      <c r="E14" s="32"/>
      <c r="F14" s="14"/>
      <c r="G14" s="23"/>
      <c r="H14" s="16" t="str">
        <f aca="false">IF(F14="","",IF(G14&lt;&gt;"",G14,IF(E14="JPY",IF(ISNUMBER($L$1),ROUND(F14/$L$1,2),"レート未入力"),F14)))</f>
        <v/>
      </c>
      <c r="I14" s="13"/>
      <c r="J14" s="22" t="str">
        <f aca="false">IF(A14="","",IF(A14&lt;DATE(2025,4,6),"2024/25",IF(A14&lt;DATE(2026,4,6),"2025/26",IF(A14&lt;DATE(2027,4,6),"2026/27","2027/28"))))</f>
        <v/>
      </c>
      <c r="N14" s="13"/>
    </row>
    <row r="15" customFormat="false" ht="15" hidden="false" customHeight="false" outlineLevel="0" collapsed="false">
      <c r="A15" s="31"/>
      <c r="B15" s="13"/>
      <c r="C15" s="13"/>
      <c r="D15" s="32"/>
      <c r="E15" s="32"/>
      <c r="F15" s="14"/>
      <c r="G15" s="23"/>
      <c r="H15" s="16" t="str">
        <f aca="false">IF(F15="","",IF(G15&lt;&gt;"",G15,IF(E15="JPY",IF(ISNUMBER($L$1),ROUND(F15/$L$1,2),"レート未入力"),F15)))</f>
        <v/>
      </c>
      <c r="I15" s="13"/>
      <c r="J15" s="22" t="str">
        <f aca="false">IF(A15="","",IF(A15&lt;DATE(2025,4,6),"2024/25",IF(A15&lt;DATE(2026,4,6),"2025/26",IF(A15&lt;DATE(2027,4,6),"2026/27","2027/28"))))</f>
        <v/>
      </c>
      <c r="N15" s="13"/>
    </row>
    <row r="16" customFormat="false" ht="15" hidden="false" customHeight="false" outlineLevel="0" collapsed="false">
      <c r="A16" s="31"/>
      <c r="B16" s="13"/>
      <c r="C16" s="13"/>
      <c r="D16" s="32"/>
      <c r="E16" s="32"/>
      <c r="F16" s="14"/>
      <c r="G16" s="23"/>
      <c r="H16" s="16" t="str">
        <f aca="false">IF(F16="","",IF(G16&lt;&gt;"",G16,IF(E16="JPY",IF(ISNUMBER($L$1),ROUND(F16/$L$1,2),"レート未入力"),F16)))</f>
        <v/>
      </c>
      <c r="I16" s="13"/>
      <c r="J16" s="22" t="str">
        <f aca="false">IF(A16="","",IF(A16&lt;DATE(2025,4,6),"2024/25",IF(A16&lt;DATE(2026,4,6),"2025/26",IF(A16&lt;DATE(2027,4,6),"2026/27","2027/28"))))</f>
        <v/>
      </c>
      <c r="N16" s="13"/>
    </row>
    <row r="17" customFormat="false" ht="15" hidden="false" customHeight="false" outlineLevel="0" collapsed="false">
      <c r="A17" s="31"/>
      <c r="B17" s="13"/>
      <c r="C17" s="13"/>
      <c r="D17" s="32"/>
      <c r="E17" s="32"/>
      <c r="F17" s="14"/>
      <c r="G17" s="23"/>
      <c r="H17" s="16" t="str">
        <f aca="false">IF(F17="","",IF(G17&lt;&gt;"",G17,IF(E17="JPY",IF(ISNUMBER($L$1),ROUND(F17/$L$1,2),"レート未入力"),F17)))</f>
        <v/>
      </c>
      <c r="I17" s="13"/>
      <c r="J17" s="22" t="str">
        <f aca="false">IF(A17="","",IF(A17&lt;DATE(2025,4,6),"2024/25",IF(A17&lt;DATE(2026,4,6),"2025/26",IF(A17&lt;DATE(2027,4,6),"2026/27","2027/28"))))</f>
        <v/>
      </c>
      <c r="N17" s="13"/>
    </row>
    <row r="18" customFormat="false" ht="15" hidden="false" customHeight="false" outlineLevel="0" collapsed="false">
      <c r="A18" s="31"/>
      <c r="B18" s="13"/>
      <c r="C18" s="13"/>
      <c r="D18" s="32"/>
      <c r="E18" s="32"/>
      <c r="F18" s="14"/>
      <c r="G18" s="23"/>
      <c r="H18" s="16" t="str">
        <f aca="false">IF(F18="","",IF(G18&lt;&gt;"",G18,IF(E18="JPY",IF(ISNUMBER($L$1),ROUND(F18/$L$1,2),"レート未入力"),F18)))</f>
        <v/>
      </c>
      <c r="I18" s="13"/>
      <c r="J18" s="22" t="str">
        <f aca="false">IF(A18="","",IF(A18&lt;DATE(2025,4,6),"2024/25",IF(A18&lt;DATE(2026,4,6),"2025/26",IF(A18&lt;DATE(2027,4,6),"2026/27","2027/28"))))</f>
        <v/>
      </c>
      <c r="N18" s="13"/>
    </row>
    <row r="19" customFormat="false" ht="15" hidden="false" customHeight="false" outlineLevel="0" collapsed="false">
      <c r="A19" s="31"/>
      <c r="B19" s="13"/>
      <c r="C19" s="13"/>
      <c r="D19" s="32"/>
      <c r="E19" s="32"/>
      <c r="F19" s="14"/>
      <c r="G19" s="23"/>
      <c r="H19" s="16" t="str">
        <f aca="false">IF(F19="","",IF(G19&lt;&gt;"",G19,IF(E19="JPY",IF(ISNUMBER($L$1),ROUND(F19/$L$1,2),"レート未入力"),F19)))</f>
        <v/>
      </c>
      <c r="I19" s="13"/>
      <c r="J19" s="22" t="str">
        <f aca="false">IF(A19="","",IF(A19&lt;DATE(2025,4,6),"2024/25",IF(A19&lt;DATE(2026,4,6),"2025/26",IF(A19&lt;DATE(2027,4,6),"2026/27","2027/28"))))</f>
        <v/>
      </c>
      <c r="N19" s="13"/>
    </row>
    <row r="20" customFormat="false" ht="15" hidden="false" customHeight="false" outlineLevel="0" collapsed="false">
      <c r="A20" s="31"/>
      <c r="B20" s="13"/>
      <c r="C20" s="13"/>
      <c r="D20" s="32"/>
      <c r="E20" s="32"/>
      <c r="F20" s="14"/>
      <c r="G20" s="23"/>
      <c r="H20" s="16" t="str">
        <f aca="false">IF(F20="","",IF(G20&lt;&gt;"",G20,IF(E20="JPY",IF(ISNUMBER($L$1),ROUND(F20/$L$1,2),"レート未入力"),F20)))</f>
        <v/>
      </c>
      <c r="I20" s="13"/>
      <c r="J20" s="22" t="str">
        <f aca="false">IF(A20="","",IF(A20&lt;DATE(2025,4,6),"2024/25",IF(A20&lt;DATE(2026,4,6),"2025/26",IF(A20&lt;DATE(2027,4,6),"2026/27","2027/28"))))</f>
        <v/>
      </c>
      <c r="N20" s="13"/>
    </row>
    <row r="21" customFormat="false" ht="15" hidden="false" customHeight="false" outlineLevel="0" collapsed="false">
      <c r="A21" s="31"/>
      <c r="B21" s="13"/>
      <c r="C21" s="13"/>
      <c r="D21" s="32"/>
      <c r="E21" s="32"/>
      <c r="F21" s="14"/>
      <c r="G21" s="23"/>
      <c r="H21" s="16" t="str">
        <f aca="false">IF(F21="","",IF(G21&lt;&gt;"",G21,IF(E21="JPY",IF(ISNUMBER($L$1),ROUND(F21/$L$1,2),"レート未入力"),F21)))</f>
        <v/>
      </c>
      <c r="I21" s="13"/>
      <c r="J21" s="22" t="str">
        <f aca="false">IF(A21="","",IF(A21&lt;DATE(2025,4,6),"2024/25",IF(A21&lt;DATE(2026,4,6),"2025/26",IF(A21&lt;DATE(2027,4,6),"2026/27","2027/28"))))</f>
        <v/>
      </c>
      <c r="N21" s="13"/>
    </row>
    <row r="22" customFormat="false" ht="15" hidden="false" customHeight="false" outlineLevel="0" collapsed="false">
      <c r="A22" s="31"/>
      <c r="B22" s="13"/>
      <c r="C22" s="13"/>
      <c r="D22" s="32"/>
      <c r="E22" s="32"/>
      <c r="F22" s="14"/>
      <c r="G22" s="23"/>
      <c r="H22" s="16" t="str">
        <f aca="false">IF(F22="","",IF(G22&lt;&gt;"",G22,IF(E22="JPY",IF(ISNUMBER($L$1),ROUND(F22/$L$1,2),"レート未入力"),F22)))</f>
        <v/>
      </c>
      <c r="I22" s="13"/>
      <c r="J22" s="22" t="str">
        <f aca="false">IF(A22="","",IF(A22&lt;DATE(2025,4,6),"2024/25",IF(A22&lt;DATE(2026,4,6),"2025/26",IF(A22&lt;DATE(2027,4,6),"2026/27","2027/28"))))</f>
        <v/>
      </c>
      <c r="N22" s="13"/>
    </row>
    <row r="23" customFormat="false" ht="15" hidden="false" customHeight="false" outlineLevel="0" collapsed="false">
      <c r="A23" s="31"/>
      <c r="B23" s="13"/>
      <c r="C23" s="13"/>
      <c r="D23" s="32"/>
      <c r="E23" s="32"/>
      <c r="F23" s="14"/>
      <c r="G23" s="23"/>
      <c r="H23" s="16" t="str">
        <f aca="false">IF(F23="","",IF(G23&lt;&gt;"",G23,IF(E23="JPY",IF(ISNUMBER($L$1),ROUND(F23/$L$1,2),"レート未入力"),F23)))</f>
        <v/>
      </c>
      <c r="I23" s="13"/>
      <c r="J23" s="22" t="str">
        <f aca="false">IF(A23="","",IF(A23&lt;DATE(2025,4,6),"2024/25",IF(A23&lt;DATE(2026,4,6),"2025/26",IF(A23&lt;DATE(2027,4,6),"2026/27","2027/28"))))</f>
        <v/>
      </c>
      <c r="N23" s="13"/>
    </row>
    <row r="24" customFormat="false" ht="15" hidden="false" customHeight="false" outlineLevel="0" collapsed="false">
      <c r="A24" s="31"/>
      <c r="B24" s="13"/>
      <c r="C24" s="13"/>
      <c r="D24" s="32"/>
      <c r="E24" s="32"/>
      <c r="F24" s="14"/>
      <c r="G24" s="23"/>
      <c r="H24" s="16" t="str">
        <f aca="false">IF(F24="","",IF(G24&lt;&gt;"",G24,IF(E24="JPY",IF(ISNUMBER($L$1),ROUND(F24/$L$1,2),"レート未入力"),F24)))</f>
        <v/>
      </c>
      <c r="I24" s="13"/>
      <c r="J24" s="22" t="str">
        <f aca="false">IF(A24="","",IF(A24&lt;DATE(2025,4,6),"2024/25",IF(A24&lt;DATE(2026,4,6),"2025/26",IF(A24&lt;DATE(2027,4,6),"2026/27","2027/28"))))</f>
        <v/>
      </c>
      <c r="N24" s="13"/>
    </row>
    <row r="25" customFormat="false" ht="15" hidden="false" customHeight="false" outlineLevel="0" collapsed="false">
      <c r="A25" s="31"/>
      <c r="B25" s="13"/>
      <c r="C25" s="13"/>
      <c r="D25" s="32"/>
      <c r="E25" s="32"/>
      <c r="F25" s="14"/>
      <c r="G25" s="23"/>
      <c r="H25" s="16" t="str">
        <f aca="false">IF(F25="","",IF(G25&lt;&gt;"",G25,IF(E25="JPY",IF(ISNUMBER($L$1),ROUND(F25/$L$1,2),"レート未入力"),F25)))</f>
        <v/>
      </c>
      <c r="I25" s="13"/>
      <c r="J25" s="22" t="str">
        <f aca="false">IF(A25="","",IF(A25&lt;DATE(2025,4,6),"2024/25",IF(A25&lt;DATE(2026,4,6),"2025/26",IF(A25&lt;DATE(2027,4,6),"2026/27","2027/28"))))</f>
        <v/>
      </c>
      <c r="N25" s="13"/>
    </row>
    <row r="26" customFormat="false" ht="15" hidden="false" customHeight="false" outlineLevel="0" collapsed="false">
      <c r="A26" s="3" t="s">
        <v>183</v>
      </c>
      <c r="H26" s="18" t="n">
        <f aca="false">SUM(H6:H25)</f>
        <v>0</v>
      </c>
    </row>
    <row r="28" customFormat="false" ht="15" hidden="false" customHeight="false" outlineLevel="0" collapsed="false">
      <c r="A28" s="26" t="s">
        <v>184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</row>
    <row r="29" customFormat="false" ht="30" hidden="false" customHeight="true" outlineLevel="0" collapsed="false">
      <c r="A29" s="9" t="s">
        <v>167</v>
      </c>
      <c r="B29" s="9" t="s">
        <v>185</v>
      </c>
      <c r="C29" s="9" t="s">
        <v>169</v>
      </c>
      <c r="D29" s="9" t="s">
        <v>38</v>
      </c>
      <c r="E29" s="9" t="s">
        <v>171</v>
      </c>
      <c r="F29" s="9" t="s">
        <v>172</v>
      </c>
      <c r="G29" s="9" t="s">
        <v>173</v>
      </c>
      <c r="H29" s="10" t="s">
        <v>186</v>
      </c>
      <c r="I29" s="9" t="s">
        <v>187</v>
      </c>
      <c r="J29" s="9" t="s">
        <v>188</v>
      </c>
      <c r="K29" s="9" t="s">
        <v>189</v>
      </c>
      <c r="L29" s="9" t="s">
        <v>176</v>
      </c>
      <c r="M29" s="9"/>
      <c r="N29" s="9" t="s">
        <v>177</v>
      </c>
    </row>
    <row r="30" customFormat="false" ht="15" hidden="false" customHeight="false" outlineLevel="0" collapsed="false">
      <c r="A30" s="31"/>
      <c r="B30" s="13"/>
      <c r="C30" s="13"/>
      <c r="D30" s="32"/>
      <c r="E30" s="32"/>
      <c r="F30" s="14"/>
      <c r="G30" s="23"/>
      <c r="H30" s="16" t="str">
        <f aca="false">IF(F30="","",IF(G30&lt;&gt;"",G30,IF(E30="JPY",IF(ISNUMBER($L$1),ROUND(F30/$L$1,2),"レート未入力"),F30)))</f>
        <v/>
      </c>
      <c r="I30" s="33"/>
      <c r="J30" s="16" t="str">
        <f aca="false">IF(ISNUMBER(H30),ROUND(H30*IF(I30="",1,I30),2),"")</f>
        <v/>
      </c>
      <c r="K30" s="35"/>
      <c r="L30" s="22" t="str">
        <f aca="false">IF(A30="","",IF(A30&lt;DATE(2025,4,6),"2024/25",IF(A30&lt;DATE(2026,4,6),"2025/26",IF(A30&lt;DATE(2027,4,6),"2026/27","2027/28"))))</f>
        <v/>
      </c>
      <c r="N30" s="13"/>
    </row>
    <row r="31" customFormat="false" ht="15" hidden="false" customHeight="false" outlineLevel="0" collapsed="false">
      <c r="A31" s="31"/>
      <c r="B31" s="13"/>
      <c r="C31" s="13"/>
      <c r="D31" s="32"/>
      <c r="E31" s="32"/>
      <c r="F31" s="14"/>
      <c r="G31" s="23"/>
      <c r="H31" s="16" t="str">
        <f aca="false">IF(F31="","",IF(G31&lt;&gt;"",G31,IF(E31="JPY",IF(ISNUMBER($L$1),ROUND(F31/$L$1,2),"レート未入力"),F31)))</f>
        <v/>
      </c>
      <c r="I31" s="33"/>
      <c r="J31" s="16" t="str">
        <f aca="false">IF(ISNUMBER(H31),ROUND(H31*IF(I31="",1,I31),2),"")</f>
        <v/>
      </c>
      <c r="K31" s="35"/>
      <c r="L31" s="22" t="str">
        <f aca="false">IF(A31="","",IF(A31&lt;DATE(2025,4,6),"2024/25",IF(A31&lt;DATE(2026,4,6),"2025/26",IF(A31&lt;DATE(2027,4,6),"2026/27","2027/28"))))</f>
        <v/>
      </c>
      <c r="N31" s="13"/>
    </row>
    <row r="32" customFormat="false" ht="15" hidden="false" customHeight="false" outlineLevel="0" collapsed="false">
      <c r="A32" s="31"/>
      <c r="B32" s="13"/>
      <c r="C32" s="13"/>
      <c r="D32" s="32"/>
      <c r="E32" s="32"/>
      <c r="F32" s="14"/>
      <c r="G32" s="23"/>
      <c r="H32" s="16" t="str">
        <f aca="false">IF(F32="","",IF(G32&lt;&gt;"",G32,IF(E32="JPY",IF(ISNUMBER($L$1),ROUND(F32/$L$1,2),"レート未入力"),F32)))</f>
        <v/>
      </c>
      <c r="I32" s="33"/>
      <c r="J32" s="16" t="str">
        <f aca="false">IF(ISNUMBER(H32),ROUND(H32*IF(I32="",1,I32),2),"")</f>
        <v/>
      </c>
      <c r="K32" s="35"/>
      <c r="L32" s="22" t="str">
        <f aca="false">IF(A32="","",IF(A32&lt;DATE(2025,4,6),"2024/25",IF(A32&lt;DATE(2026,4,6),"2025/26",IF(A32&lt;DATE(2027,4,6),"2026/27","2027/28"))))</f>
        <v/>
      </c>
      <c r="N32" s="13"/>
    </row>
    <row r="33" customFormat="false" ht="15" hidden="false" customHeight="false" outlineLevel="0" collapsed="false">
      <c r="A33" s="31"/>
      <c r="B33" s="13"/>
      <c r="C33" s="13"/>
      <c r="D33" s="32"/>
      <c r="E33" s="32"/>
      <c r="F33" s="14"/>
      <c r="G33" s="23"/>
      <c r="H33" s="16" t="str">
        <f aca="false">IF(F33="","",IF(G33&lt;&gt;"",G33,IF(E33="JPY",IF(ISNUMBER($L$1),ROUND(F33/$L$1,2),"レート未入力"),F33)))</f>
        <v/>
      </c>
      <c r="I33" s="33"/>
      <c r="J33" s="16" t="str">
        <f aca="false">IF(ISNUMBER(H33),ROUND(H33*IF(I33="",1,I33),2),"")</f>
        <v/>
      </c>
      <c r="K33" s="35"/>
      <c r="L33" s="22" t="str">
        <f aca="false">IF(A33="","",IF(A33&lt;DATE(2025,4,6),"2024/25",IF(A33&lt;DATE(2026,4,6),"2025/26",IF(A33&lt;DATE(2027,4,6),"2026/27","2027/28"))))</f>
        <v/>
      </c>
      <c r="N33" s="13"/>
    </row>
    <row r="34" customFormat="false" ht="15" hidden="false" customHeight="false" outlineLevel="0" collapsed="false">
      <c r="A34" s="31"/>
      <c r="B34" s="13"/>
      <c r="C34" s="13"/>
      <c r="D34" s="32"/>
      <c r="E34" s="32"/>
      <c r="F34" s="14"/>
      <c r="G34" s="23"/>
      <c r="H34" s="16" t="str">
        <f aca="false">IF(F34="","",IF(G34&lt;&gt;"",G34,IF(E34="JPY",IF(ISNUMBER($L$1),ROUND(F34/$L$1,2),"レート未入力"),F34)))</f>
        <v/>
      </c>
      <c r="I34" s="33"/>
      <c r="J34" s="16" t="str">
        <f aca="false">IF(ISNUMBER(H34),ROUND(H34*IF(I34="",1,I34),2),"")</f>
        <v/>
      </c>
      <c r="K34" s="35"/>
      <c r="L34" s="22" t="str">
        <f aca="false">IF(A34="","",IF(A34&lt;DATE(2025,4,6),"2024/25",IF(A34&lt;DATE(2026,4,6),"2025/26",IF(A34&lt;DATE(2027,4,6),"2026/27","2027/28"))))</f>
        <v/>
      </c>
      <c r="N34" s="13"/>
    </row>
    <row r="35" customFormat="false" ht="15" hidden="false" customHeight="false" outlineLevel="0" collapsed="false">
      <c r="A35" s="31"/>
      <c r="B35" s="13"/>
      <c r="C35" s="13"/>
      <c r="D35" s="32"/>
      <c r="E35" s="32"/>
      <c r="F35" s="14"/>
      <c r="G35" s="23"/>
      <c r="H35" s="16" t="str">
        <f aca="false">IF(F35="","",IF(G35&lt;&gt;"",G35,IF(E35="JPY",IF(ISNUMBER($L$1),ROUND(F35/$L$1,2),"レート未入力"),F35)))</f>
        <v/>
      </c>
      <c r="I35" s="33"/>
      <c r="J35" s="16" t="str">
        <f aca="false">IF(ISNUMBER(H35),ROUND(H35*IF(I35="",1,I35),2),"")</f>
        <v/>
      </c>
      <c r="K35" s="35"/>
      <c r="L35" s="22" t="str">
        <f aca="false">IF(A35="","",IF(A35&lt;DATE(2025,4,6),"2024/25",IF(A35&lt;DATE(2026,4,6),"2025/26",IF(A35&lt;DATE(2027,4,6),"2026/27","2027/28"))))</f>
        <v/>
      </c>
      <c r="N35" s="13"/>
    </row>
    <row r="36" customFormat="false" ht="15" hidden="false" customHeight="false" outlineLevel="0" collapsed="false">
      <c r="A36" s="31"/>
      <c r="B36" s="13"/>
      <c r="C36" s="13"/>
      <c r="D36" s="32"/>
      <c r="E36" s="32"/>
      <c r="F36" s="14"/>
      <c r="G36" s="23"/>
      <c r="H36" s="16" t="str">
        <f aca="false">IF(F36="","",IF(G36&lt;&gt;"",G36,IF(E36="JPY",IF(ISNUMBER($L$1),ROUND(F36/$L$1,2),"レート未入力"),F36)))</f>
        <v/>
      </c>
      <c r="I36" s="33"/>
      <c r="J36" s="16" t="str">
        <f aca="false">IF(ISNUMBER(H36),ROUND(H36*IF(I36="",1,I36),2),"")</f>
        <v/>
      </c>
      <c r="K36" s="35"/>
      <c r="L36" s="22" t="str">
        <f aca="false">IF(A36="","",IF(A36&lt;DATE(2025,4,6),"2024/25",IF(A36&lt;DATE(2026,4,6),"2025/26",IF(A36&lt;DATE(2027,4,6),"2026/27","2027/28"))))</f>
        <v/>
      </c>
      <c r="N36" s="13"/>
    </row>
    <row r="37" customFormat="false" ht="15" hidden="false" customHeight="false" outlineLevel="0" collapsed="false">
      <c r="A37" s="31"/>
      <c r="B37" s="13"/>
      <c r="C37" s="13"/>
      <c r="D37" s="32"/>
      <c r="E37" s="32"/>
      <c r="F37" s="14"/>
      <c r="G37" s="23"/>
      <c r="H37" s="16" t="str">
        <f aca="false">IF(F37="","",IF(G37&lt;&gt;"",G37,IF(E37="JPY",IF(ISNUMBER($L$1),ROUND(F37/$L$1,2),"レート未入力"),F37)))</f>
        <v/>
      </c>
      <c r="I37" s="33"/>
      <c r="J37" s="16" t="str">
        <f aca="false">IF(ISNUMBER(H37),ROUND(H37*IF(I37="",1,I37),2),"")</f>
        <v/>
      </c>
      <c r="K37" s="35"/>
      <c r="L37" s="22" t="str">
        <f aca="false">IF(A37="","",IF(A37&lt;DATE(2025,4,6),"2024/25",IF(A37&lt;DATE(2026,4,6),"2025/26",IF(A37&lt;DATE(2027,4,6),"2026/27","2027/28"))))</f>
        <v/>
      </c>
      <c r="N37" s="13"/>
    </row>
    <row r="38" customFormat="false" ht="15" hidden="false" customHeight="false" outlineLevel="0" collapsed="false">
      <c r="A38" s="31"/>
      <c r="B38" s="13"/>
      <c r="C38" s="13"/>
      <c r="D38" s="32"/>
      <c r="E38" s="32"/>
      <c r="F38" s="14"/>
      <c r="G38" s="23"/>
      <c r="H38" s="16" t="str">
        <f aca="false">IF(F38="","",IF(G38&lt;&gt;"",G38,IF(E38="JPY",IF(ISNUMBER($L$1),ROUND(F38/$L$1,2),"レート未入力"),F38)))</f>
        <v/>
      </c>
      <c r="I38" s="33"/>
      <c r="J38" s="16" t="str">
        <f aca="false">IF(ISNUMBER(H38),ROUND(H38*IF(I38="",1,I38),2),"")</f>
        <v/>
      </c>
      <c r="K38" s="35"/>
      <c r="L38" s="22" t="str">
        <f aca="false">IF(A38="","",IF(A38&lt;DATE(2025,4,6),"2024/25",IF(A38&lt;DATE(2026,4,6),"2025/26",IF(A38&lt;DATE(2027,4,6),"2026/27","2027/28"))))</f>
        <v/>
      </c>
      <c r="N38" s="13"/>
    </row>
    <row r="39" customFormat="false" ht="15" hidden="false" customHeight="false" outlineLevel="0" collapsed="false">
      <c r="A39" s="31"/>
      <c r="B39" s="13"/>
      <c r="C39" s="13"/>
      <c r="D39" s="32"/>
      <c r="E39" s="32"/>
      <c r="F39" s="14"/>
      <c r="G39" s="23"/>
      <c r="H39" s="16" t="str">
        <f aca="false">IF(F39="","",IF(G39&lt;&gt;"",G39,IF(E39="JPY",IF(ISNUMBER($L$1),ROUND(F39/$L$1,2),"レート未入力"),F39)))</f>
        <v/>
      </c>
      <c r="I39" s="33"/>
      <c r="J39" s="16" t="str">
        <f aca="false">IF(ISNUMBER(H39),ROUND(H39*IF(I39="",1,I39),2),"")</f>
        <v/>
      </c>
      <c r="K39" s="35"/>
      <c r="L39" s="22" t="str">
        <f aca="false">IF(A39="","",IF(A39&lt;DATE(2025,4,6),"2024/25",IF(A39&lt;DATE(2026,4,6),"2025/26",IF(A39&lt;DATE(2027,4,6),"2026/27","2027/28"))))</f>
        <v/>
      </c>
      <c r="N39" s="13"/>
    </row>
    <row r="40" customFormat="false" ht="15" hidden="false" customHeight="false" outlineLevel="0" collapsed="false">
      <c r="A40" s="31"/>
      <c r="B40" s="13"/>
      <c r="C40" s="13"/>
      <c r="D40" s="32"/>
      <c r="E40" s="32"/>
      <c r="F40" s="14"/>
      <c r="G40" s="23"/>
      <c r="H40" s="16" t="str">
        <f aca="false">IF(F40="","",IF(G40&lt;&gt;"",G40,IF(E40="JPY",IF(ISNUMBER($L$1),ROUND(F40/$L$1,2),"レート未入力"),F40)))</f>
        <v/>
      </c>
      <c r="I40" s="33"/>
      <c r="J40" s="16" t="str">
        <f aca="false">IF(ISNUMBER(H40),ROUND(H40*IF(I40="",1,I40),2),"")</f>
        <v/>
      </c>
      <c r="K40" s="35"/>
      <c r="L40" s="22" t="str">
        <f aca="false">IF(A40="","",IF(A40&lt;DATE(2025,4,6),"2024/25",IF(A40&lt;DATE(2026,4,6),"2025/26",IF(A40&lt;DATE(2027,4,6),"2026/27","2027/28"))))</f>
        <v/>
      </c>
      <c r="N40" s="13"/>
    </row>
    <row r="41" customFormat="false" ht="15" hidden="false" customHeight="false" outlineLevel="0" collapsed="false">
      <c r="A41" s="31"/>
      <c r="B41" s="13"/>
      <c r="C41" s="13"/>
      <c r="D41" s="32"/>
      <c r="E41" s="32"/>
      <c r="F41" s="14"/>
      <c r="G41" s="23"/>
      <c r="H41" s="16" t="str">
        <f aca="false">IF(F41="","",IF(G41&lt;&gt;"",G41,IF(E41="JPY",IF(ISNUMBER($L$1),ROUND(F41/$L$1,2),"レート未入力"),F41)))</f>
        <v/>
      </c>
      <c r="I41" s="33"/>
      <c r="J41" s="16" t="str">
        <f aca="false">IF(ISNUMBER(H41),ROUND(H41*IF(I41="",1,I41),2),"")</f>
        <v/>
      </c>
      <c r="K41" s="35"/>
      <c r="L41" s="22" t="str">
        <f aca="false">IF(A41="","",IF(A41&lt;DATE(2025,4,6),"2024/25",IF(A41&lt;DATE(2026,4,6),"2025/26",IF(A41&lt;DATE(2027,4,6),"2026/27","2027/28"))))</f>
        <v/>
      </c>
      <c r="N41" s="13"/>
    </row>
    <row r="42" customFormat="false" ht="15" hidden="false" customHeight="false" outlineLevel="0" collapsed="false">
      <c r="A42" s="31"/>
      <c r="B42" s="13"/>
      <c r="C42" s="13"/>
      <c r="D42" s="32"/>
      <c r="E42" s="32"/>
      <c r="F42" s="14"/>
      <c r="G42" s="23"/>
      <c r="H42" s="16" t="str">
        <f aca="false">IF(F42="","",IF(G42&lt;&gt;"",G42,IF(E42="JPY",IF(ISNUMBER($L$1),ROUND(F42/$L$1,2),"レート未入力"),F42)))</f>
        <v/>
      </c>
      <c r="I42" s="33"/>
      <c r="J42" s="16" t="str">
        <f aca="false">IF(ISNUMBER(H42),ROUND(H42*IF(I42="",1,I42),2),"")</f>
        <v/>
      </c>
      <c r="K42" s="35"/>
      <c r="L42" s="22" t="str">
        <f aca="false">IF(A42="","",IF(A42&lt;DATE(2025,4,6),"2024/25",IF(A42&lt;DATE(2026,4,6),"2025/26",IF(A42&lt;DATE(2027,4,6),"2026/27","2027/28"))))</f>
        <v/>
      </c>
      <c r="N42" s="13"/>
    </row>
    <row r="43" customFormat="false" ht="15" hidden="false" customHeight="false" outlineLevel="0" collapsed="false">
      <c r="A43" s="31"/>
      <c r="B43" s="13"/>
      <c r="C43" s="13"/>
      <c r="D43" s="32"/>
      <c r="E43" s="32"/>
      <c r="F43" s="14"/>
      <c r="G43" s="23"/>
      <c r="H43" s="16" t="str">
        <f aca="false">IF(F43="","",IF(G43&lt;&gt;"",G43,IF(E43="JPY",IF(ISNUMBER($L$1),ROUND(F43/$L$1,2),"レート未入力"),F43)))</f>
        <v/>
      </c>
      <c r="I43" s="33"/>
      <c r="J43" s="16" t="str">
        <f aca="false">IF(ISNUMBER(H43),ROUND(H43*IF(I43="",1,I43),2),"")</f>
        <v/>
      </c>
      <c r="K43" s="35"/>
      <c r="L43" s="22" t="str">
        <f aca="false">IF(A43="","",IF(A43&lt;DATE(2025,4,6),"2024/25",IF(A43&lt;DATE(2026,4,6),"2025/26",IF(A43&lt;DATE(2027,4,6),"2026/27","2027/28"))))</f>
        <v/>
      </c>
      <c r="N43" s="13"/>
    </row>
    <row r="44" customFormat="false" ht="15" hidden="false" customHeight="false" outlineLevel="0" collapsed="false">
      <c r="A44" s="31"/>
      <c r="B44" s="13"/>
      <c r="C44" s="13"/>
      <c r="D44" s="32"/>
      <c r="E44" s="32"/>
      <c r="F44" s="14"/>
      <c r="G44" s="23"/>
      <c r="H44" s="16" t="str">
        <f aca="false">IF(F44="","",IF(G44&lt;&gt;"",G44,IF(E44="JPY",IF(ISNUMBER($L$1),ROUND(F44/$L$1,2),"レート未入力"),F44)))</f>
        <v/>
      </c>
      <c r="I44" s="33"/>
      <c r="J44" s="16" t="str">
        <f aca="false">IF(ISNUMBER(H44),ROUND(H44*IF(I44="",1,I44),2),"")</f>
        <v/>
      </c>
      <c r="K44" s="35"/>
      <c r="L44" s="22" t="str">
        <f aca="false">IF(A44="","",IF(A44&lt;DATE(2025,4,6),"2024/25",IF(A44&lt;DATE(2026,4,6),"2025/26",IF(A44&lt;DATE(2027,4,6),"2026/27","2027/28"))))</f>
        <v/>
      </c>
      <c r="N44" s="13"/>
    </row>
    <row r="45" customFormat="false" ht="15" hidden="false" customHeight="false" outlineLevel="0" collapsed="false">
      <c r="A45" s="31"/>
      <c r="B45" s="13"/>
      <c r="C45" s="13"/>
      <c r="D45" s="32"/>
      <c r="E45" s="32"/>
      <c r="F45" s="14"/>
      <c r="G45" s="23"/>
      <c r="H45" s="16" t="str">
        <f aca="false">IF(F45="","",IF(G45&lt;&gt;"",G45,IF(E45="JPY",IF(ISNUMBER($L$1),ROUND(F45/$L$1,2),"レート未入力"),F45)))</f>
        <v/>
      </c>
      <c r="I45" s="33"/>
      <c r="J45" s="16" t="str">
        <f aca="false">IF(ISNUMBER(H45),ROUND(H45*IF(I45="",1,I45),2),"")</f>
        <v/>
      </c>
      <c r="K45" s="35"/>
      <c r="L45" s="22" t="str">
        <f aca="false">IF(A45="","",IF(A45&lt;DATE(2025,4,6),"2024/25",IF(A45&lt;DATE(2026,4,6),"2025/26",IF(A45&lt;DATE(2027,4,6),"2026/27","2027/28"))))</f>
        <v/>
      </c>
      <c r="N45" s="13"/>
    </row>
    <row r="46" customFormat="false" ht="15" hidden="false" customHeight="false" outlineLevel="0" collapsed="false">
      <c r="A46" s="31"/>
      <c r="B46" s="13"/>
      <c r="C46" s="13"/>
      <c r="D46" s="32"/>
      <c r="E46" s="32"/>
      <c r="F46" s="14"/>
      <c r="G46" s="23"/>
      <c r="H46" s="16" t="str">
        <f aca="false">IF(F46="","",IF(G46&lt;&gt;"",G46,IF(E46="JPY",IF(ISNUMBER($L$1),ROUND(F46/$L$1,2),"レート未入力"),F46)))</f>
        <v/>
      </c>
      <c r="I46" s="33"/>
      <c r="J46" s="16" t="str">
        <f aca="false">IF(ISNUMBER(H46),ROUND(H46*IF(I46="",1,I46),2),"")</f>
        <v/>
      </c>
      <c r="K46" s="35"/>
      <c r="L46" s="22" t="str">
        <f aca="false">IF(A46="","",IF(A46&lt;DATE(2025,4,6),"2024/25",IF(A46&lt;DATE(2026,4,6),"2025/26",IF(A46&lt;DATE(2027,4,6),"2026/27","2027/28"))))</f>
        <v/>
      </c>
      <c r="N46" s="13"/>
    </row>
    <row r="47" customFormat="false" ht="15" hidden="false" customHeight="false" outlineLevel="0" collapsed="false">
      <c r="A47" s="31"/>
      <c r="B47" s="13"/>
      <c r="C47" s="13"/>
      <c r="D47" s="32"/>
      <c r="E47" s="32"/>
      <c r="F47" s="14"/>
      <c r="G47" s="23"/>
      <c r="H47" s="16" t="str">
        <f aca="false">IF(F47="","",IF(G47&lt;&gt;"",G47,IF(E47="JPY",IF(ISNUMBER($L$1),ROUND(F47/$L$1,2),"レート未入力"),F47)))</f>
        <v/>
      </c>
      <c r="I47" s="33"/>
      <c r="J47" s="16" t="str">
        <f aca="false">IF(ISNUMBER(H47),ROUND(H47*IF(I47="",1,I47),2),"")</f>
        <v/>
      </c>
      <c r="K47" s="35"/>
      <c r="L47" s="22" t="str">
        <f aca="false">IF(A47="","",IF(A47&lt;DATE(2025,4,6),"2024/25",IF(A47&lt;DATE(2026,4,6),"2025/26",IF(A47&lt;DATE(2027,4,6),"2026/27","2027/28"))))</f>
        <v/>
      </c>
      <c r="N47" s="13"/>
    </row>
    <row r="48" customFormat="false" ht="15" hidden="false" customHeight="false" outlineLevel="0" collapsed="false">
      <c r="A48" s="31"/>
      <c r="B48" s="13"/>
      <c r="C48" s="13"/>
      <c r="D48" s="32"/>
      <c r="E48" s="32"/>
      <c r="F48" s="14"/>
      <c r="G48" s="23"/>
      <c r="H48" s="16" t="str">
        <f aca="false">IF(F48="","",IF(G48&lt;&gt;"",G48,IF(E48="JPY",IF(ISNUMBER($L$1),ROUND(F48/$L$1,2),"レート未入力"),F48)))</f>
        <v/>
      </c>
      <c r="I48" s="33"/>
      <c r="J48" s="16" t="str">
        <f aca="false">IF(ISNUMBER(H48),ROUND(H48*IF(I48="",1,I48),2),"")</f>
        <v/>
      </c>
      <c r="K48" s="35"/>
      <c r="L48" s="22" t="str">
        <f aca="false">IF(A48="","",IF(A48&lt;DATE(2025,4,6),"2024/25",IF(A48&lt;DATE(2026,4,6),"2025/26",IF(A48&lt;DATE(2027,4,6),"2026/27","2027/28"))))</f>
        <v/>
      </c>
      <c r="N48" s="13"/>
    </row>
    <row r="49" customFormat="false" ht="15" hidden="false" customHeight="false" outlineLevel="0" collapsed="false">
      <c r="A49" s="31"/>
      <c r="B49" s="13"/>
      <c r="C49" s="13"/>
      <c r="D49" s="32"/>
      <c r="E49" s="32"/>
      <c r="F49" s="14"/>
      <c r="G49" s="23"/>
      <c r="H49" s="16" t="str">
        <f aca="false">IF(F49="","",IF(G49&lt;&gt;"",G49,IF(E49="JPY",IF(ISNUMBER($L$1),ROUND(F49/$L$1,2),"レート未入力"),F49)))</f>
        <v/>
      </c>
      <c r="I49" s="33"/>
      <c r="J49" s="16" t="str">
        <f aca="false">IF(ISNUMBER(H49),ROUND(H49*IF(I49="",1,I49),2),"")</f>
        <v/>
      </c>
      <c r="K49" s="35"/>
      <c r="L49" s="22" t="str">
        <f aca="false">IF(A49="","",IF(A49&lt;DATE(2025,4,6),"2024/25",IF(A49&lt;DATE(2026,4,6),"2025/26",IF(A49&lt;DATE(2027,4,6),"2026/27","2027/28"))))</f>
        <v/>
      </c>
      <c r="N49" s="13"/>
    </row>
    <row r="50" customFormat="false" ht="15" hidden="false" customHeight="false" outlineLevel="0" collapsed="false">
      <c r="A50" s="31"/>
      <c r="B50" s="13"/>
      <c r="C50" s="13"/>
      <c r="D50" s="32"/>
      <c r="E50" s="32"/>
      <c r="F50" s="14"/>
      <c r="G50" s="23"/>
      <c r="H50" s="16" t="str">
        <f aca="false">IF(F50="","",IF(G50&lt;&gt;"",G50,IF(E50="JPY",IF(ISNUMBER($L$1),ROUND(F50/$L$1,2),"レート未入力"),F50)))</f>
        <v/>
      </c>
      <c r="I50" s="33"/>
      <c r="J50" s="16" t="str">
        <f aca="false">IF(ISNUMBER(H50),ROUND(H50*IF(I50="",1,I50),2),"")</f>
        <v/>
      </c>
      <c r="K50" s="35"/>
      <c r="L50" s="22" t="str">
        <f aca="false">IF(A50="","",IF(A50&lt;DATE(2025,4,6),"2024/25",IF(A50&lt;DATE(2026,4,6),"2025/26",IF(A50&lt;DATE(2027,4,6),"2026/27","2027/28"))))</f>
        <v/>
      </c>
      <c r="N50" s="13"/>
    </row>
    <row r="51" customFormat="false" ht="15" hidden="false" customHeight="false" outlineLevel="0" collapsed="false">
      <c r="A51" s="31"/>
      <c r="B51" s="13"/>
      <c r="C51" s="13"/>
      <c r="D51" s="32"/>
      <c r="E51" s="32"/>
      <c r="F51" s="14"/>
      <c r="G51" s="23"/>
      <c r="H51" s="16" t="str">
        <f aca="false">IF(F51="","",IF(G51&lt;&gt;"",G51,IF(E51="JPY",IF(ISNUMBER($L$1),ROUND(F51/$L$1,2),"レート未入力"),F51)))</f>
        <v/>
      </c>
      <c r="I51" s="33"/>
      <c r="J51" s="16" t="str">
        <f aca="false">IF(ISNUMBER(H51),ROUND(H51*IF(I51="",1,I51),2),"")</f>
        <v/>
      </c>
      <c r="K51" s="35"/>
      <c r="L51" s="22" t="str">
        <f aca="false">IF(A51="","",IF(A51&lt;DATE(2025,4,6),"2024/25",IF(A51&lt;DATE(2026,4,6),"2025/26",IF(A51&lt;DATE(2027,4,6),"2026/27","2027/28"))))</f>
        <v/>
      </c>
      <c r="N51" s="13"/>
    </row>
    <row r="52" customFormat="false" ht="15" hidden="false" customHeight="false" outlineLevel="0" collapsed="false">
      <c r="A52" s="31"/>
      <c r="B52" s="13"/>
      <c r="C52" s="13"/>
      <c r="D52" s="32"/>
      <c r="E52" s="32"/>
      <c r="F52" s="14"/>
      <c r="G52" s="23"/>
      <c r="H52" s="16" t="str">
        <f aca="false">IF(F52="","",IF(G52&lt;&gt;"",G52,IF(E52="JPY",IF(ISNUMBER($L$1),ROUND(F52/$L$1,2),"レート未入力"),F52)))</f>
        <v/>
      </c>
      <c r="I52" s="33"/>
      <c r="J52" s="16" t="str">
        <f aca="false">IF(ISNUMBER(H52),ROUND(H52*IF(I52="",1,I52),2),"")</f>
        <v/>
      </c>
      <c r="K52" s="35"/>
      <c r="L52" s="22" t="str">
        <f aca="false">IF(A52="","",IF(A52&lt;DATE(2025,4,6),"2024/25",IF(A52&lt;DATE(2026,4,6),"2025/26",IF(A52&lt;DATE(2027,4,6),"2026/27","2027/28"))))</f>
        <v/>
      </c>
      <c r="N52" s="13"/>
    </row>
    <row r="53" customFormat="false" ht="15" hidden="false" customHeight="false" outlineLevel="0" collapsed="false">
      <c r="A53" s="31"/>
      <c r="B53" s="13"/>
      <c r="C53" s="13"/>
      <c r="D53" s="32"/>
      <c r="E53" s="32"/>
      <c r="F53" s="14"/>
      <c r="G53" s="23"/>
      <c r="H53" s="16" t="str">
        <f aca="false">IF(F53="","",IF(G53&lt;&gt;"",G53,IF(E53="JPY",IF(ISNUMBER($L$1),ROUND(F53/$L$1,2),"レート未入力"),F53)))</f>
        <v/>
      </c>
      <c r="I53" s="33"/>
      <c r="J53" s="16" t="str">
        <f aca="false">IF(ISNUMBER(H53),ROUND(H53*IF(I53="",1,I53),2),"")</f>
        <v/>
      </c>
      <c r="K53" s="35"/>
      <c r="L53" s="22" t="str">
        <f aca="false">IF(A53="","",IF(A53&lt;DATE(2025,4,6),"2024/25",IF(A53&lt;DATE(2026,4,6),"2025/26",IF(A53&lt;DATE(2027,4,6),"2026/27","2027/28"))))</f>
        <v/>
      </c>
      <c r="N53" s="13"/>
    </row>
    <row r="54" customFormat="false" ht="15" hidden="false" customHeight="false" outlineLevel="0" collapsed="false">
      <c r="A54" s="31"/>
      <c r="B54" s="13"/>
      <c r="C54" s="13"/>
      <c r="D54" s="32"/>
      <c r="E54" s="32"/>
      <c r="F54" s="14"/>
      <c r="G54" s="23"/>
      <c r="H54" s="16" t="str">
        <f aca="false">IF(F54="","",IF(G54&lt;&gt;"",G54,IF(E54="JPY",IF(ISNUMBER($L$1),ROUND(F54/$L$1,2),"レート未入力"),F54)))</f>
        <v/>
      </c>
      <c r="I54" s="33"/>
      <c r="J54" s="16" t="str">
        <f aca="false">IF(ISNUMBER(H54),ROUND(H54*IF(I54="",1,I54),2),"")</f>
        <v/>
      </c>
      <c r="K54" s="35"/>
      <c r="L54" s="22" t="str">
        <f aca="false">IF(A54="","",IF(A54&lt;DATE(2025,4,6),"2024/25",IF(A54&lt;DATE(2026,4,6),"2025/26",IF(A54&lt;DATE(2027,4,6),"2026/27","2027/28"))))</f>
        <v/>
      </c>
      <c r="N54" s="13"/>
    </row>
    <row r="55" customFormat="false" ht="15" hidden="false" customHeight="false" outlineLevel="0" collapsed="false">
      <c r="A55" s="31"/>
      <c r="B55" s="13"/>
      <c r="C55" s="13"/>
      <c r="D55" s="32"/>
      <c r="E55" s="32"/>
      <c r="F55" s="14"/>
      <c r="G55" s="23"/>
      <c r="H55" s="16" t="str">
        <f aca="false">IF(F55="","",IF(G55&lt;&gt;"",G55,IF(E55="JPY",IF(ISNUMBER($L$1),ROUND(F55/$L$1,2),"レート未入力"),F55)))</f>
        <v/>
      </c>
      <c r="I55" s="33"/>
      <c r="J55" s="16" t="str">
        <f aca="false">IF(ISNUMBER(H55),ROUND(H55*IF(I55="",1,I55),2),"")</f>
        <v/>
      </c>
      <c r="K55" s="35"/>
      <c r="L55" s="22" t="str">
        <f aca="false">IF(A55="","",IF(A55&lt;DATE(2025,4,6),"2024/25",IF(A55&lt;DATE(2026,4,6),"2025/26",IF(A55&lt;DATE(2027,4,6),"2026/27","2027/28"))))</f>
        <v/>
      </c>
      <c r="N55" s="13"/>
    </row>
    <row r="56" customFormat="false" ht="15" hidden="false" customHeight="false" outlineLevel="0" collapsed="false">
      <c r="A56" s="31"/>
      <c r="B56" s="13"/>
      <c r="C56" s="13"/>
      <c r="D56" s="32"/>
      <c r="E56" s="32"/>
      <c r="F56" s="14"/>
      <c r="G56" s="23"/>
      <c r="H56" s="16" t="str">
        <f aca="false">IF(F56="","",IF(G56&lt;&gt;"",G56,IF(E56="JPY",IF(ISNUMBER($L$1),ROUND(F56/$L$1,2),"レート未入力"),F56)))</f>
        <v/>
      </c>
      <c r="I56" s="33"/>
      <c r="J56" s="16" t="str">
        <f aca="false">IF(ISNUMBER(H56),ROUND(H56*IF(I56="",1,I56),2),"")</f>
        <v/>
      </c>
      <c r="K56" s="35"/>
      <c r="L56" s="22" t="str">
        <f aca="false">IF(A56="","",IF(A56&lt;DATE(2025,4,6),"2024/25",IF(A56&lt;DATE(2026,4,6),"2025/26",IF(A56&lt;DATE(2027,4,6),"2026/27","2027/28"))))</f>
        <v/>
      </c>
      <c r="N56" s="13"/>
    </row>
    <row r="57" customFormat="false" ht="15" hidden="false" customHeight="false" outlineLevel="0" collapsed="false">
      <c r="A57" s="31"/>
      <c r="B57" s="13"/>
      <c r="C57" s="13"/>
      <c r="D57" s="32"/>
      <c r="E57" s="32"/>
      <c r="F57" s="14"/>
      <c r="G57" s="23"/>
      <c r="H57" s="16" t="str">
        <f aca="false">IF(F57="","",IF(G57&lt;&gt;"",G57,IF(E57="JPY",IF(ISNUMBER($L$1),ROUND(F57/$L$1,2),"レート未入力"),F57)))</f>
        <v/>
      </c>
      <c r="I57" s="33"/>
      <c r="J57" s="16" t="str">
        <f aca="false">IF(ISNUMBER(H57),ROUND(H57*IF(I57="",1,I57),2),"")</f>
        <v/>
      </c>
      <c r="K57" s="35"/>
      <c r="L57" s="22" t="str">
        <f aca="false">IF(A57="","",IF(A57&lt;DATE(2025,4,6),"2024/25",IF(A57&lt;DATE(2026,4,6),"2025/26",IF(A57&lt;DATE(2027,4,6),"2026/27","2027/28"))))</f>
        <v/>
      </c>
      <c r="N57" s="13"/>
    </row>
    <row r="58" customFormat="false" ht="15" hidden="false" customHeight="false" outlineLevel="0" collapsed="false">
      <c r="A58" s="31"/>
      <c r="B58" s="13"/>
      <c r="C58" s="13"/>
      <c r="D58" s="32"/>
      <c r="E58" s="32"/>
      <c r="F58" s="14"/>
      <c r="G58" s="23"/>
      <c r="H58" s="16" t="str">
        <f aca="false">IF(F58="","",IF(G58&lt;&gt;"",G58,IF(E58="JPY",IF(ISNUMBER($L$1),ROUND(F58/$L$1,2),"レート未入力"),F58)))</f>
        <v/>
      </c>
      <c r="I58" s="33"/>
      <c r="J58" s="16" t="str">
        <f aca="false">IF(ISNUMBER(H58),ROUND(H58*IF(I58="",1,I58),2),"")</f>
        <v/>
      </c>
      <c r="K58" s="35"/>
      <c r="L58" s="22" t="str">
        <f aca="false">IF(A58="","",IF(A58&lt;DATE(2025,4,6),"2024/25",IF(A58&lt;DATE(2026,4,6),"2025/26",IF(A58&lt;DATE(2027,4,6),"2026/27","2027/28"))))</f>
        <v/>
      </c>
      <c r="N58" s="13"/>
    </row>
    <row r="59" customFormat="false" ht="15" hidden="false" customHeight="false" outlineLevel="0" collapsed="false">
      <c r="A59" s="31"/>
      <c r="B59" s="13"/>
      <c r="C59" s="13"/>
      <c r="D59" s="32"/>
      <c r="E59" s="32"/>
      <c r="F59" s="14"/>
      <c r="G59" s="23"/>
      <c r="H59" s="16" t="str">
        <f aca="false">IF(F59="","",IF(G59&lt;&gt;"",G59,IF(E59="JPY",IF(ISNUMBER($L$1),ROUND(F59/$L$1,2),"レート未入力"),F59)))</f>
        <v/>
      </c>
      <c r="I59" s="33"/>
      <c r="J59" s="16" t="str">
        <f aca="false">IF(ISNUMBER(H59),ROUND(H59*IF(I59="",1,I59),2),"")</f>
        <v/>
      </c>
      <c r="K59" s="35"/>
      <c r="L59" s="22" t="str">
        <f aca="false">IF(A59="","",IF(A59&lt;DATE(2025,4,6),"2024/25",IF(A59&lt;DATE(2026,4,6),"2025/26",IF(A59&lt;DATE(2027,4,6),"2026/27","2027/28"))))</f>
        <v/>
      </c>
      <c r="N59" s="13"/>
    </row>
    <row r="60" customFormat="false" ht="15" hidden="false" customHeight="false" outlineLevel="0" collapsed="false">
      <c r="A60" s="31"/>
      <c r="B60" s="13"/>
      <c r="C60" s="13"/>
      <c r="D60" s="32"/>
      <c r="E60" s="32"/>
      <c r="F60" s="14"/>
      <c r="G60" s="23"/>
      <c r="H60" s="16" t="str">
        <f aca="false">IF(F60="","",IF(G60&lt;&gt;"",G60,IF(E60="JPY",IF(ISNUMBER($L$1),ROUND(F60/$L$1,2),"レート未入力"),F60)))</f>
        <v/>
      </c>
      <c r="I60" s="33"/>
      <c r="J60" s="16" t="str">
        <f aca="false">IF(ISNUMBER(H60),ROUND(H60*IF(I60="",1,I60),2),"")</f>
        <v/>
      </c>
      <c r="K60" s="35"/>
      <c r="L60" s="22" t="str">
        <f aca="false">IF(A60="","",IF(A60&lt;DATE(2025,4,6),"2024/25",IF(A60&lt;DATE(2026,4,6),"2025/26",IF(A60&lt;DATE(2027,4,6),"2026/27","2027/28"))))</f>
        <v/>
      </c>
      <c r="N60" s="13"/>
    </row>
    <row r="61" customFormat="false" ht="15" hidden="false" customHeight="false" outlineLevel="0" collapsed="false">
      <c r="A61" s="31"/>
      <c r="B61" s="13"/>
      <c r="C61" s="13"/>
      <c r="D61" s="32"/>
      <c r="E61" s="32"/>
      <c r="F61" s="14"/>
      <c r="G61" s="23"/>
      <c r="H61" s="16" t="str">
        <f aca="false">IF(F61="","",IF(G61&lt;&gt;"",G61,IF(E61="JPY",IF(ISNUMBER($L$1),ROUND(F61/$L$1,2),"レート未入力"),F61)))</f>
        <v/>
      </c>
      <c r="I61" s="33"/>
      <c r="J61" s="16" t="str">
        <f aca="false">IF(ISNUMBER(H61),ROUND(H61*IF(I61="",1,I61),2),"")</f>
        <v/>
      </c>
      <c r="K61" s="35"/>
      <c r="L61" s="22" t="str">
        <f aca="false">IF(A61="","",IF(A61&lt;DATE(2025,4,6),"2024/25",IF(A61&lt;DATE(2026,4,6),"2025/26",IF(A61&lt;DATE(2027,4,6),"2026/27","2027/28"))))</f>
        <v/>
      </c>
      <c r="N61" s="13"/>
    </row>
    <row r="62" customFormat="false" ht="15" hidden="false" customHeight="false" outlineLevel="0" collapsed="false">
      <c r="A62" s="31"/>
      <c r="B62" s="13"/>
      <c r="C62" s="13"/>
      <c r="D62" s="32"/>
      <c r="E62" s="32"/>
      <c r="F62" s="14"/>
      <c r="G62" s="23"/>
      <c r="H62" s="16" t="str">
        <f aca="false">IF(F62="","",IF(G62&lt;&gt;"",G62,IF(E62="JPY",IF(ISNUMBER($L$1),ROUND(F62/$L$1,2),"レート未入力"),F62)))</f>
        <v/>
      </c>
      <c r="I62" s="33"/>
      <c r="J62" s="16" t="str">
        <f aca="false">IF(ISNUMBER(H62),ROUND(H62*IF(I62="",1,I62),2),"")</f>
        <v/>
      </c>
      <c r="K62" s="35"/>
      <c r="L62" s="22" t="str">
        <f aca="false">IF(A62="","",IF(A62&lt;DATE(2025,4,6),"2024/25",IF(A62&lt;DATE(2026,4,6),"2025/26",IF(A62&lt;DATE(2027,4,6),"2026/27","2027/28"))))</f>
        <v/>
      </c>
      <c r="N62" s="13"/>
    </row>
    <row r="63" customFormat="false" ht="15" hidden="false" customHeight="false" outlineLevel="0" collapsed="false">
      <c r="A63" s="31"/>
      <c r="B63" s="13"/>
      <c r="C63" s="13"/>
      <c r="D63" s="32"/>
      <c r="E63" s="32"/>
      <c r="F63" s="14"/>
      <c r="G63" s="23"/>
      <c r="H63" s="16" t="str">
        <f aca="false">IF(F63="","",IF(G63&lt;&gt;"",G63,IF(E63="JPY",IF(ISNUMBER($L$1),ROUND(F63/$L$1,2),"レート未入力"),F63)))</f>
        <v/>
      </c>
      <c r="I63" s="33"/>
      <c r="J63" s="16" t="str">
        <f aca="false">IF(ISNUMBER(H63),ROUND(H63*IF(I63="",1,I63),2),"")</f>
        <v/>
      </c>
      <c r="K63" s="35"/>
      <c r="L63" s="22" t="str">
        <f aca="false">IF(A63="","",IF(A63&lt;DATE(2025,4,6),"2024/25",IF(A63&lt;DATE(2026,4,6),"2025/26",IF(A63&lt;DATE(2027,4,6),"2026/27","2027/28"))))</f>
        <v/>
      </c>
      <c r="N63" s="13"/>
    </row>
    <row r="64" customFormat="false" ht="15" hidden="false" customHeight="false" outlineLevel="0" collapsed="false">
      <c r="A64" s="31"/>
      <c r="B64" s="13"/>
      <c r="C64" s="13"/>
      <c r="D64" s="32"/>
      <c r="E64" s="32"/>
      <c r="F64" s="14"/>
      <c r="G64" s="23"/>
      <c r="H64" s="16" t="str">
        <f aca="false">IF(F64="","",IF(G64&lt;&gt;"",G64,IF(E64="JPY",IF(ISNUMBER($L$1),ROUND(F64/$L$1,2),"レート未入力"),F64)))</f>
        <v/>
      </c>
      <c r="I64" s="33"/>
      <c r="J64" s="16" t="str">
        <f aca="false">IF(ISNUMBER(H64),ROUND(H64*IF(I64="",1,I64),2),"")</f>
        <v/>
      </c>
      <c r="K64" s="35"/>
      <c r="L64" s="22" t="str">
        <f aca="false">IF(A64="","",IF(A64&lt;DATE(2025,4,6),"2024/25",IF(A64&lt;DATE(2026,4,6),"2025/26",IF(A64&lt;DATE(2027,4,6),"2026/27","2027/28"))))</f>
        <v/>
      </c>
      <c r="N64" s="13"/>
    </row>
    <row r="65" customFormat="false" ht="15" hidden="false" customHeight="false" outlineLevel="0" collapsed="false">
      <c r="A65" s="31"/>
      <c r="B65" s="13"/>
      <c r="C65" s="13"/>
      <c r="D65" s="32"/>
      <c r="E65" s="32"/>
      <c r="F65" s="14"/>
      <c r="G65" s="23"/>
      <c r="H65" s="16" t="str">
        <f aca="false">IF(F65="","",IF(G65&lt;&gt;"",G65,IF(E65="JPY",IF(ISNUMBER($L$1),ROUND(F65/$L$1,2),"レート未入力"),F65)))</f>
        <v/>
      </c>
      <c r="I65" s="33"/>
      <c r="J65" s="16" t="str">
        <f aca="false">IF(ISNUMBER(H65),ROUND(H65*IF(I65="",1,I65),2),"")</f>
        <v/>
      </c>
      <c r="K65" s="35"/>
      <c r="L65" s="22" t="str">
        <f aca="false">IF(A65="","",IF(A65&lt;DATE(2025,4,6),"2024/25",IF(A65&lt;DATE(2026,4,6),"2025/26",IF(A65&lt;DATE(2027,4,6),"2026/27","2027/28"))))</f>
        <v/>
      </c>
      <c r="N65" s="13"/>
    </row>
    <row r="66" customFormat="false" ht="15" hidden="false" customHeight="false" outlineLevel="0" collapsed="false">
      <c r="A66" s="31"/>
      <c r="B66" s="13"/>
      <c r="C66" s="13"/>
      <c r="D66" s="32"/>
      <c r="E66" s="32"/>
      <c r="F66" s="14"/>
      <c r="G66" s="23"/>
      <c r="H66" s="16" t="str">
        <f aca="false">IF(F66="","",IF(G66&lt;&gt;"",G66,IF(E66="JPY",IF(ISNUMBER($L$1),ROUND(F66/$L$1,2),"レート未入力"),F66)))</f>
        <v/>
      </c>
      <c r="I66" s="33"/>
      <c r="J66" s="16" t="str">
        <f aca="false">IF(ISNUMBER(H66),ROUND(H66*IF(I66="",1,I66),2),"")</f>
        <v/>
      </c>
      <c r="K66" s="35"/>
      <c r="L66" s="22" t="str">
        <f aca="false">IF(A66="","",IF(A66&lt;DATE(2025,4,6),"2024/25",IF(A66&lt;DATE(2026,4,6),"2025/26",IF(A66&lt;DATE(2027,4,6),"2026/27","2027/28"))))</f>
        <v/>
      </c>
      <c r="N66" s="13"/>
    </row>
    <row r="67" customFormat="false" ht="15" hidden="false" customHeight="false" outlineLevel="0" collapsed="false">
      <c r="A67" s="31"/>
      <c r="B67" s="13"/>
      <c r="C67" s="13"/>
      <c r="D67" s="32"/>
      <c r="E67" s="32"/>
      <c r="F67" s="14"/>
      <c r="G67" s="23"/>
      <c r="H67" s="16" t="str">
        <f aca="false">IF(F67="","",IF(G67&lt;&gt;"",G67,IF(E67="JPY",IF(ISNUMBER($L$1),ROUND(F67/$L$1,2),"レート未入力"),F67)))</f>
        <v/>
      </c>
      <c r="I67" s="33"/>
      <c r="J67" s="16" t="str">
        <f aca="false">IF(ISNUMBER(H67),ROUND(H67*IF(I67="",1,I67),2),"")</f>
        <v/>
      </c>
      <c r="K67" s="35"/>
      <c r="L67" s="22" t="str">
        <f aca="false">IF(A67="","",IF(A67&lt;DATE(2025,4,6),"2024/25",IF(A67&lt;DATE(2026,4,6),"2025/26",IF(A67&lt;DATE(2027,4,6),"2026/27","2027/28"))))</f>
        <v/>
      </c>
      <c r="N67" s="13"/>
    </row>
    <row r="68" customFormat="false" ht="15" hidden="false" customHeight="false" outlineLevel="0" collapsed="false">
      <c r="A68" s="31"/>
      <c r="B68" s="13"/>
      <c r="C68" s="13"/>
      <c r="D68" s="32"/>
      <c r="E68" s="32"/>
      <c r="F68" s="14"/>
      <c r="G68" s="23"/>
      <c r="H68" s="16" t="str">
        <f aca="false">IF(F68="","",IF(G68&lt;&gt;"",G68,IF(E68="JPY",IF(ISNUMBER($L$1),ROUND(F68/$L$1,2),"レート未入力"),F68)))</f>
        <v/>
      </c>
      <c r="I68" s="33"/>
      <c r="J68" s="16" t="str">
        <f aca="false">IF(ISNUMBER(H68),ROUND(H68*IF(I68="",1,I68),2),"")</f>
        <v/>
      </c>
      <c r="K68" s="35"/>
      <c r="L68" s="22" t="str">
        <f aca="false">IF(A68="","",IF(A68&lt;DATE(2025,4,6),"2024/25",IF(A68&lt;DATE(2026,4,6),"2025/26",IF(A68&lt;DATE(2027,4,6),"2026/27","2027/28"))))</f>
        <v/>
      </c>
      <c r="N68" s="13"/>
    </row>
    <row r="69" customFormat="false" ht="15" hidden="false" customHeight="false" outlineLevel="0" collapsed="false">
      <c r="A69" s="31"/>
      <c r="B69" s="13"/>
      <c r="C69" s="13"/>
      <c r="D69" s="32"/>
      <c r="E69" s="32"/>
      <c r="F69" s="14"/>
      <c r="G69" s="23"/>
      <c r="H69" s="16" t="str">
        <f aca="false">IF(F69="","",IF(G69&lt;&gt;"",G69,IF(E69="JPY",IF(ISNUMBER($L$1),ROUND(F69/$L$1,2),"レート未入力"),F69)))</f>
        <v/>
      </c>
      <c r="I69" s="33"/>
      <c r="J69" s="16" t="str">
        <f aca="false">IF(ISNUMBER(H69),ROUND(H69*IF(I69="",1,I69),2),"")</f>
        <v/>
      </c>
      <c r="K69" s="35"/>
      <c r="L69" s="22" t="str">
        <f aca="false">IF(A69="","",IF(A69&lt;DATE(2025,4,6),"2024/25",IF(A69&lt;DATE(2026,4,6),"2025/26",IF(A69&lt;DATE(2027,4,6),"2026/27","2027/28"))))</f>
        <v/>
      </c>
      <c r="N69" s="13"/>
    </row>
    <row r="70" customFormat="false" ht="15" hidden="false" customHeight="false" outlineLevel="0" collapsed="false">
      <c r="A70" s="3" t="s">
        <v>196</v>
      </c>
      <c r="J70" s="18" t="n">
        <f aca="false">SUM(J30:J69)</f>
        <v>0</v>
      </c>
    </row>
    <row r="72" customFormat="false" ht="15" hidden="false" customHeight="false" outlineLevel="0" collapsed="false">
      <c r="A72" s="26" t="s">
        <v>197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customFormat="false" ht="15" hidden="false" customHeight="false" outlineLevel="0" collapsed="false">
      <c r="A73" s="17" t="s">
        <v>137</v>
      </c>
      <c r="D73" s="36" t="s">
        <v>16</v>
      </c>
      <c r="E73" s="36" t="s">
        <v>18</v>
      </c>
      <c r="F73" s="36"/>
    </row>
    <row r="74" customFormat="false" ht="15" hidden="false" customHeight="false" outlineLevel="0" collapsed="false">
      <c r="A74" s="17" t="s">
        <v>183</v>
      </c>
      <c r="D74" s="18" t="n">
        <f aca="false">SUMIFS($H$6:$H$25,$J$6:$J$25,"2025/26")</f>
        <v>0</v>
      </c>
      <c r="E74" s="18" t="n">
        <f aca="false">SUMIFS($H$6:$H$25,$J$6:$J$25,"2026/27")</f>
        <v>0</v>
      </c>
      <c r="F74" s="18"/>
    </row>
    <row r="75" customFormat="false" ht="15" hidden="false" customHeight="false" outlineLevel="0" collapsed="false">
      <c r="A75" s="21" t="s">
        <v>41</v>
      </c>
      <c r="D75" s="16" t="n">
        <f aca="false">SUMIFS($J$30:$J$69,$D$30:$D$69,$A75,$L$30:$L$69,"2025/26")</f>
        <v>0</v>
      </c>
      <c r="E75" s="16" t="n">
        <f aca="false">SUMIFS($J$30:$J$69,$D$30:$D$69,$A75,$L$30:$L$69,"2026/27")</f>
        <v>0</v>
      </c>
      <c r="F75" s="16"/>
    </row>
    <row r="76" customFormat="false" ht="15" hidden="false" customHeight="false" outlineLevel="0" collapsed="false">
      <c r="A76" s="21" t="s">
        <v>43</v>
      </c>
      <c r="D76" s="16" t="n">
        <f aca="false">SUMIFS($J$30:$J$69,$D$30:$D$69,$A76,$L$30:$L$69,"2025/26")</f>
        <v>0</v>
      </c>
      <c r="E76" s="16" t="n">
        <f aca="false">SUMIFS($J$30:$J$69,$D$30:$D$69,$A76,$L$30:$L$69,"2026/27")</f>
        <v>0</v>
      </c>
      <c r="F76" s="16"/>
    </row>
    <row r="77" customFormat="false" ht="15" hidden="false" customHeight="false" outlineLevel="0" collapsed="false">
      <c r="A77" s="21" t="s">
        <v>45</v>
      </c>
      <c r="D77" s="16" t="n">
        <f aca="false">SUMIFS($J$30:$J$69,$D$30:$D$69,$A77,$L$30:$L$69,"2025/26")</f>
        <v>0</v>
      </c>
      <c r="E77" s="16" t="n">
        <f aca="false">SUMIFS($J$30:$J$69,$D$30:$D$69,$A77,$L$30:$L$69,"2026/27")</f>
        <v>0</v>
      </c>
      <c r="F77" s="16"/>
    </row>
    <row r="78" customFormat="false" ht="15" hidden="false" customHeight="false" outlineLevel="0" collapsed="false">
      <c r="A78" s="21" t="s">
        <v>47</v>
      </c>
      <c r="D78" s="16" t="n">
        <f aca="false">SUMIFS($J$30:$J$69,$D$30:$D$69,$A78,$L$30:$L$69,"2025/26")</f>
        <v>0</v>
      </c>
      <c r="E78" s="16" t="n">
        <f aca="false">SUMIFS($J$30:$J$69,$D$30:$D$69,$A78,$L$30:$L$69,"2026/27")</f>
        <v>0</v>
      </c>
      <c r="F78" s="16"/>
    </row>
    <row r="79" customFormat="false" ht="15" hidden="false" customHeight="false" outlineLevel="0" collapsed="false">
      <c r="A79" s="21" t="s">
        <v>49</v>
      </c>
      <c r="D79" s="16" t="n">
        <f aca="false">SUMIFS($J$30:$J$69,$D$30:$D$69,$A79,$L$30:$L$69,"2025/26")</f>
        <v>0</v>
      </c>
      <c r="E79" s="16" t="n">
        <f aca="false">SUMIFS($J$30:$J$69,$D$30:$D$69,$A79,$L$30:$L$69,"2026/27")</f>
        <v>0</v>
      </c>
      <c r="F79" s="16"/>
    </row>
    <row r="80" customFormat="false" ht="15" hidden="false" customHeight="false" outlineLevel="0" collapsed="false">
      <c r="A80" s="21" t="s">
        <v>51</v>
      </c>
      <c r="D80" s="16" t="n">
        <f aca="false">SUMIFS($J$30:$J$69,$D$30:$D$69,$A80,$L$30:$L$69,"2025/26")</f>
        <v>0</v>
      </c>
      <c r="E80" s="16" t="n">
        <f aca="false">SUMIFS($J$30:$J$69,$D$30:$D$69,$A80,$L$30:$L$69,"2026/27")</f>
        <v>0</v>
      </c>
      <c r="F80" s="16"/>
    </row>
    <row r="81" customFormat="false" ht="15" hidden="false" customHeight="false" outlineLevel="0" collapsed="false">
      <c r="A81" s="21" t="s">
        <v>53</v>
      </c>
      <c r="D81" s="16" t="n">
        <f aca="false">SUMIFS($J$30:$J$69,$D$30:$D$69,$A81,$L$30:$L$69,"2025/26")</f>
        <v>0</v>
      </c>
      <c r="E81" s="16" t="n">
        <f aca="false">SUMIFS($J$30:$J$69,$D$30:$D$69,$A81,$L$30:$L$69,"2026/27")</f>
        <v>0</v>
      </c>
      <c r="F81" s="16"/>
    </row>
    <row r="82" customFormat="false" ht="15" hidden="false" customHeight="false" outlineLevel="0" collapsed="false">
      <c r="A82" s="21" t="s">
        <v>55</v>
      </c>
      <c r="D82" s="16" t="n">
        <f aca="false">SUMIFS($J$30:$J$69,$D$30:$D$69,$A82,$L$30:$L$69,"2025/26")</f>
        <v>0</v>
      </c>
      <c r="E82" s="16" t="n">
        <f aca="false">SUMIFS($J$30:$J$69,$D$30:$D$69,$A82,$L$30:$L$69,"2026/27")</f>
        <v>0</v>
      </c>
      <c r="F82" s="16"/>
    </row>
    <row r="83" customFormat="false" ht="15" hidden="false" customHeight="false" outlineLevel="0" collapsed="false">
      <c r="A83" s="21" t="s">
        <v>57</v>
      </c>
      <c r="D83" s="16" t="n">
        <f aca="false">SUMIFS($J$30:$J$69,$D$30:$D$69,$A83,$L$30:$L$69,"2025/26")</f>
        <v>0</v>
      </c>
      <c r="E83" s="16" t="n">
        <f aca="false">SUMIFS($J$30:$J$69,$D$30:$D$69,$A83,$L$30:$L$69,"2026/27")</f>
        <v>0</v>
      </c>
      <c r="F83" s="16"/>
    </row>
    <row r="84" customFormat="false" ht="15" hidden="false" customHeight="false" outlineLevel="0" collapsed="false">
      <c r="A84" s="21" t="s">
        <v>59</v>
      </c>
      <c r="D84" s="16" t="n">
        <f aca="false">SUMIFS($J$30:$J$69,$D$30:$D$69,$A84,$L$30:$L$69,"2025/26")</f>
        <v>0</v>
      </c>
      <c r="E84" s="16" t="n">
        <f aca="false">SUMIFS($J$30:$J$69,$D$30:$D$69,$A84,$L$30:$L$69,"2026/27")</f>
        <v>0</v>
      </c>
      <c r="F84" s="16"/>
    </row>
    <row r="85" customFormat="false" ht="15" hidden="false" customHeight="false" outlineLevel="0" collapsed="false">
      <c r="A85" s="21" t="s">
        <v>61</v>
      </c>
      <c r="D85" s="16" t="n">
        <f aca="false">SUMIFS($J$30:$J$69,$D$30:$D$69,$A85,$L$30:$L$69,"2025/26")</f>
        <v>0</v>
      </c>
      <c r="E85" s="16" t="n">
        <f aca="false">SUMIFS($J$30:$J$69,$D$30:$D$69,$A85,$L$30:$L$69,"2026/27")</f>
        <v>0</v>
      </c>
      <c r="F85" s="16"/>
    </row>
    <row r="86" customFormat="false" ht="15" hidden="false" customHeight="false" outlineLevel="0" collapsed="false">
      <c r="A86" s="21" t="s">
        <v>63</v>
      </c>
      <c r="D86" s="16" t="n">
        <f aca="false">SUMIFS($J$30:$J$69,$D$30:$D$69,$A86,$L$30:$L$69,"2025/26")</f>
        <v>0</v>
      </c>
      <c r="E86" s="16" t="n">
        <f aca="false">SUMIFS($J$30:$J$69,$D$30:$D$69,$A86,$L$30:$L$69,"2026/27")</f>
        <v>0</v>
      </c>
      <c r="F86" s="16"/>
    </row>
    <row r="87" customFormat="false" ht="15" hidden="false" customHeight="false" outlineLevel="0" collapsed="false">
      <c r="A87" s="21" t="s">
        <v>64</v>
      </c>
      <c r="D87" s="16" t="n">
        <f aca="false">SUMIFS($J$30:$J$69,$D$30:$D$69,$A87,$L$30:$L$69,"2025/26")</f>
        <v>0</v>
      </c>
      <c r="E87" s="16" t="n">
        <f aca="false">SUMIFS($J$30:$J$69,$D$30:$D$69,$A87,$L$30:$L$69,"2026/27")</f>
        <v>0</v>
      </c>
      <c r="F87" s="16"/>
    </row>
    <row r="88" customFormat="false" ht="15" hidden="false" customHeight="false" outlineLevel="0" collapsed="false">
      <c r="A88" s="17" t="s">
        <v>198</v>
      </c>
      <c r="D88" s="18" t="n">
        <f aca="false">SUM(D75:D86)</f>
        <v>0</v>
      </c>
      <c r="E88" s="18" t="n">
        <f aca="false">SUM(E75:E86)</f>
        <v>0</v>
      </c>
      <c r="F88" s="18"/>
    </row>
    <row r="89" customFormat="false" ht="15" hidden="false" customHeight="false" outlineLevel="0" collapsed="false">
      <c r="A89" s="17" t="s">
        <v>199</v>
      </c>
      <c r="D89" s="18" t="n">
        <f aca="false">D74-D88-D87</f>
        <v>0</v>
      </c>
      <c r="E89" s="18" t="n">
        <f aca="false">E74-E88-E87</f>
        <v>0</v>
      </c>
      <c r="F89" s="18"/>
    </row>
    <row r="90" customFormat="false" ht="15" hidden="false" customHeight="false" outlineLevel="0" collapsed="false">
      <c r="A90" s="37" t="s">
        <v>200</v>
      </c>
    </row>
    <row r="91" customFormat="false" ht="15" hidden="false" customHeight="false" outlineLevel="0" collapsed="false">
      <c r="A91" s="21" t="s">
        <v>201</v>
      </c>
      <c r="D91" s="16" t="n">
        <f aca="false">SUMIFS($J$30:$J$69,$D$30:$D$69,"")</f>
        <v>0</v>
      </c>
    </row>
  </sheetData>
  <mergeCells count="17"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</mergeCells>
  <dataValidations count="5">
    <dataValidation allowBlank="true" error="0%〜100%で入力してください" errorStyle="stop" operator="between" showDropDown="false" showErrorMessage="true" showInputMessage="false" sqref="I30:I69" type="decimal">
      <formula1>0</formula1>
      <formula2>1</formula2>
    </dataValidation>
    <dataValidation allowBlank="true" errorStyle="stop" operator="between" showDropDown="false" showErrorMessage="false" showInputMessage="false" sqref="E6:E25 E30:E69" type="list">
      <formula1>_list!$B$1:$B$2</formula1>
      <formula2>0</formula2>
    </dataValidation>
    <dataValidation allowBlank="true" errorStyle="stop" operator="between" showDropDown="false" showErrorMessage="false" showInputMessage="false" sqref="D30:D69" type="list">
      <formula1>_list!$A$1:$A$13</formula1>
      <formula2>0</formula2>
    </dataValidation>
    <dataValidation allowBlank="true" errorStyle="stop" operator="between" showDropDown="false" showErrorMessage="false" showInputMessage="false" sqref="D6:D25" type="list">
      <formula1>_list!$C$1:$C$7</formula1>
      <formula2>0</formula2>
    </dataValidation>
    <dataValidation allowBlank="true" error="日付で入力してください（例：2025/5/2）" errorStyle="stop" operator="between" showDropDown="false" showErrorMessage="true" showInputMessage="false" sqref="A6:A25 A30:A69" type="date">
      <formula1>DATE(2025,4,1)</formula1>
      <formula2>DATE(2027,12,31)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24"/>
  </cols>
  <sheetData>
    <row r="1" customFormat="false" ht="19.4" hidden="false" customHeight="false" outlineLevel="0" collapsed="false">
      <c r="A1" s="1" t="s">
        <v>221</v>
      </c>
      <c r="J1" s="3" t="s">
        <v>164</v>
      </c>
      <c r="L1" s="25" t="str">
        <f aca="false">IF(為替レート!$B$25="","未入力",為替レート!$B$25)</f>
        <v>未入力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26" t="s">
        <v>166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customFormat="false" ht="30" hidden="false" customHeight="true" outlineLevel="0" collapsed="false">
      <c r="A5" s="9" t="s">
        <v>167</v>
      </c>
      <c r="B5" s="9" t="s">
        <v>168</v>
      </c>
      <c r="C5" s="9" t="s">
        <v>169</v>
      </c>
      <c r="D5" s="9" t="s">
        <v>170</v>
      </c>
      <c r="E5" s="9" t="s">
        <v>171</v>
      </c>
      <c r="F5" s="9" t="s">
        <v>172</v>
      </c>
      <c r="G5" s="9" t="s">
        <v>173</v>
      </c>
      <c r="H5" s="9" t="s">
        <v>174</v>
      </c>
      <c r="I5" s="9" t="s">
        <v>175</v>
      </c>
      <c r="J5" s="9" t="s">
        <v>176</v>
      </c>
      <c r="K5" s="9"/>
      <c r="L5" s="9"/>
      <c r="M5" s="9"/>
      <c r="N5" s="9" t="s">
        <v>177</v>
      </c>
    </row>
    <row r="6" customFormat="false" ht="15" hidden="false" customHeight="false" outlineLevel="0" collapsed="false">
      <c r="A6" s="31"/>
      <c r="B6" s="13"/>
      <c r="C6" s="13"/>
      <c r="D6" s="32"/>
      <c r="E6" s="32"/>
      <c r="F6" s="14"/>
      <c r="G6" s="23"/>
      <c r="H6" s="16" t="str">
        <f aca="false">IF(F6="","",IF(G6&lt;&gt;"",G6,IF(E6="JPY",IF(ISNUMBER($L$1),ROUND(F6/$L$1,2),"レート未入力"),F6)))</f>
        <v/>
      </c>
      <c r="I6" s="13"/>
      <c r="J6" s="22" t="str">
        <f aca="false">IF(A6="","",IF(A6&lt;DATE(2025,4,6),"2024/25",IF(A6&lt;DATE(2026,4,6),"2025/26",IF(A6&lt;DATE(2027,4,6),"2026/27","2027/28"))))</f>
        <v/>
      </c>
      <c r="N6" s="13"/>
    </row>
    <row r="7" customFormat="false" ht="15" hidden="false" customHeight="false" outlineLevel="0" collapsed="false">
      <c r="A7" s="31"/>
      <c r="B7" s="13"/>
      <c r="C7" s="13"/>
      <c r="D7" s="32"/>
      <c r="E7" s="32"/>
      <c r="F7" s="14"/>
      <c r="G7" s="23"/>
      <c r="H7" s="16" t="str">
        <f aca="false">IF(F7="","",IF(G7&lt;&gt;"",G7,IF(E7="JPY",IF(ISNUMBER($L$1),ROUND(F7/$L$1,2),"レート未入力"),F7)))</f>
        <v/>
      </c>
      <c r="I7" s="13"/>
      <c r="J7" s="22" t="str">
        <f aca="false">IF(A7="","",IF(A7&lt;DATE(2025,4,6),"2024/25",IF(A7&lt;DATE(2026,4,6),"2025/26",IF(A7&lt;DATE(2027,4,6),"2026/27","2027/28"))))</f>
        <v/>
      </c>
      <c r="N7" s="13"/>
    </row>
    <row r="8" customFormat="false" ht="15" hidden="false" customHeight="false" outlineLevel="0" collapsed="false">
      <c r="A8" s="31"/>
      <c r="B8" s="13"/>
      <c r="C8" s="13"/>
      <c r="D8" s="32"/>
      <c r="E8" s="32"/>
      <c r="F8" s="14"/>
      <c r="G8" s="23"/>
      <c r="H8" s="16" t="str">
        <f aca="false">IF(F8="","",IF(G8&lt;&gt;"",G8,IF(E8="JPY",IF(ISNUMBER($L$1),ROUND(F8/$L$1,2),"レート未入力"),F8)))</f>
        <v/>
      </c>
      <c r="I8" s="13"/>
      <c r="J8" s="22" t="str">
        <f aca="false">IF(A8="","",IF(A8&lt;DATE(2025,4,6),"2024/25",IF(A8&lt;DATE(2026,4,6),"2025/26",IF(A8&lt;DATE(2027,4,6),"2026/27","2027/28"))))</f>
        <v/>
      </c>
      <c r="N8" s="13"/>
    </row>
    <row r="9" customFormat="false" ht="15" hidden="false" customHeight="false" outlineLevel="0" collapsed="false">
      <c r="A9" s="31"/>
      <c r="B9" s="13"/>
      <c r="C9" s="13"/>
      <c r="D9" s="32"/>
      <c r="E9" s="32"/>
      <c r="F9" s="14"/>
      <c r="G9" s="23"/>
      <c r="H9" s="16" t="str">
        <f aca="false">IF(F9="","",IF(G9&lt;&gt;"",G9,IF(E9="JPY",IF(ISNUMBER($L$1),ROUND(F9/$L$1,2),"レート未入力"),F9)))</f>
        <v/>
      </c>
      <c r="I9" s="13"/>
      <c r="J9" s="22" t="str">
        <f aca="false">IF(A9="","",IF(A9&lt;DATE(2025,4,6),"2024/25",IF(A9&lt;DATE(2026,4,6),"2025/26",IF(A9&lt;DATE(2027,4,6),"2026/27","2027/28"))))</f>
        <v/>
      </c>
      <c r="N9" s="13"/>
    </row>
    <row r="10" customFormat="false" ht="15" hidden="false" customHeight="false" outlineLevel="0" collapsed="false">
      <c r="A10" s="31"/>
      <c r="B10" s="13"/>
      <c r="C10" s="13"/>
      <c r="D10" s="32"/>
      <c r="E10" s="32"/>
      <c r="F10" s="14"/>
      <c r="G10" s="23"/>
      <c r="H10" s="16" t="str">
        <f aca="false">IF(F10="","",IF(G10&lt;&gt;"",G10,IF(E10="JPY",IF(ISNUMBER($L$1),ROUND(F10/$L$1,2),"レート未入力"),F10)))</f>
        <v/>
      </c>
      <c r="I10" s="13"/>
      <c r="J10" s="22" t="str">
        <f aca="false">IF(A10="","",IF(A10&lt;DATE(2025,4,6),"2024/25",IF(A10&lt;DATE(2026,4,6),"2025/26",IF(A10&lt;DATE(2027,4,6),"2026/27","2027/28"))))</f>
        <v/>
      </c>
      <c r="N10" s="13"/>
    </row>
    <row r="11" customFormat="false" ht="15" hidden="false" customHeight="false" outlineLevel="0" collapsed="false">
      <c r="A11" s="31"/>
      <c r="B11" s="13"/>
      <c r="C11" s="13"/>
      <c r="D11" s="32"/>
      <c r="E11" s="32"/>
      <c r="F11" s="14"/>
      <c r="G11" s="23"/>
      <c r="H11" s="16" t="str">
        <f aca="false">IF(F11="","",IF(G11&lt;&gt;"",G11,IF(E11="JPY",IF(ISNUMBER($L$1),ROUND(F11/$L$1,2),"レート未入力"),F11)))</f>
        <v/>
      </c>
      <c r="I11" s="13"/>
      <c r="J11" s="22" t="str">
        <f aca="false">IF(A11="","",IF(A11&lt;DATE(2025,4,6),"2024/25",IF(A11&lt;DATE(2026,4,6),"2025/26",IF(A11&lt;DATE(2027,4,6),"2026/27","2027/28"))))</f>
        <v/>
      </c>
      <c r="N11" s="13"/>
    </row>
    <row r="12" customFormat="false" ht="15" hidden="false" customHeight="false" outlineLevel="0" collapsed="false">
      <c r="A12" s="31"/>
      <c r="B12" s="13"/>
      <c r="C12" s="13"/>
      <c r="D12" s="32"/>
      <c r="E12" s="32"/>
      <c r="F12" s="14"/>
      <c r="G12" s="23"/>
      <c r="H12" s="16" t="str">
        <f aca="false">IF(F12="","",IF(G12&lt;&gt;"",G12,IF(E12="JPY",IF(ISNUMBER($L$1),ROUND(F12/$L$1,2),"レート未入力"),F12)))</f>
        <v/>
      </c>
      <c r="I12" s="13"/>
      <c r="J12" s="22" t="str">
        <f aca="false">IF(A12="","",IF(A12&lt;DATE(2025,4,6),"2024/25",IF(A12&lt;DATE(2026,4,6),"2025/26",IF(A12&lt;DATE(2027,4,6),"2026/27","2027/28"))))</f>
        <v/>
      </c>
      <c r="N12" s="13"/>
    </row>
    <row r="13" customFormat="false" ht="15" hidden="false" customHeight="false" outlineLevel="0" collapsed="false">
      <c r="A13" s="31"/>
      <c r="B13" s="13"/>
      <c r="C13" s="13"/>
      <c r="D13" s="32"/>
      <c r="E13" s="32"/>
      <c r="F13" s="14"/>
      <c r="G13" s="23"/>
      <c r="H13" s="16" t="str">
        <f aca="false">IF(F13="","",IF(G13&lt;&gt;"",G13,IF(E13="JPY",IF(ISNUMBER($L$1),ROUND(F13/$L$1,2),"レート未入力"),F13)))</f>
        <v/>
      </c>
      <c r="I13" s="13"/>
      <c r="J13" s="22" t="str">
        <f aca="false">IF(A13="","",IF(A13&lt;DATE(2025,4,6),"2024/25",IF(A13&lt;DATE(2026,4,6),"2025/26",IF(A13&lt;DATE(2027,4,6),"2026/27","2027/28"))))</f>
        <v/>
      </c>
      <c r="N13" s="13"/>
    </row>
    <row r="14" customFormat="false" ht="15" hidden="false" customHeight="false" outlineLevel="0" collapsed="false">
      <c r="A14" s="31"/>
      <c r="B14" s="13"/>
      <c r="C14" s="13"/>
      <c r="D14" s="32"/>
      <c r="E14" s="32"/>
      <c r="F14" s="14"/>
      <c r="G14" s="23"/>
      <c r="H14" s="16" t="str">
        <f aca="false">IF(F14="","",IF(G14&lt;&gt;"",G14,IF(E14="JPY",IF(ISNUMBER($L$1),ROUND(F14/$L$1,2),"レート未入力"),F14)))</f>
        <v/>
      </c>
      <c r="I14" s="13"/>
      <c r="J14" s="22" t="str">
        <f aca="false">IF(A14="","",IF(A14&lt;DATE(2025,4,6),"2024/25",IF(A14&lt;DATE(2026,4,6),"2025/26",IF(A14&lt;DATE(2027,4,6),"2026/27","2027/28"))))</f>
        <v/>
      </c>
      <c r="N14" s="13"/>
    </row>
    <row r="15" customFormat="false" ht="15" hidden="false" customHeight="false" outlineLevel="0" collapsed="false">
      <c r="A15" s="31"/>
      <c r="B15" s="13"/>
      <c r="C15" s="13"/>
      <c r="D15" s="32"/>
      <c r="E15" s="32"/>
      <c r="F15" s="14"/>
      <c r="G15" s="23"/>
      <c r="H15" s="16" t="str">
        <f aca="false">IF(F15="","",IF(G15&lt;&gt;"",G15,IF(E15="JPY",IF(ISNUMBER($L$1),ROUND(F15/$L$1,2),"レート未入力"),F15)))</f>
        <v/>
      </c>
      <c r="I15" s="13"/>
      <c r="J15" s="22" t="str">
        <f aca="false">IF(A15="","",IF(A15&lt;DATE(2025,4,6),"2024/25",IF(A15&lt;DATE(2026,4,6),"2025/26",IF(A15&lt;DATE(2027,4,6),"2026/27","2027/28"))))</f>
        <v/>
      </c>
      <c r="N15" s="13"/>
    </row>
    <row r="16" customFormat="false" ht="15" hidden="false" customHeight="false" outlineLevel="0" collapsed="false">
      <c r="A16" s="31"/>
      <c r="B16" s="13"/>
      <c r="C16" s="13"/>
      <c r="D16" s="32"/>
      <c r="E16" s="32"/>
      <c r="F16" s="14"/>
      <c r="G16" s="23"/>
      <c r="H16" s="16" t="str">
        <f aca="false">IF(F16="","",IF(G16&lt;&gt;"",G16,IF(E16="JPY",IF(ISNUMBER($L$1),ROUND(F16/$L$1,2),"レート未入力"),F16)))</f>
        <v/>
      </c>
      <c r="I16" s="13"/>
      <c r="J16" s="22" t="str">
        <f aca="false">IF(A16="","",IF(A16&lt;DATE(2025,4,6),"2024/25",IF(A16&lt;DATE(2026,4,6),"2025/26",IF(A16&lt;DATE(2027,4,6),"2026/27","2027/28"))))</f>
        <v/>
      </c>
      <c r="N16" s="13"/>
    </row>
    <row r="17" customFormat="false" ht="15" hidden="false" customHeight="false" outlineLevel="0" collapsed="false">
      <c r="A17" s="31"/>
      <c r="B17" s="13"/>
      <c r="C17" s="13"/>
      <c r="D17" s="32"/>
      <c r="E17" s="32"/>
      <c r="F17" s="14"/>
      <c r="G17" s="23"/>
      <c r="H17" s="16" t="str">
        <f aca="false">IF(F17="","",IF(G17&lt;&gt;"",G17,IF(E17="JPY",IF(ISNUMBER($L$1),ROUND(F17/$L$1,2),"レート未入力"),F17)))</f>
        <v/>
      </c>
      <c r="I17" s="13"/>
      <c r="J17" s="22" t="str">
        <f aca="false">IF(A17="","",IF(A17&lt;DATE(2025,4,6),"2024/25",IF(A17&lt;DATE(2026,4,6),"2025/26",IF(A17&lt;DATE(2027,4,6),"2026/27","2027/28"))))</f>
        <v/>
      </c>
      <c r="N17" s="13"/>
    </row>
    <row r="18" customFormat="false" ht="15" hidden="false" customHeight="false" outlineLevel="0" collapsed="false">
      <c r="A18" s="31"/>
      <c r="B18" s="13"/>
      <c r="C18" s="13"/>
      <c r="D18" s="32"/>
      <c r="E18" s="32"/>
      <c r="F18" s="14"/>
      <c r="G18" s="23"/>
      <c r="H18" s="16" t="str">
        <f aca="false">IF(F18="","",IF(G18&lt;&gt;"",G18,IF(E18="JPY",IF(ISNUMBER($L$1),ROUND(F18/$L$1,2),"レート未入力"),F18)))</f>
        <v/>
      </c>
      <c r="I18" s="13"/>
      <c r="J18" s="22" t="str">
        <f aca="false">IF(A18="","",IF(A18&lt;DATE(2025,4,6),"2024/25",IF(A18&lt;DATE(2026,4,6),"2025/26",IF(A18&lt;DATE(2027,4,6),"2026/27","2027/28"))))</f>
        <v/>
      </c>
      <c r="N18" s="13"/>
    </row>
    <row r="19" customFormat="false" ht="15" hidden="false" customHeight="false" outlineLevel="0" collapsed="false">
      <c r="A19" s="31"/>
      <c r="B19" s="13"/>
      <c r="C19" s="13"/>
      <c r="D19" s="32"/>
      <c r="E19" s="32"/>
      <c r="F19" s="14"/>
      <c r="G19" s="23"/>
      <c r="H19" s="16" t="str">
        <f aca="false">IF(F19="","",IF(G19&lt;&gt;"",G19,IF(E19="JPY",IF(ISNUMBER($L$1),ROUND(F19/$L$1,2),"レート未入力"),F19)))</f>
        <v/>
      </c>
      <c r="I19" s="13"/>
      <c r="J19" s="22" t="str">
        <f aca="false">IF(A19="","",IF(A19&lt;DATE(2025,4,6),"2024/25",IF(A19&lt;DATE(2026,4,6),"2025/26",IF(A19&lt;DATE(2027,4,6),"2026/27","2027/28"))))</f>
        <v/>
      </c>
      <c r="N19" s="13"/>
    </row>
    <row r="20" customFormat="false" ht="15" hidden="false" customHeight="false" outlineLevel="0" collapsed="false">
      <c r="A20" s="31"/>
      <c r="B20" s="13"/>
      <c r="C20" s="13"/>
      <c r="D20" s="32"/>
      <c r="E20" s="32"/>
      <c r="F20" s="14"/>
      <c r="G20" s="23"/>
      <c r="H20" s="16" t="str">
        <f aca="false">IF(F20="","",IF(G20&lt;&gt;"",G20,IF(E20="JPY",IF(ISNUMBER($L$1),ROUND(F20/$L$1,2),"レート未入力"),F20)))</f>
        <v/>
      </c>
      <c r="I20" s="13"/>
      <c r="J20" s="22" t="str">
        <f aca="false">IF(A20="","",IF(A20&lt;DATE(2025,4,6),"2024/25",IF(A20&lt;DATE(2026,4,6),"2025/26",IF(A20&lt;DATE(2027,4,6),"2026/27","2027/28"))))</f>
        <v/>
      </c>
      <c r="N20" s="13"/>
    </row>
    <row r="21" customFormat="false" ht="15" hidden="false" customHeight="false" outlineLevel="0" collapsed="false">
      <c r="A21" s="31"/>
      <c r="B21" s="13"/>
      <c r="C21" s="13"/>
      <c r="D21" s="32"/>
      <c r="E21" s="32"/>
      <c r="F21" s="14"/>
      <c r="G21" s="23"/>
      <c r="H21" s="16" t="str">
        <f aca="false">IF(F21="","",IF(G21&lt;&gt;"",G21,IF(E21="JPY",IF(ISNUMBER($L$1),ROUND(F21/$L$1,2),"レート未入力"),F21)))</f>
        <v/>
      </c>
      <c r="I21" s="13"/>
      <c r="J21" s="22" t="str">
        <f aca="false">IF(A21="","",IF(A21&lt;DATE(2025,4,6),"2024/25",IF(A21&lt;DATE(2026,4,6),"2025/26",IF(A21&lt;DATE(2027,4,6),"2026/27","2027/28"))))</f>
        <v/>
      </c>
      <c r="N21" s="13"/>
    </row>
    <row r="22" customFormat="false" ht="15" hidden="false" customHeight="false" outlineLevel="0" collapsed="false">
      <c r="A22" s="31"/>
      <c r="B22" s="13"/>
      <c r="C22" s="13"/>
      <c r="D22" s="32"/>
      <c r="E22" s="32"/>
      <c r="F22" s="14"/>
      <c r="G22" s="23"/>
      <c r="H22" s="16" t="str">
        <f aca="false">IF(F22="","",IF(G22&lt;&gt;"",G22,IF(E22="JPY",IF(ISNUMBER($L$1),ROUND(F22/$L$1,2),"レート未入力"),F22)))</f>
        <v/>
      </c>
      <c r="I22" s="13"/>
      <c r="J22" s="22" t="str">
        <f aca="false">IF(A22="","",IF(A22&lt;DATE(2025,4,6),"2024/25",IF(A22&lt;DATE(2026,4,6),"2025/26",IF(A22&lt;DATE(2027,4,6),"2026/27","2027/28"))))</f>
        <v/>
      </c>
      <c r="N22" s="13"/>
    </row>
    <row r="23" customFormat="false" ht="15" hidden="false" customHeight="false" outlineLevel="0" collapsed="false">
      <c r="A23" s="31"/>
      <c r="B23" s="13"/>
      <c r="C23" s="13"/>
      <c r="D23" s="32"/>
      <c r="E23" s="32"/>
      <c r="F23" s="14"/>
      <c r="G23" s="23"/>
      <c r="H23" s="16" t="str">
        <f aca="false">IF(F23="","",IF(G23&lt;&gt;"",G23,IF(E23="JPY",IF(ISNUMBER($L$1),ROUND(F23/$L$1,2),"レート未入力"),F23)))</f>
        <v/>
      </c>
      <c r="I23" s="13"/>
      <c r="J23" s="22" t="str">
        <f aca="false">IF(A23="","",IF(A23&lt;DATE(2025,4,6),"2024/25",IF(A23&lt;DATE(2026,4,6),"2025/26",IF(A23&lt;DATE(2027,4,6),"2026/27","2027/28"))))</f>
        <v/>
      </c>
      <c r="N23" s="13"/>
    </row>
    <row r="24" customFormat="false" ht="15" hidden="false" customHeight="false" outlineLevel="0" collapsed="false">
      <c r="A24" s="31"/>
      <c r="B24" s="13"/>
      <c r="C24" s="13"/>
      <c r="D24" s="32"/>
      <c r="E24" s="32"/>
      <c r="F24" s="14"/>
      <c r="G24" s="23"/>
      <c r="H24" s="16" t="str">
        <f aca="false">IF(F24="","",IF(G24&lt;&gt;"",G24,IF(E24="JPY",IF(ISNUMBER($L$1),ROUND(F24/$L$1,2),"レート未入力"),F24)))</f>
        <v/>
      </c>
      <c r="I24" s="13"/>
      <c r="J24" s="22" t="str">
        <f aca="false">IF(A24="","",IF(A24&lt;DATE(2025,4,6),"2024/25",IF(A24&lt;DATE(2026,4,6),"2025/26",IF(A24&lt;DATE(2027,4,6),"2026/27","2027/28"))))</f>
        <v/>
      </c>
      <c r="N24" s="13"/>
    </row>
    <row r="25" customFormat="false" ht="15" hidden="false" customHeight="false" outlineLevel="0" collapsed="false">
      <c r="A25" s="31"/>
      <c r="B25" s="13"/>
      <c r="C25" s="13"/>
      <c r="D25" s="32"/>
      <c r="E25" s="32"/>
      <c r="F25" s="14"/>
      <c r="G25" s="23"/>
      <c r="H25" s="16" t="str">
        <f aca="false">IF(F25="","",IF(G25&lt;&gt;"",G25,IF(E25="JPY",IF(ISNUMBER($L$1),ROUND(F25/$L$1,2),"レート未入力"),F25)))</f>
        <v/>
      </c>
      <c r="I25" s="13"/>
      <c r="J25" s="22" t="str">
        <f aca="false">IF(A25="","",IF(A25&lt;DATE(2025,4,6),"2024/25",IF(A25&lt;DATE(2026,4,6),"2025/26",IF(A25&lt;DATE(2027,4,6),"2026/27","2027/28"))))</f>
        <v/>
      </c>
      <c r="N25" s="13"/>
    </row>
    <row r="26" customFormat="false" ht="15" hidden="false" customHeight="false" outlineLevel="0" collapsed="false">
      <c r="A26" s="3" t="s">
        <v>183</v>
      </c>
      <c r="H26" s="18" t="n">
        <f aca="false">SUM(H6:H25)</f>
        <v>0</v>
      </c>
    </row>
    <row r="28" customFormat="false" ht="15" hidden="false" customHeight="false" outlineLevel="0" collapsed="false">
      <c r="A28" s="26" t="s">
        <v>184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</row>
    <row r="29" customFormat="false" ht="30" hidden="false" customHeight="true" outlineLevel="0" collapsed="false">
      <c r="A29" s="9" t="s">
        <v>167</v>
      </c>
      <c r="B29" s="9" t="s">
        <v>185</v>
      </c>
      <c r="C29" s="9" t="s">
        <v>169</v>
      </c>
      <c r="D29" s="9" t="s">
        <v>38</v>
      </c>
      <c r="E29" s="9" t="s">
        <v>171</v>
      </c>
      <c r="F29" s="9" t="s">
        <v>172</v>
      </c>
      <c r="G29" s="9" t="s">
        <v>173</v>
      </c>
      <c r="H29" s="10" t="s">
        <v>186</v>
      </c>
      <c r="I29" s="9" t="s">
        <v>187</v>
      </c>
      <c r="J29" s="9" t="s">
        <v>188</v>
      </c>
      <c r="K29" s="9" t="s">
        <v>189</v>
      </c>
      <c r="L29" s="9" t="s">
        <v>176</v>
      </c>
      <c r="M29" s="9"/>
      <c r="N29" s="9" t="s">
        <v>177</v>
      </c>
    </row>
    <row r="30" customFormat="false" ht="15" hidden="false" customHeight="false" outlineLevel="0" collapsed="false">
      <c r="A30" s="31"/>
      <c r="B30" s="13"/>
      <c r="C30" s="13"/>
      <c r="D30" s="32"/>
      <c r="E30" s="32"/>
      <c r="F30" s="14"/>
      <c r="G30" s="23"/>
      <c r="H30" s="16" t="str">
        <f aca="false">IF(F30="","",IF(G30&lt;&gt;"",G30,IF(E30="JPY",IF(ISNUMBER($L$1),ROUND(F30/$L$1,2),"レート未入力"),F30)))</f>
        <v/>
      </c>
      <c r="I30" s="33"/>
      <c r="J30" s="16" t="str">
        <f aca="false">IF(ISNUMBER(H30),ROUND(H30*IF(I30="",1,I30),2),"")</f>
        <v/>
      </c>
      <c r="K30" s="35"/>
      <c r="L30" s="22" t="str">
        <f aca="false">IF(A30="","",IF(A30&lt;DATE(2025,4,6),"2024/25",IF(A30&lt;DATE(2026,4,6),"2025/26",IF(A30&lt;DATE(2027,4,6),"2026/27","2027/28"))))</f>
        <v/>
      </c>
      <c r="N30" s="13"/>
    </row>
    <row r="31" customFormat="false" ht="15" hidden="false" customHeight="false" outlineLevel="0" collapsed="false">
      <c r="A31" s="31"/>
      <c r="B31" s="13"/>
      <c r="C31" s="13"/>
      <c r="D31" s="32"/>
      <c r="E31" s="32"/>
      <c r="F31" s="14"/>
      <c r="G31" s="23"/>
      <c r="H31" s="16" t="str">
        <f aca="false">IF(F31="","",IF(G31&lt;&gt;"",G31,IF(E31="JPY",IF(ISNUMBER($L$1),ROUND(F31/$L$1,2),"レート未入力"),F31)))</f>
        <v/>
      </c>
      <c r="I31" s="33"/>
      <c r="J31" s="16" t="str">
        <f aca="false">IF(ISNUMBER(H31),ROUND(H31*IF(I31="",1,I31),2),"")</f>
        <v/>
      </c>
      <c r="K31" s="35"/>
      <c r="L31" s="22" t="str">
        <f aca="false">IF(A31="","",IF(A31&lt;DATE(2025,4,6),"2024/25",IF(A31&lt;DATE(2026,4,6),"2025/26",IF(A31&lt;DATE(2027,4,6),"2026/27","2027/28"))))</f>
        <v/>
      </c>
      <c r="N31" s="13"/>
    </row>
    <row r="32" customFormat="false" ht="15" hidden="false" customHeight="false" outlineLevel="0" collapsed="false">
      <c r="A32" s="31"/>
      <c r="B32" s="13"/>
      <c r="C32" s="13"/>
      <c r="D32" s="32"/>
      <c r="E32" s="32"/>
      <c r="F32" s="14"/>
      <c r="G32" s="23"/>
      <c r="H32" s="16" t="str">
        <f aca="false">IF(F32="","",IF(G32&lt;&gt;"",G32,IF(E32="JPY",IF(ISNUMBER($L$1),ROUND(F32/$L$1,2),"レート未入力"),F32)))</f>
        <v/>
      </c>
      <c r="I32" s="33"/>
      <c r="J32" s="16" t="str">
        <f aca="false">IF(ISNUMBER(H32),ROUND(H32*IF(I32="",1,I32),2),"")</f>
        <v/>
      </c>
      <c r="K32" s="35"/>
      <c r="L32" s="22" t="str">
        <f aca="false">IF(A32="","",IF(A32&lt;DATE(2025,4,6),"2024/25",IF(A32&lt;DATE(2026,4,6),"2025/26",IF(A32&lt;DATE(2027,4,6),"2026/27","2027/28"))))</f>
        <v/>
      </c>
      <c r="N32" s="13"/>
    </row>
    <row r="33" customFormat="false" ht="15" hidden="false" customHeight="false" outlineLevel="0" collapsed="false">
      <c r="A33" s="31"/>
      <c r="B33" s="13"/>
      <c r="C33" s="13"/>
      <c r="D33" s="32"/>
      <c r="E33" s="32"/>
      <c r="F33" s="14"/>
      <c r="G33" s="23"/>
      <c r="H33" s="16" t="str">
        <f aca="false">IF(F33="","",IF(G33&lt;&gt;"",G33,IF(E33="JPY",IF(ISNUMBER($L$1),ROUND(F33/$L$1,2),"レート未入力"),F33)))</f>
        <v/>
      </c>
      <c r="I33" s="33"/>
      <c r="J33" s="16" t="str">
        <f aca="false">IF(ISNUMBER(H33),ROUND(H33*IF(I33="",1,I33),2),"")</f>
        <v/>
      </c>
      <c r="K33" s="35"/>
      <c r="L33" s="22" t="str">
        <f aca="false">IF(A33="","",IF(A33&lt;DATE(2025,4,6),"2024/25",IF(A33&lt;DATE(2026,4,6),"2025/26",IF(A33&lt;DATE(2027,4,6),"2026/27","2027/28"))))</f>
        <v/>
      </c>
      <c r="N33" s="13"/>
    </row>
    <row r="34" customFormat="false" ht="15" hidden="false" customHeight="false" outlineLevel="0" collapsed="false">
      <c r="A34" s="31"/>
      <c r="B34" s="13"/>
      <c r="C34" s="13"/>
      <c r="D34" s="32"/>
      <c r="E34" s="32"/>
      <c r="F34" s="14"/>
      <c r="G34" s="23"/>
      <c r="H34" s="16" t="str">
        <f aca="false">IF(F34="","",IF(G34&lt;&gt;"",G34,IF(E34="JPY",IF(ISNUMBER($L$1),ROUND(F34/$L$1,2),"レート未入力"),F34)))</f>
        <v/>
      </c>
      <c r="I34" s="33"/>
      <c r="J34" s="16" t="str">
        <f aca="false">IF(ISNUMBER(H34),ROUND(H34*IF(I34="",1,I34),2),"")</f>
        <v/>
      </c>
      <c r="K34" s="35"/>
      <c r="L34" s="22" t="str">
        <f aca="false">IF(A34="","",IF(A34&lt;DATE(2025,4,6),"2024/25",IF(A34&lt;DATE(2026,4,6),"2025/26",IF(A34&lt;DATE(2027,4,6),"2026/27","2027/28"))))</f>
        <v/>
      </c>
      <c r="N34" s="13"/>
    </row>
    <row r="35" customFormat="false" ht="15" hidden="false" customHeight="false" outlineLevel="0" collapsed="false">
      <c r="A35" s="31"/>
      <c r="B35" s="13"/>
      <c r="C35" s="13"/>
      <c r="D35" s="32"/>
      <c r="E35" s="32"/>
      <c r="F35" s="14"/>
      <c r="G35" s="23"/>
      <c r="H35" s="16" t="str">
        <f aca="false">IF(F35="","",IF(G35&lt;&gt;"",G35,IF(E35="JPY",IF(ISNUMBER($L$1),ROUND(F35/$L$1,2),"レート未入力"),F35)))</f>
        <v/>
      </c>
      <c r="I35" s="33"/>
      <c r="J35" s="16" t="str">
        <f aca="false">IF(ISNUMBER(H35),ROUND(H35*IF(I35="",1,I35),2),"")</f>
        <v/>
      </c>
      <c r="K35" s="35"/>
      <c r="L35" s="22" t="str">
        <f aca="false">IF(A35="","",IF(A35&lt;DATE(2025,4,6),"2024/25",IF(A35&lt;DATE(2026,4,6),"2025/26",IF(A35&lt;DATE(2027,4,6),"2026/27","2027/28"))))</f>
        <v/>
      </c>
      <c r="N35" s="13"/>
    </row>
    <row r="36" customFormat="false" ht="15" hidden="false" customHeight="false" outlineLevel="0" collapsed="false">
      <c r="A36" s="31"/>
      <c r="B36" s="13"/>
      <c r="C36" s="13"/>
      <c r="D36" s="32"/>
      <c r="E36" s="32"/>
      <c r="F36" s="14"/>
      <c r="G36" s="23"/>
      <c r="H36" s="16" t="str">
        <f aca="false">IF(F36="","",IF(G36&lt;&gt;"",G36,IF(E36="JPY",IF(ISNUMBER($L$1),ROUND(F36/$L$1,2),"レート未入力"),F36)))</f>
        <v/>
      </c>
      <c r="I36" s="33"/>
      <c r="J36" s="16" t="str">
        <f aca="false">IF(ISNUMBER(H36),ROUND(H36*IF(I36="",1,I36),2),"")</f>
        <v/>
      </c>
      <c r="K36" s="35"/>
      <c r="L36" s="22" t="str">
        <f aca="false">IF(A36="","",IF(A36&lt;DATE(2025,4,6),"2024/25",IF(A36&lt;DATE(2026,4,6),"2025/26",IF(A36&lt;DATE(2027,4,6),"2026/27","2027/28"))))</f>
        <v/>
      </c>
      <c r="N36" s="13"/>
    </row>
    <row r="37" customFormat="false" ht="15" hidden="false" customHeight="false" outlineLevel="0" collapsed="false">
      <c r="A37" s="31"/>
      <c r="B37" s="13"/>
      <c r="C37" s="13"/>
      <c r="D37" s="32"/>
      <c r="E37" s="32"/>
      <c r="F37" s="14"/>
      <c r="G37" s="23"/>
      <c r="H37" s="16" t="str">
        <f aca="false">IF(F37="","",IF(G37&lt;&gt;"",G37,IF(E37="JPY",IF(ISNUMBER($L$1),ROUND(F37/$L$1,2),"レート未入力"),F37)))</f>
        <v/>
      </c>
      <c r="I37" s="33"/>
      <c r="J37" s="16" t="str">
        <f aca="false">IF(ISNUMBER(H37),ROUND(H37*IF(I37="",1,I37),2),"")</f>
        <v/>
      </c>
      <c r="K37" s="35"/>
      <c r="L37" s="22" t="str">
        <f aca="false">IF(A37="","",IF(A37&lt;DATE(2025,4,6),"2024/25",IF(A37&lt;DATE(2026,4,6),"2025/26",IF(A37&lt;DATE(2027,4,6),"2026/27","2027/28"))))</f>
        <v/>
      </c>
      <c r="N37" s="13"/>
    </row>
    <row r="38" customFormat="false" ht="15" hidden="false" customHeight="false" outlineLevel="0" collapsed="false">
      <c r="A38" s="31"/>
      <c r="B38" s="13"/>
      <c r="C38" s="13"/>
      <c r="D38" s="32"/>
      <c r="E38" s="32"/>
      <c r="F38" s="14"/>
      <c r="G38" s="23"/>
      <c r="H38" s="16" t="str">
        <f aca="false">IF(F38="","",IF(G38&lt;&gt;"",G38,IF(E38="JPY",IF(ISNUMBER($L$1),ROUND(F38/$L$1,2),"レート未入力"),F38)))</f>
        <v/>
      </c>
      <c r="I38" s="33"/>
      <c r="J38" s="16" t="str">
        <f aca="false">IF(ISNUMBER(H38),ROUND(H38*IF(I38="",1,I38),2),"")</f>
        <v/>
      </c>
      <c r="K38" s="35"/>
      <c r="L38" s="22" t="str">
        <f aca="false">IF(A38="","",IF(A38&lt;DATE(2025,4,6),"2024/25",IF(A38&lt;DATE(2026,4,6),"2025/26",IF(A38&lt;DATE(2027,4,6),"2026/27","2027/28"))))</f>
        <v/>
      </c>
      <c r="N38" s="13"/>
    </row>
    <row r="39" customFormat="false" ht="15" hidden="false" customHeight="false" outlineLevel="0" collapsed="false">
      <c r="A39" s="31"/>
      <c r="B39" s="13"/>
      <c r="C39" s="13"/>
      <c r="D39" s="32"/>
      <c r="E39" s="32"/>
      <c r="F39" s="14"/>
      <c r="G39" s="23"/>
      <c r="H39" s="16" t="str">
        <f aca="false">IF(F39="","",IF(G39&lt;&gt;"",G39,IF(E39="JPY",IF(ISNUMBER($L$1),ROUND(F39/$L$1,2),"レート未入力"),F39)))</f>
        <v/>
      </c>
      <c r="I39" s="33"/>
      <c r="J39" s="16" t="str">
        <f aca="false">IF(ISNUMBER(H39),ROUND(H39*IF(I39="",1,I39),2),"")</f>
        <v/>
      </c>
      <c r="K39" s="35"/>
      <c r="L39" s="22" t="str">
        <f aca="false">IF(A39="","",IF(A39&lt;DATE(2025,4,6),"2024/25",IF(A39&lt;DATE(2026,4,6),"2025/26",IF(A39&lt;DATE(2027,4,6),"2026/27","2027/28"))))</f>
        <v/>
      </c>
      <c r="N39" s="13"/>
    </row>
    <row r="40" customFormat="false" ht="15" hidden="false" customHeight="false" outlineLevel="0" collapsed="false">
      <c r="A40" s="31"/>
      <c r="B40" s="13"/>
      <c r="C40" s="13"/>
      <c r="D40" s="32"/>
      <c r="E40" s="32"/>
      <c r="F40" s="14"/>
      <c r="G40" s="23"/>
      <c r="H40" s="16" t="str">
        <f aca="false">IF(F40="","",IF(G40&lt;&gt;"",G40,IF(E40="JPY",IF(ISNUMBER($L$1),ROUND(F40/$L$1,2),"レート未入力"),F40)))</f>
        <v/>
      </c>
      <c r="I40" s="33"/>
      <c r="J40" s="16" t="str">
        <f aca="false">IF(ISNUMBER(H40),ROUND(H40*IF(I40="",1,I40),2),"")</f>
        <v/>
      </c>
      <c r="K40" s="35"/>
      <c r="L40" s="22" t="str">
        <f aca="false">IF(A40="","",IF(A40&lt;DATE(2025,4,6),"2024/25",IF(A40&lt;DATE(2026,4,6),"2025/26",IF(A40&lt;DATE(2027,4,6),"2026/27","2027/28"))))</f>
        <v/>
      </c>
      <c r="N40" s="13"/>
    </row>
    <row r="41" customFormat="false" ht="15" hidden="false" customHeight="false" outlineLevel="0" collapsed="false">
      <c r="A41" s="31"/>
      <c r="B41" s="13"/>
      <c r="C41" s="13"/>
      <c r="D41" s="32"/>
      <c r="E41" s="32"/>
      <c r="F41" s="14"/>
      <c r="G41" s="23"/>
      <c r="H41" s="16" t="str">
        <f aca="false">IF(F41="","",IF(G41&lt;&gt;"",G41,IF(E41="JPY",IF(ISNUMBER($L$1),ROUND(F41/$L$1,2),"レート未入力"),F41)))</f>
        <v/>
      </c>
      <c r="I41" s="33"/>
      <c r="J41" s="16" t="str">
        <f aca="false">IF(ISNUMBER(H41),ROUND(H41*IF(I41="",1,I41),2),"")</f>
        <v/>
      </c>
      <c r="K41" s="35"/>
      <c r="L41" s="22" t="str">
        <f aca="false">IF(A41="","",IF(A41&lt;DATE(2025,4,6),"2024/25",IF(A41&lt;DATE(2026,4,6),"2025/26",IF(A41&lt;DATE(2027,4,6),"2026/27","2027/28"))))</f>
        <v/>
      </c>
      <c r="N41" s="13"/>
    </row>
    <row r="42" customFormat="false" ht="15" hidden="false" customHeight="false" outlineLevel="0" collapsed="false">
      <c r="A42" s="31"/>
      <c r="B42" s="13"/>
      <c r="C42" s="13"/>
      <c r="D42" s="32"/>
      <c r="E42" s="32"/>
      <c r="F42" s="14"/>
      <c r="G42" s="23"/>
      <c r="H42" s="16" t="str">
        <f aca="false">IF(F42="","",IF(G42&lt;&gt;"",G42,IF(E42="JPY",IF(ISNUMBER($L$1),ROUND(F42/$L$1,2),"レート未入力"),F42)))</f>
        <v/>
      </c>
      <c r="I42" s="33"/>
      <c r="J42" s="16" t="str">
        <f aca="false">IF(ISNUMBER(H42),ROUND(H42*IF(I42="",1,I42),2),"")</f>
        <v/>
      </c>
      <c r="K42" s="35"/>
      <c r="L42" s="22" t="str">
        <f aca="false">IF(A42="","",IF(A42&lt;DATE(2025,4,6),"2024/25",IF(A42&lt;DATE(2026,4,6),"2025/26",IF(A42&lt;DATE(2027,4,6),"2026/27","2027/28"))))</f>
        <v/>
      </c>
      <c r="N42" s="13"/>
    </row>
    <row r="43" customFormat="false" ht="15" hidden="false" customHeight="false" outlineLevel="0" collapsed="false">
      <c r="A43" s="31"/>
      <c r="B43" s="13"/>
      <c r="C43" s="13"/>
      <c r="D43" s="32"/>
      <c r="E43" s="32"/>
      <c r="F43" s="14"/>
      <c r="G43" s="23"/>
      <c r="H43" s="16" t="str">
        <f aca="false">IF(F43="","",IF(G43&lt;&gt;"",G43,IF(E43="JPY",IF(ISNUMBER($L$1),ROUND(F43/$L$1,2),"レート未入力"),F43)))</f>
        <v/>
      </c>
      <c r="I43" s="33"/>
      <c r="J43" s="16" t="str">
        <f aca="false">IF(ISNUMBER(H43),ROUND(H43*IF(I43="",1,I43),2),"")</f>
        <v/>
      </c>
      <c r="K43" s="35"/>
      <c r="L43" s="22" t="str">
        <f aca="false">IF(A43="","",IF(A43&lt;DATE(2025,4,6),"2024/25",IF(A43&lt;DATE(2026,4,6),"2025/26",IF(A43&lt;DATE(2027,4,6),"2026/27","2027/28"))))</f>
        <v/>
      </c>
      <c r="N43" s="13"/>
    </row>
    <row r="44" customFormat="false" ht="15" hidden="false" customHeight="false" outlineLevel="0" collapsed="false">
      <c r="A44" s="31"/>
      <c r="B44" s="13"/>
      <c r="C44" s="13"/>
      <c r="D44" s="32"/>
      <c r="E44" s="32"/>
      <c r="F44" s="14"/>
      <c r="G44" s="23"/>
      <c r="H44" s="16" t="str">
        <f aca="false">IF(F44="","",IF(G44&lt;&gt;"",G44,IF(E44="JPY",IF(ISNUMBER($L$1),ROUND(F44/$L$1,2),"レート未入力"),F44)))</f>
        <v/>
      </c>
      <c r="I44" s="33"/>
      <c r="J44" s="16" t="str">
        <f aca="false">IF(ISNUMBER(H44),ROUND(H44*IF(I44="",1,I44),2),"")</f>
        <v/>
      </c>
      <c r="K44" s="35"/>
      <c r="L44" s="22" t="str">
        <f aca="false">IF(A44="","",IF(A44&lt;DATE(2025,4,6),"2024/25",IF(A44&lt;DATE(2026,4,6),"2025/26",IF(A44&lt;DATE(2027,4,6),"2026/27","2027/28"))))</f>
        <v/>
      </c>
      <c r="N44" s="13"/>
    </row>
    <row r="45" customFormat="false" ht="15" hidden="false" customHeight="false" outlineLevel="0" collapsed="false">
      <c r="A45" s="31"/>
      <c r="B45" s="13"/>
      <c r="C45" s="13"/>
      <c r="D45" s="32"/>
      <c r="E45" s="32"/>
      <c r="F45" s="14"/>
      <c r="G45" s="23"/>
      <c r="H45" s="16" t="str">
        <f aca="false">IF(F45="","",IF(G45&lt;&gt;"",G45,IF(E45="JPY",IF(ISNUMBER($L$1),ROUND(F45/$L$1,2),"レート未入力"),F45)))</f>
        <v/>
      </c>
      <c r="I45" s="33"/>
      <c r="J45" s="16" t="str">
        <f aca="false">IF(ISNUMBER(H45),ROUND(H45*IF(I45="",1,I45),2),"")</f>
        <v/>
      </c>
      <c r="K45" s="35"/>
      <c r="L45" s="22" t="str">
        <f aca="false">IF(A45="","",IF(A45&lt;DATE(2025,4,6),"2024/25",IF(A45&lt;DATE(2026,4,6),"2025/26",IF(A45&lt;DATE(2027,4,6),"2026/27","2027/28"))))</f>
        <v/>
      </c>
      <c r="N45" s="13"/>
    </row>
    <row r="46" customFormat="false" ht="15" hidden="false" customHeight="false" outlineLevel="0" collapsed="false">
      <c r="A46" s="31"/>
      <c r="B46" s="13"/>
      <c r="C46" s="13"/>
      <c r="D46" s="32"/>
      <c r="E46" s="32"/>
      <c r="F46" s="14"/>
      <c r="G46" s="23"/>
      <c r="H46" s="16" t="str">
        <f aca="false">IF(F46="","",IF(G46&lt;&gt;"",G46,IF(E46="JPY",IF(ISNUMBER($L$1),ROUND(F46/$L$1,2),"レート未入力"),F46)))</f>
        <v/>
      </c>
      <c r="I46" s="33"/>
      <c r="J46" s="16" t="str">
        <f aca="false">IF(ISNUMBER(H46),ROUND(H46*IF(I46="",1,I46),2),"")</f>
        <v/>
      </c>
      <c r="K46" s="35"/>
      <c r="L46" s="22" t="str">
        <f aca="false">IF(A46="","",IF(A46&lt;DATE(2025,4,6),"2024/25",IF(A46&lt;DATE(2026,4,6),"2025/26",IF(A46&lt;DATE(2027,4,6),"2026/27","2027/28"))))</f>
        <v/>
      </c>
      <c r="N46" s="13"/>
    </row>
    <row r="47" customFormat="false" ht="15" hidden="false" customHeight="false" outlineLevel="0" collapsed="false">
      <c r="A47" s="31"/>
      <c r="B47" s="13"/>
      <c r="C47" s="13"/>
      <c r="D47" s="32"/>
      <c r="E47" s="32"/>
      <c r="F47" s="14"/>
      <c r="G47" s="23"/>
      <c r="H47" s="16" t="str">
        <f aca="false">IF(F47="","",IF(G47&lt;&gt;"",G47,IF(E47="JPY",IF(ISNUMBER($L$1),ROUND(F47/$L$1,2),"レート未入力"),F47)))</f>
        <v/>
      </c>
      <c r="I47" s="33"/>
      <c r="J47" s="16" t="str">
        <f aca="false">IF(ISNUMBER(H47),ROUND(H47*IF(I47="",1,I47),2),"")</f>
        <v/>
      </c>
      <c r="K47" s="35"/>
      <c r="L47" s="22" t="str">
        <f aca="false">IF(A47="","",IF(A47&lt;DATE(2025,4,6),"2024/25",IF(A47&lt;DATE(2026,4,6),"2025/26",IF(A47&lt;DATE(2027,4,6),"2026/27","2027/28"))))</f>
        <v/>
      </c>
      <c r="N47" s="13"/>
    </row>
    <row r="48" customFormat="false" ht="15" hidden="false" customHeight="false" outlineLevel="0" collapsed="false">
      <c r="A48" s="31"/>
      <c r="B48" s="13"/>
      <c r="C48" s="13"/>
      <c r="D48" s="32"/>
      <c r="E48" s="32"/>
      <c r="F48" s="14"/>
      <c r="G48" s="23"/>
      <c r="H48" s="16" t="str">
        <f aca="false">IF(F48="","",IF(G48&lt;&gt;"",G48,IF(E48="JPY",IF(ISNUMBER($L$1),ROUND(F48/$L$1,2),"レート未入力"),F48)))</f>
        <v/>
      </c>
      <c r="I48" s="33"/>
      <c r="J48" s="16" t="str">
        <f aca="false">IF(ISNUMBER(H48),ROUND(H48*IF(I48="",1,I48),2),"")</f>
        <v/>
      </c>
      <c r="K48" s="35"/>
      <c r="L48" s="22" t="str">
        <f aca="false">IF(A48="","",IF(A48&lt;DATE(2025,4,6),"2024/25",IF(A48&lt;DATE(2026,4,6),"2025/26",IF(A48&lt;DATE(2027,4,6),"2026/27","2027/28"))))</f>
        <v/>
      </c>
      <c r="N48" s="13"/>
    </row>
    <row r="49" customFormat="false" ht="15" hidden="false" customHeight="false" outlineLevel="0" collapsed="false">
      <c r="A49" s="31"/>
      <c r="B49" s="13"/>
      <c r="C49" s="13"/>
      <c r="D49" s="32"/>
      <c r="E49" s="32"/>
      <c r="F49" s="14"/>
      <c r="G49" s="23"/>
      <c r="H49" s="16" t="str">
        <f aca="false">IF(F49="","",IF(G49&lt;&gt;"",G49,IF(E49="JPY",IF(ISNUMBER($L$1),ROUND(F49/$L$1,2),"レート未入力"),F49)))</f>
        <v/>
      </c>
      <c r="I49" s="33"/>
      <c r="J49" s="16" t="str">
        <f aca="false">IF(ISNUMBER(H49),ROUND(H49*IF(I49="",1,I49),2),"")</f>
        <v/>
      </c>
      <c r="K49" s="35"/>
      <c r="L49" s="22" t="str">
        <f aca="false">IF(A49="","",IF(A49&lt;DATE(2025,4,6),"2024/25",IF(A49&lt;DATE(2026,4,6),"2025/26",IF(A49&lt;DATE(2027,4,6),"2026/27","2027/28"))))</f>
        <v/>
      </c>
      <c r="N49" s="13"/>
    </row>
    <row r="50" customFormat="false" ht="15" hidden="false" customHeight="false" outlineLevel="0" collapsed="false">
      <c r="A50" s="31"/>
      <c r="B50" s="13"/>
      <c r="C50" s="13"/>
      <c r="D50" s="32"/>
      <c r="E50" s="32"/>
      <c r="F50" s="14"/>
      <c r="G50" s="23"/>
      <c r="H50" s="16" t="str">
        <f aca="false">IF(F50="","",IF(G50&lt;&gt;"",G50,IF(E50="JPY",IF(ISNUMBER($L$1),ROUND(F50/$L$1,2),"レート未入力"),F50)))</f>
        <v/>
      </c>
      <c r="I50" s="33"/>
      <c r="J50" s="16" t="str">
        <f aca="false">IF(ISNUMBER(H50),ROUND(H50*IF(I50="",1,I50),2),"")</f>
        <v/>
      </c>
      <c r="K50" s="35"/>
      <c r="L50" s="22" t="str">
        <f aca="false">IF(A50="","",IF(A50&lt;DATE(2025,4,6),"2024/25",IF(A50&lt;DATE(2026,4,6),"2025/26",IF(A50&lt;DATE(2027,4,6),"2026/27","2027/28"))))</f>
        <v/>
      </c>
      <c r="N50" s="13"/>
    </row>
    <row r="51" customFormat="false" ht="15" hidden="false" customHeight="false" outlineLevel="0" collapsed="false">
      <c r="A51" s="31"/>
      <c r="B51" s="13"/>
      <c r="C51" s="13"/>
      <c r="D51" s="32"/>
      <c r="E51" s="32"/>
      <c r="F51" s="14"/>
      <c r="G51" s="23"/>
      <c r="H51" s="16" t="str">
        <f aca="false">IF(F51="","",IF(G51&lt;&gt;"",G51,IF(E51="JPY",IF(ISNUMBER($L$1),ROUND(F51/$L$1,2),"レート未入力"),F51)))</f>
        <v/>
      </c>
      <c r="I51" s="33"/>
      <c r="J51" s="16" t="str">
        <f aca="false">IF(ISNUMBER(H51),ROUND(H51*IF(I51="",1,I51),2),"")</f>
        <v/>
      </c>
      <c r="K51" s="35"/>
      <c r="L51" s="22" t="str">
        <f aca="false">IF(A51="","",IF(A51&lt;DATE(2025,4,6),"2024/25",IF(A51&lt;DATE(2026,4,6),"2025/26",IF(A51&lt;DATE(2027,4,6),"2026/27","2027/28"))))</f>
        <v/>
      </c>
      <c r="N51" s="13"/>
    </row>
    <row r="52" customFormat="false" ht="15" hidden="false" customHeight="false" outlineLevel="0" collapsed="false">
      <c r="A52" s="31"/>
      <c r="B52" s="13"/>
      <c r="C52" s="13"/>
      <c r="D52" s="32"/>
      <c r="E52" s="32"/>
      <c r="F52" s="14"/>
      <c r="G52" s="23"/>
      <c r="H52" s="16" t="str">
        <f aca="false">IF(F52="","",IF(G52&lt;&gt;"",G52,IF(E52="JPY",IF(ISNUMBER($L$1),ROUND(F52/$L$1,2),"レート未入力"),F52)))</f>
        <v/>
      </c>
      <c r="I52" s="33"/>
      <c r="J52" s="16" t="str">
        <f aca="false">IF(ISNUMBER(H52),ROUND(H52*IF(I52="",1,I52),2),"")</f>
        <v/>
      </c>
      <c r="K52" s="35"/>
      <c r="L52" s="22" t="str">
        <f aca="false">IF(A52="","",IF(A52&lt;DATE(2025,4,6),"2024/25",IF(A52&lt;DATE(2026,4,6),"2025/26",IF(A52&lt;DATE(2027,4,6),"2026/27","2027/28"))))</f>
        <v/>
      </c>
      <c r="N52" s="13"/>
    </row>
    <row r="53" customFormat="false" ht="15" hidden="false" customHeight="false" outlineLevel="0" collapsed="false">
      <c r="A53" s="31"/>
      <c r="B53" s="13"/>
      <c r="C53" s="13"/>
      <c r="D53" s="32"/>
      <c r="E53" s="32"/>
      <c r="F53" s="14"/>
      <c r="G53" s="23"/>
      <c r="H53" s="16" t="str">
        <f aca="false">IF(F53="","",IF(G53&lt;&gt;"",G53,IF(E53="JPY",IF(ISNUMBER($L$1),ROUND(F53/$L$1,2),"レート未入力"),F53)))</f>
        <v/>
      </c>
      <c r="I53" s="33"/>
      <c r="J53" s="16" t="str">
        <f aca="false">IF(ISNUMBER(H53),ROUND(H53*IF(I53="",1,I53),2),"")</f>
        <v/>
      </c>
      <c r="K53" s="35"/>
      <c r="L53" s="22" t="str">
        <f aca="false">IF(A53="","",IF(A53&lt;DATE(2025,4,6),"2024/25",IF(A53&lt;DATE(2026,4,6),"2025/26",IF(A53&lt;DATE(2027,4,6),"2026/27","2027/28"))))</f>
        <v/>
      </c>
      <c r="N53" s="13"/>
    </row>
    <row r="54" customFormat="false" ht="15" hidden="false" customHeight="false" outlineLevel="0" collapsed="false">
      <c r="A54" s="31"/>
      <c r="B54" s="13"/>
      <c r="C54" s="13"/>
      <c r="D54" s="32"/>
      <c r="E54" s="32"/>
      <c r="F54" s="14"/>
      <c r="G54" s="23"/>
      <c r="H54" s="16" t="str">
        <f aca="false">IF(F54="","",IF(G54&lt;&gt;"",G54,IF(E54="JPY",IF(ISNUMBER($L$1),ROUND(F54/$L$1,2),"レート未入力"),F54)))</f>
        <v/>
      </c>
      <c r="I54" s="33"/>
      <c r="J54" s="16" t="str">
        <f aca="false">IF(ISNUMBER(H54),ROUND(H54*IF(I54="",1,I54),2),"")</f>
        <v/>
      </c>
      <c r="K54" s="35"/>
      <c r="L54" s="22" t="str">
        <f aca="false">IF(A54="","",IF(A54&lt;DATE(2025,4,6),"2024/25",IF(A54&lt;DATE(2026,4,6),"2025/26",IF(A54&lt;DATE(2027,4,6),"2026/27","2027/28"))))</f>
        <v/>
      </c>
      <c r="N54" s="13"/>
    </row>
    <row r="55" customFormat="false" ht="15" hidden="false" customHeight="false" outlineLevel="0" collapsed="false">
      <c r="A55" s="31"/>
      <c r="B55" s="13"/>
      <c r="C55" s="13"/>
      <c r="D55" s="32"/>
      <c r="E55" s="32"/>
      <c r="F55" s="14"/>
      <c r="G55" s="23"/>
      <c r="H55" s="16" t="str">
        <f aca="false">IF(F55="","",IF(G55&lt;&gt;"",G55,IF(E55="JPY",IF(ISNUMBER($L$1),ROUND(F55/$L$1,2),"レート未入力"),F55)))</f>
        <v/>
      </c>
      <c r="I55" s="33"/>
      <c r="J55" s="16" t="str">
        <f aca="false">IF(ISNUMBER(H55),ROUND(H55*IF(I55="",1,I55),2),"")</f>
        <v/>
      </c>
      <c r="K55" s="35"/>
      <c r="L55" s="22" t="str">
        <f aca="false">IF(A55="","",IF(A55&lt;DATE(2025,4,6),"2024/25",IF(A55&lt;DATE(2026,4,6),"2025/26",IF(A55&lt;DATE(2027,4,6),"2026/27","2027/28"))))</f>
        <v/>
      </c>
      <c r="N55" s="13"/>
    </row>
    <row r="56" customFormat="false" ht="15" hidden="false" customHeight="false" outlineLevel="0" collapsed="false">
      <c r="A56" s="31"/>
      <c r="B56" s="13"/>
      <c r="C56" s="13"/>
      <c r="D56" s="32"/>
      <c r="E56" s="32"/>
      <c r="F56" s="14"/>
      <c r="G56" s="23"/>
      <c r="H56" s="16" t="str">
        <f aca="false">IF(F56="","",IF(G56&lt;&gt;"",G56,IF(E56="JPY",IF(ISNUMBER($L$1),ROUND(F56/$L$1,2),"レート未入力"),F56)))</f>
        <v/>
      </c>
      <c r="I56" s="33"/>
      <c r="J56" s="16" t="str">
        <f aca="false">IF(ISNUMBER(H56),ROUND(H56*IF(I56="",1,I56),2),"")</f>
        <v/>
      </c>
      <c r="K56" s="35"/>
      <c r="L56" s="22" t="str">
        <f aca="false">IF(A56="","",IF(A56&lt;DATE(2025,4,6),"2024/25",IF(A56&lt;DATE(2026,4,6),"2025/26",IF(A56&lt;DATE(2027,4,6),"2026/27","2027/28"))))</f>
        <v/>
      </c>
      <c r="N56" s="13"/>
    </row>
    <row r="57" customFormat="false" ht="15" hidden="false" customHeight="false" outlineLevel="0" collapsed="false">
      <c r="A57" s="31"/>
      <c r="B57" s="13"/>
      <c r="C57" s="13"/>
      <c r="D57" s="32"/>
      <c r="E57" s="32"/>
      <c r="F57" s="14"/>
      <c r="G57" s="23"/>
      <c r="H57" s="16" t="str">
        <f aca="false">IF(F57="","",IF(G57&lt;&gt;"",G57,IF(E57="JPY",IF(ISNUMBER($L$1),ROUND(F57/$L$1,2),"レート未入力"),F57)))</f>
        <v/>
      </c>
      <c r="I57" s="33"/>
      <c r="J57" s="16" t="str">
        <f aca="false">IF(ISNUMBER(H57),ROUND(H57*IF(I57="",1,I57),2),"")</f>
        <v/>
      </c>
      <c r="K57" s="35"/>
      <c r="L57" s="22" t="str">
        <f aca="false">IF(A57="","",IF(A57&lt;DATE(2025,4,6),"2024/25",IF(A57&lt;DATE(2026,4,6),"2025/26",IF(A57&lt;DATE(2027,4,6),"2026/27","2027/28"))))</f>
        <v/>
      </c>
      <c r="N57" s="13"/>
    </row>
    <row r="58" customFormat="false" ht="15" hidden="false" customHeight="false" outlineLevel="0" collapsed="false">
      <c r="A58" s="31"/>
      <c r="B58" s="13"/>
      <c r="C58" s="13"/>
      <c r="D58" s="32"/>
      <c r="E58" s="32"/>
      <c r="F58" s="14"/>
      <c r="G58" s="23"/>
      <c r="H58" s="16" t="str">
        <f aca="false">IF(F58="","",IF(G58&lt;&gt;"",G58,IF(E58="JPY",IF(ISNUMBER($L$1),ROUND(F58/$L$1,2),"レート未入力"),F58)))</f>
        <v/>
      </c>
      <c r="I58" s="33"/>
      <c r="J58" s="16" t="str">
        <f aca="false">IF(ISNUMBER(H58),ROUND(H58*IF(I58="",1,I58),2),"")</f>
        <v/>
      </c>
      <c r="K58" s="35"/>
      <c r="L58" s="22" t="str">
        <f aca="false">IF(A58="","",IF(A58&lt;DATE(2025,4,6),"2024/25",IF(A58&lt;DATE(2026,4,6),"2025/26",IF(A58&lt;DATE(2027,4,6),"2026/27","2027/28"))))</f>
        <v/>
      </c>
      <c r="N58" s="13"/>
    </row>
    <row r="59" customFormat="false" ht="15" hidden="false" customHeight="false" outlineLevel="0" collapsed="false">
      <c r="A59" s="31"/>
      <c r="B59" s="13"/>
      <c r="C59" s="13"/>
      <c r="D59" s="32"/>
      <c r="E59" s="32"/>
      <c r="F59" s="14"/>
      <c r="G59" s="23"/>
      <c r="H59" s="16" t="str">
        <f aca="false">IF(F59="","",IF(G59&lt;&gt;"",G59,IF(E59="JPY",IF(ISNUMBER($L$1),ROUND(F59/$L$1,2),"レート未入力"),F59)))</f>
        <v/>
      </c>
      <c r="I59" s="33"/>
      <c r="J59" s="16" t="str">
        <f aca="false">IF(ISNUMBER(H59),ROUND(H59*IF(I59="",1,I59),2),"")</f>
        <v/>
      </c>
      <c r="K59" s="35"/>
      <c r="L59" s="22" t="str">
        <f aca="false">IF(A59="","",IF(A59&lt;DATE(2025,4,6),"2024/25",IF(A59&lt;DATE(2026,4,6),"2025/26",IF(A59&lt;DATE(2027,4,6),"2026/27","2027/28"))))</f>
        <v/>
      </c>
      <c r="N59" s="13"/>
    </row>
    <row r="60" customFormat="false" ht="15" hidden="false" customHeight="false" outlineLevel="0" collapsed="false">
      <c r="A60" s="31"/>
      <c r="B60" s="13"/>
      <c r="C60" s="13"/>
      <c r="D60" s="32"/>
      <c r="E60" s="32"/>
      <c r="F60" s="14"/>
      <c r="G60" s="23"/>
      <c r="H60" s="16" t="str">
        <f aca="false">IF(F60="","",IF(G60&lt;&gt;"",G60,IF(E60="JPY",IF(ISNUMBER($L$1),ROUND(F60/$L$1,2),"レート未入力"),F60)))</f>
        <v/>
      </c>
      <c r="I60" s="33"/>
      <c r="J60" s="16" t="str">
        <f aca="false">IF(ISNUMBER(H60),ROUND(H60*IF(I60="",1,I60),2),"")</f>
        <v/>
      </c>
      <c r="K60" s="35"/>
      <c r="L60" s="22" t="str">
        <f aca="false">IF(A60="","",IF(A60&lt;DATE(2025,4,6),"2024/25",IF(A60&lt;DATE(2026,4,6),"2025/26",IF(A60&lt;DATE(2027,4,6),"2026/27","2027/28"))))</f>
        <v/>
      </c>
      <c r="N60" s="13"/>
    </row>
    <row r="61" customFormat="false" ht="15" hidden="false" customHeight="false" outlineLevel="0" collapsed="false">
      <c r="A61" s="31"/>
      <c r="B61" s="13"/>
      <c r="C61" s="13"/>
      <c r="D61" s="32"/>
      <c r="E61" s="32"/>
      <c r="F61" s="14"/>
      <c r="G61" s="23"/>
      <c r="H61" s="16" t="str">
        <f aca="false">IF(F61="","",IF(G61&lt;&gt;"",G61,IF(E61="JPY",IF(ISNUMBER($L$1),ROUND(F61/$L$1,2),"レート未入力"),F61)))</f>
        <v/>
      </c>
      <c r="I61" s="33"/>
      <c r="J61" s="16" t="str">
        <f aca="false">IF(ISNUMBER(H61),ROUND(H61*IF(I61="",1,I61),2),"")</f>
        <v/>
      </c>
      <c r="K61" s="35"/>
      <c r="L61" s="22" t="str">
        <f aca="false">IF(A61="","",IF(A61&lt;DATE(2025,4,6),"2024/25",IF(A61&lt;DATE(2026,4,6),"2025/26",IF(A61&lt;DATE(2027,4,6),"2026/27","2027/28"))))</f>
        <v/>
      </c>
      <c r="N61" s="13"/>
    </row>
    <row r="62" customFormat="false" ht="15" hidden="false" customHeight="false" outlineLevel="0" collapsed="false">
      <c r="A62" s="31"/>
      <c r="B62" s="13"/>
      <c r="C62" s="13"/>
      <c r="D62" s="32"/>
      <c r="E62" s="32"/>
      <c r="F62" s="14"/>
      <c r="G62" s="23"/>
      <c r="H62" s="16" t="str">
        <f aca="false">IF(F62="","",IF(G62&lt;&gt;"",G62,IF(E62="JPY",IF(ISNUMBER($L$1),ROUND(F62/$L$1,2),"レート未入力"),F62)))</f>
        <v/>
      </c>
      <c r="I62" s="33"/>
      <c r="J62" s="16" t="str">
        <f aca="false">IF(ISNUMBER(H62),ROUND(H62*IF(I62="",1,I62),2),"")</f>
        <v/>
      </c>
      <c r="K62" s="35"/>
      <c r="L62" s="22" t="str">
        <f aca="false">IF(A62="","",IF(A62&lt;DATE(2025,4,6),"2024/25",IF(A62&lt;DATE(2026,4,6),"2025/26",IF(A62&lt;DATE(2027,4,6),"2026/27","2027/28"))))</f>
        <v/>
      </c>
      <c r="N62" s="13"/>
    </row>
    <row r="63" customFormat="false" ht="15" hidden="false" customHeight="false" outlineLevel="0" collapsed="false">
      <c r="A63" s="31"/>
      <c r="B63" s="13"/>
      <c r="C63" s="13"/>
      <c r="D63" s="32"/>
      <c r="E63" s="32"/>
      <c r="F63" s="14"/>
      <c r="G63" s="23"/>
      <c r="H63" s="16" t="str">
        <f aca="false">IF(F63="","",IF(G63&lt;&gt;"",G63,IF(E63="JPY",IF(ISNUMBER($L$1),ROUND(F63/$L$1,2),"レート未入力"),F63)))</f>
        <v/>
      </c>
      <c r="I63" s="33"/>
      <c r="J63" s="16" t="str">
        <f aca="false">IF(ISNUMBER(H63),ROUND(H63*IF(I63="",1,I63),2),"")</f>
        <v/>
      </c>
      <c r="K63" s="35"/>
      <c r="L63" s="22" t="str">
        <f aca="false">IF(A63="","",IF(A63&lt;DATE(2025,4,6),"2024/25",IF(A63&lt;DATE(2026,4,6),"2025/26",IF(A63&lt;DATE(2027,4,6),"2026/27","2027/28"))))</f>
        <v/>
      </c>
      <c r="N63" s="13"/>
    </row>
    <row r="64" customFormat="false" ht="15" hidden="false" customHeight="false" outlineLevel="0" collapsed="false">
      <c r="A64" s="31"/>
      <c r="B64" s="13"/>
      <c r="C64" s="13"/>
      <c r="D64" s="32"/>
      <c r="E64" s="32"/>
      <c r="F64" s="14"/>
      <c r="G64" s="23"/>
      <c r="H64" s="16" t="str">
        <f aca="false">IF(F64="","",IF(G64&lt;&gt;"",G64,IF(E64="JPY",IF(ISNUMBER($L$1),ROUND(F64/$L$1,2),"レート未入力"),F64)))</f>
        <v/>
      </c>
      <c r="I64" s="33"/>
      <c r="J64" s="16" t="str">
        <f aca="false">IF(ISNUMBER(H64),ROUND(H64*IF(I64="",1,I64),2),"")</f>
        <v/>
      </c>
      <c r="K64" s="35"/>
      <c r="L64" s="22" t="str">
        <f aca="false">IF(A64="","",IF(A64&lt;DATE(2025,4,6),"2024/25",IF(A64&lt;DATE(2026,4,6),"2025/26",IF(A64&lt;DATE(2027,4,6),"2026/27","2027/28"))))</f>
        <v/>
      </c>
      <c r="N64" s="13"/>
    </row>
    <row r="65" customFormat="false" ht="15" hidden="false" customHeight="false" outlineLevel="0" collapsed="false">
      <c r="A65" s="31"/>
      <c r="B65" s="13"/>
      <c r="C65" s="13"/>
      <c r="D65" s="32"/>
      <c r="E65" s="32"/>
      <c r="F65" s="14"/>
      <c r="G65" s="23"/>
      <c r="H65" s="16" t="str">
        <f aca="false">IF(F65="","",IF(G65&lt;&gt;"",G65,IF(E65="JPY",IF(ISNUMBER($L$1),ROUND(F65/$L$1,2),"レート未入力"),F65)))</f>
        <v/>
      </c>
      <c r="I65" s="33"/>
      <c r="J65" s="16" t="str">
        <f aca="false">IF(ISNUMBER(H65),ROUND(H65*IF(I65="",1,I65),2),"")</f>
        <v/>
      </c>
      <c r="K65" s="35"/>
      <c r="L65" s="22" t="str">
        <f aca="false">IF(A65="","",IF(A65&lt;DATE(2025,4,6),"2024/25",IF(A65&lt;DATE(2026,4,6),"2025/26",IF(A65&lt;DATE(2027,4,6),"2026/27","2027/28"))))</f>
        <v/>
      </c>
      <c r="N65" s="13"/>
    </row>
    <row r="66" customFormat="false" ht="15" hidden="false" customHeight="false" outlineLevel="0" collapsed="false">
      <c r="A66" s="31"/>
      <c r="B66" s="13"/>
      <c r="C66" s="13"/>
      <c r="D66" s="32"/>
      <c r="E66" s="32"/>
      <c r="F66" s="14"/>
      <c r="G66" s="23"/>
      <c r="H66" s="16" t="str">
        <f aca="false">IF(F66="","",IF(G66&lt;&gt;"",G66,IF(E66="JPY",IF(ISNUMBER($L$1),ROUND(F66/$L$1,2),"レート未入力"),F66)))</f>
        <v/>
      </c>
      <c r="I66" s="33"/>
      <c r="J66" s="16" t="str">
        <f aca="false">IF(ISNUMBER(H66),ROUND(H66*IF(I66="",1,I66),2),"")</f>
        <v/>
      </c>
      <c r="K66" s="35"/>
      <c r="L66" s="22" t="str">
        <f aca="false">IF(A66="","",IF(A66&lt;DATE(2025,4,6),"2024/25",IF(A66&lt;DATE(2026,4,6),"2025/26",IF(A66&lt;DATE(2027,4,6),"2026/27","2027/28"))))</f>
        <v/>
      </c>
      <c r="N66" s="13"/>
    </row>
    <row r="67" customFormat="false" ht="15" hidden="false" customHeight="false" outlineLevel="0" collapsed="false">
      <c r="A67" s="31"/>
      <c r="B67" s="13"/>
      <c r="C67" s="13"/>
      <c r="D67" s="32"/>
      <c r="E67" s="32"/>
      <c r="F67" s="14"/>
      <c r="G67" s="23"/>
      <c r="H67" s="16" t="str">
        <f aca="false">IF(F67="","",IF(G67&lt;&gt;"",G67,IF(E67="JPY",IF(ISNUMBER($L$1),ROUND(F67/$L$1,2),"レート未入力"),F67)))</f>
        <v/>
      </c>
      <c r="I67" s="33"/>
      <c r="J67" s="16" t="str">
        <f aca="false">IF(ISNUMBER(H67),ROUND(H67*IF(I67="",1,I67),2),"")</f>
        <v/>
      </c>
      <c r="K67" s="35"/>
      <c r="L67" s="22" t="str">
        <f aca="false">IF(A67="","",IF(A67&lt;DATE(2025,4,6),"2024/25",IF(A67&lt;DATE(2026,4,6),"2025/26",IF(A67&lt;DATE(2027,4,6),"2026/27","2027/28"))))</f>
        <v/>
      </c>
      <c r="N67" s="13"/>
    </row>
    <row r="68" customFormat="false" ht="15" hidden="false" customHeight="false" outlineLevel="0" collapsed="false">
      <c r="A68" s="31"/>
      <c r="B68" s="13"/>
      <c r="C68" s="13"/>
      <c r="D68" s="32"/>
      <c r="E68" s="32"/>
      <c r="F68" s="14"/>
      <c r="G68" s="23"/>
      <c r="H68" s="16" t="str">
        <f aca="false">IF(F68="","",IF(G68&lt;&gt;"",G68,IF(E68="JPY",IF(ISNUMBER($L$1),ROUND(F68/$L$1,2),"レート未入力"),F68)))</f>
        <v/>
      </c>
      <c r="I68" s="33"/>
      <c r="J68" s="16" t="str">
        <f aca="false">IF(ISNUMBER(H68),ROUND(H68*IF(I68="",1,I68),2),"")</f>
        <v/>
      </c>
      <c r="K68" s="35"/>
      <c r="L68" s="22" t="str">
        <f aca="false">IF(A68="","",IF(A68&lt;DATE(2025,4,6),"2024/25",IF(A68&lt;DATE(2026,4,6),"2025/26",IF(A68&lt;DATE(2027,4,6),"2026/27","2027/28"))))</f>
        <v/>
      </c>
      <c r="N68" s="13"/>
    </row>
    <row r="69" customFormat="false" ht="15" hidden="false" customHeight="false" outlineLevel="0" collapsed="false">
      <c r="A69" s="31"/>
      <c r="B69" s="13"/>
      <c r="C69" s="13"/>
      <c r="D69" s="32"/>
      <c r="E69" s="32"/>
      <c r="F69" s="14"/>
      <c r="G69" s="23"/>
      <c r="H69" s="16" t="str">
        <f aca="false">IF(F69="","",IF(G69&lt;&gt;"",G69,IF(E69="JPY",IF(ISNUMBER($L$1),ROUND(F69/$L$1,2),"レート未入力"),F69)))</f>
        <v/>
      </c>
      <c r="I69" s="33"/>
      <c r="J69" s="16" t="str">
        <f aca="false">IF(ISNUMBER(H69),ROUND(H69*IF(I69="",1,I69),2),"")</f>
        <v/>
      </c>
      <c r="K69" s="35"/>
      <c r="L69" s="22" t="str">
        <f aca="false">IF(A69="","",IF(A69&lt;DATE(2025,4,6),"2024/25",IF(A69&lt;DATE(2026,4,6),"2025/26",IF(A69&lt;DATE(2027,4,6),"2026/27","2027/28"))))</f>
        <v/>
      </c>
      <c r="N69" s="13"/>
    </row>
    <row r="70" customFormat="false" ht="15" hidden="false" customHeight="false" outlineLevel="0" collapsed="false">
      <c r="A70" s="3" t="s">
        <v>196</v>
      </c>
      <c r="J70" s="18" t="n">
        <f aca="false">SUM(J30:J69)</f>
        <v>0</v>
      </c>
    </row>
    <row r="72" customFormat="false" ht="15" hidden="false" customHeight="false" outlineLevel="0" collapsed="false">
      <c r="A72" s="26" t="s">
        <v>197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customFormat="false" ht="15" hidden="false" customHeight="false" outlineLevel="0" collapsed="false">
      <c r="A73" s="17" t="s">
        <v>137</v>
      </c>
      <c r="D73" s="36" t="s">
        <v>16</v>
      </c>
      <c r="E73" s="36" t="s">
        <v>18</v>
      </c>
      <c r="F73" s="36"/>
    </row>
    <row r="74" customFormat="false" ht="15" hidden="false" customHeight="false" outlineLevel="0" collapsed="false">
      <c r="A74" s="17" t="s">
        <v>183</v>
      </c>
      <c r="D74" s="18" t="n">
        <f aca="false">SUMIFS($H$6:$H$25,$J$6:$J$25,"2025/26")</f>
        <v>0</v>
      </c>
      <c r="E74" s="18" t="n">
        <f aca="false">SUMIFS($H$6:$H$25,$J$6:$J$25,"2026/27")</f>
        <v>0</v>
      </c>
      <c r="F74" s="18"/>
    </row>
    <row r="75" customFormat="false" ht="15" hidden="false" customHeight="false" outlineLevel="0" collapsed="false">
      <c r="A75" s="21" t="s">
        <v>41</v>
      </c>
      <c r="D75" s="16" t="n">
        <f aca="false">SUMIFS($J$30:$J$69,$D$30:$D$69,$A75,$L$30:$L$69,"2025/26")</f>
        <v>0</v>
      </c>
      <c r="E75" s="16" t="n">
        <f aca="false">SUMIFS($J$30:$J$69,$D$30:$D$69,$A75,$L$30:$L$69,"2026/27")</f>
        <v>0</v>
      </c>
      <c r="F75" s="16"/>
    </row>
    <row r="76" customFormat="false" ht="15" hidden="false" customHeight="false" outlineLevel="0" collapsed="false">
      <c r="A76" s="21" t="s">
        <v>43</v>
      </c>
      <c r="D76" s="16" t="n">
        <f aca="false">SUMIFS($J$30:$J$69,$D$30:$D$69,$A76,$L$30:$L$69,"2025/26")</f>
        <v>0</v>
      </c>
      <c r="E76" s="16" t="n">
        <f aca="false">SUMIFS($J$30:$J$69,$D$30:$D$69,$A76,$L$30:$L$69,"2026/27")</f>
        <v>0</v>
      </c>
      <c r="F76" s="16"/>
    </row>
    <row r="77" customFormat="false" ht="15" hidden="false" customHeight="false" outlineLevel="0" collapsed="false">
      <c r="A77" s="21" t="s">
        <v>45</v>
      </c>
      <c r="D77" s="16" t="n">
        <f aca="false">SUMIFS($J$30:$J$69,$D$30:$D$69,$A77,$L$30:$L$69,"2025/26")</f>
        <v>0</v>
      </c>
      <c r="E77" s="16" t="n">
        <f aca="false">SUMIFS($J$30:$J$69,$D$30:$D$69,$A77,$L$30:$L$69,"2026/27")</f>
        <v>0</v>
      </c>
      <c r="F77" s="16"/>
    </row>
    <row r="78" customFormat="false" ht="15" hidden="false" customHeight="false" outlineLevel="0" collapsed="false">
      <c r="A78" s="21" t="s">
        <v>47</v>
      </c>
      <c r="D78" s="16" t="n">
        <f aca="false">SUMIFS($J$30:$J$69,$D$30:$D$69,$A78,$L$30:$L$69,"2025/26")</f>
        <v>0</v>
      </c>
      <c r="E78" s="16" t="n">
        <f aca="false">SUMIFS($J$30:$J$69,$D$30:$D$69,$A78,$L$30:$L$69,"2026/27")</f>
        <v>0</v>
      </c>
      <c r="F78" s="16"/>
    </row>
    <row r="79" customFormat="false" ht="15" hidden="false" customHeight="false" outlineLevel="0" collapsed="false">
      <c r="A79" s="21" t="s">
        <v>49</v>
      </c>
      <c r="D79" s="16" t="n">
        <f aca="false">SUMIFS($J$30:$J$69,$D$30:$D$69,$A79,$L$30:$L$69,"2025/26")</f>
        <v>0</v>
      </c>
      <c r="E79" s="16" t="n">
        <f aca="false">SUMIFS($J$30:$J$69,$D$30:$D$69,$A79,$L$30:$L$69,"2026/27")</f>
        <v>0</v>
      </c>
      <c r="F79" s="16"/>
    </row>
    <row r="80" customFormat="false" ht="15" hidden="false" customHeight="false" outlineLevel="0" collapsed="false">
      <c r="A80" s="21" t="s">
        <v>51</v>
      </c>
      <c r="D80" s="16" t="n">
        <f aca="false">SUMIFS($J$30:$J$69,$D$30:$D$69,$A80,$L$30:$L$69,"2025/26")</f>
        <v>0</v>
      </c>
      <c r="E80" s="16" t="n">
        <f aca="false">SUMIFS($J$30:$J$69,$D$30:$D$69,$A80,$L$30:$L$69,"2026/27")</f>
        <v>0</v>
      </c>
      <c r="F80" s="16"/>
    </row>
    <row r="81" customFormat="false" ht="15" hidden="false" customHeight="false" outlineLevel="0" collapsed="false">
      <c r="A81" s="21" t="s">
        <v>53</v>
      </c>
      <c r="D81" s="16" t="n">
        <f aca="false">SUMIFS($J$30:$J$69,$D$30:$D$69,$A81,$L$30:$L$69,"2025/26")</f>
        <v>0</v>
      </c>
      <c r="E81" s="16" t="n">
        <f aca="false">SUMIFS($J$30:$J$69,$D$30:$D$69,$A81,$L$30:$L$69,"2026/27")</f>
        <v>0</v>
      </c>
      <c r="F81" s="16"/>
    </row>
    <row r="82" customFormat="false" ht="15" hidden="false" customHeight="false" outlineLevel="0" collapsed="false">
      <c r="A82" s="21" t="s">
        <v>55</v>
      </c>
      <c r="D82" s="16" t="n">
        <f aca="false">SUMIFS($J$30:$J$69,$D$30:$D$69,$A82,$L$30:$L$69,"2025/26")</f>
        <v>0</v>
      </c>
      <c r="E82" s="16" t="n">
        <f aca="false">SUMIFS($J$30:$J$69,$D$30:$D$69,$A82,$L$30:$L$69,"2026/27")</f>
        <v>0</v>
      </c>
      <c r="F82" s="16"/>
    </row>
    <row r="83" customFormat="false" ht="15" hidden="false" customHeight="false" outlineLevel="0" collapsed="false">
      <c r="A83" s="21" t="s">
        <v>57</v>
      </c>
      <c r="D83" s="16" t="n">
        <f aca="false">SUMIFS($J$30:$J$69,$D$30:$D$69,$A83,$L$30:$L$69,"2025/26")</f>
        <v>0</v>
      </c>
      <c r="E83" s="16" t="n">
        <f aca="false">SUMIFS($J$30:$J$69,$D$30:$D$69,$A83,$L$30:$L$69,"2026/27")</f>
        <v>0</v>
      </c>
      <c r="F83" s="16"/>
    </row>
    <row r="84" customFormat="false" ht="15" hidden="false" customHeight="false" outlineLevel="0" collapsed="false">
      <c r="A84" s="21" t="s">
        <v>59</v>
      </c>
      <c r="D84" s="16" t="n">
        <f aca="false">SUMIFS($J$30:$J$69,$D$30:$D$69,$A84,$L$30:$L$69,"2025/26")</f>
        <v>0</v>
      </c>
      <c r="E84" s="16" t="n">
        <f aca="false">SUMIFS($J$30:$J$69,$D$30:$D$69,$A84,$L$30:$L$69,"2026/27")</f>
        <v>0</v>
      </c>
      <c r="F84" s="16"/>
    </row>
    <row r="85" customFormat="false" ht="15" hidden="false" customHeight="false" outlineLevel="0" collapsed="false">
      <c r="A85" s="21" t="s">
        <v>61</v>
      </c>
      <c r="D85" s="16" t="n">
        <f aca="false">SUMIFS($J$30:$J$69,$D$30:$D$69,$A85,$L$30:$L$69,"2025/26")</f>
        <v>0</v>
      </c>
      <c r="E85" s="16" t="n">
        <f aca="false">SUMIFS($J$30:$J$69,$D$30:$D$69,$A85,$L$30:$L$69,"2026/27")</f>
        <v>0</v>
      </c>
      <c r="F85" s="16"/>
    </row>
    <row r="86" customFormat="false" ht="15" hidden="false" customHeight="false" outlineLevel="0" collapsed="false">
      <c r="A86" s="21" t="s">
        <v>63</v>
      </c>
      <c r="D86" s="16" t="n">
        <f aca="false">SUMIFS($J$30:$J$69,$D$30:$D$69,$A86,$L$30:$L$69,"2025/26")</f>
        <v>0</v>
      </c>
      <c r="E86" s="16" t="n">
        <f aca="false">SUMIFS($J$30:$J$69,$D$30:$D$69,$A86,$L$30:$L$69,"2026/27")</f>
        <v>0</v>
      </c>
      <c r="F86" s="16"/>
    </row>
    <row r="87" customFormat="false" ht="15" hidden="false" customHeight="false" outlineLevel="0" collapsed="false">
      <c r="A87" s="21" t="s">
        <v>64</v>
      </c>
      <c r="D87" s="16" t="n">
        <f aca="false">SUMIFS($J$30:$J$69,$D$30:$D$69,$A87,$L$30:$L$69,"2025/26")</f>
        <v>0</v>
      </c>
      <c r="E87" s="16" t="n">
        <f aca="false">SUMIFS($J$30:$J$69,$D$30:$D$69,$A87,$L$30:$L$69,"2026/27")</f>
        <v>0</v>
      </c>
      <c r="F87" s="16"/>
    </row>
    <row r="88" customFormat="false" ht="15" hidden="false" customHeight="false" outlineLevel="0" collapsed="false">
      <c r="A88" s="17" t="s">
        <v>198</v>
      </c>
      <c r="D88" s="18" t="n">
        <f aca="false">SUM(D75:D86)</f>
        <v>0</v>
      </c>
      <c r="E88" s="18" t="n">
        <f aca="false">SUM(E75:E86)</f>
        <v>0</v>
      </c>
      <c r="F88" s="18"/>
    </row>
    <row r="89" customFormat="false" ht="15" hidden="false" customHeight="false" outlineLevel="0" collapsed="false">
      <c r="A89" s="17" t="s">
        <v>199</v>
      </c>
      <c r="D89" s="18" t="n">
        <f aca="false">D74-D88-D87</f>
        <v>0</v>
      </c>
      <c r="E89" s="18" t="n">
        <f aca="false">E74-E88-E87</f>
        <v>0</v>
      </c>
      <c r="F89" s="18"/>
    </row>
    <row r="90" customFormat="false" ht="15" hidden="false" customHeight="false" outlineLevel="0" collapsed="false">
      <c r="A90" s="37" t="s">
        <v>200</v>
      </c>
    </row>
    <row r="91" customFormat="false" ht="15" hidden="false" customHeight="false" outlineLevel="0" collapsed="false">
      <c r="A91" s="21" t="s">
        <v>201</v>
      </c>
      <c r="D91" s="16" t="n">
        <f aca="false">SUMIFS($J$30:$J$69,$D$30:$D$69,"")</f>
        <v>0</v>
      </c>
    </row>
  </sheetData>
  <mergeCells count="17"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</mergeCells>
  <dataValidations count="5">
    <dataValidation allowBlank="true" error="0%〜100%で入力してください" errorStyle="stop" operator="between" showDropDown="false" showErrorMessage="true" showInputMessage="false" sqref="I30:I69" type="decimal">
      <formula1>0</formula1>
      <formula2>1</formula2>
    </dataValidation>
    <dataValidation allowBlank="true" errorStyle="stop" operator="between" showDropDown="false" showErrorMessage="false" showInputMessage="false" sqref="E6:E25 E30:E69" type="list">
      <formula1>_list!$B$1:$B$2</formula1>
      <formula2>0</formula2>
    </dataValidation>
    <dataValidation allowBlank="true" errorStyle="stop" operator="between" showDropDown="false" showErrorMessage="false" showInputMessage="false" sqref="D30:D69" type="list">
      <formula1>_list!$A$1:$A$13</formula1>
      <formula2>0</formula2>
    </dataValidation>
    <dataValidation allowBlank="true" errorStyle="stop" operator="between" showDropDown="false" showErrorMessage="false" showInputMessage="false" sqref="D6:D25" type="list">
      <formula1>_list!$C$1:$C$7</formula1>
      <formula2>0</formula2>
    </dataValidation>
    <dataValidation allowBlank="true" error="日付で入力してください（例：2025/5/2）" errorStyle="stop" operator="between" showDropDown="false" showErrorMessage="true" showInputMessage="false" sqref="A6:A25 A30:A69" type="date">
      <formula1>DATE(2025,4,1)</formula1>
      <formula2>DATE(2027,12,31)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8" t="s">
        <v>41</v>
      </c>
      <c r="B1" s="0" t="s">
        <v>181</v>
      </c>
      <c r="C1" s="38" t="s">
        <v>180</v>
      </c>
    </row>
    <row r="2" customFormat="false" ht="15" hidden="false" customHeight="false" outlineLevel="0" collapsed="false">
      <c r="A2" s="38" t="s">
        <v>43</v>
      </c>
      <c r="B2" s="0" t="s">
        <v>192</v>
      </c>
      <c r="C2" s="0" t="s">
        <v>222</v>
      </c>
    </row>
    <row r="3" customFormat="false" ht="15" hidden="false" customHeight="false" outlineLevel="0" collapsed="false">
      <c r="A3" s="38" t="s">
        <v>45</v>
      </c>
      <c r="C3" s="0" t="s">
        <v>223</v>
      </c>
    </row>
    <row r="4" customFormat="false" ht="15" hidden="false" customHeight="false" outlineLevel="0" collapsed="false">
      <c r="A4" s="38" t="s">
        <v>47</v>
      </c>
      <c r="C4" s="0" t="s">
        <v>224</v>
      </c>
    </row>
    <row r="5" customFormat="false" ht="15" hidden="false" customHeight="false" outlineLevel="0" collapsed="false">
      <c r="A5" s="38" t="s">
        <v>49</v>
      </c>
      <c r="C5" s="38" t="s">
        <v>225</v>
      </c>
    </row>
    <row r="6" customFormat="false" ht="15" hidden="false" customHeight="false" outlineLevel="0" collapsed="false">
      <c r="A6" s="38" t="s">
        <v>51</v>
      </c>
      <c r="C6" s="38" t="s">
        <v>226</v>
      </c>
    </row>
    <row r="7" customFormat="false" ht="15" hidden="false" customHeight="false" outlineLevel="0" collapsed="false">
      <c r="A7" s="38" t="s">
        <v>53</v>
      </c>
      <c r="C7" s="38" t="s">
        <v>227</v>
      </c>
    </row>
    <row r="8" customFormat="false" ht="15" hidden="false" customHeight="false" outlineLevel="0" collapsed="false">
      <c r="A8" s="38" t="s">
        <v>55</v>
      </c>
    </row>
    <row r="9" customFormat="false" ht="15" hidden="false" customHeight="false" outlineLevel="0" collapsed="false">
      <c r="A9" s="38" t="s">
        <v>57</v>
      </c>
    </row>
    <row r="10" customFormat="false" ht="15" hidden="false" customHeight="false" outlineLevel="0" collapsed="false">
      <c r="A10" s="38" t="s">
        <v>59</v>
      </c>
    </row>
    <row r="11" customFormat="false" ht="15" hidden="false" customHeight="false" outlineLevel="0" collapsed="false">
      <c r="A11" s="38" t="s">
        <v>61</v>
      </c>
    </row>
    <row r="12" customFormat="false" ht="15" hidden="false" customHeight="false" outlineLevel="0" collapsed="false">
      <c r="A12" s="38" t="s">
        <v>63</v>
      </c>
    </row>
    <row r="13" customFormat="false" ht="15" hidden="false" customHeight="false" outlineLevel="0" collapsed="false">
      <c r="A13" s="38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2026-10-20T11:04:43Z</dcterms:created>
  <dc:creator>openpyxl</dc:creator>
  <dc:description/>
  <dc:language>en-US</dc:language>
  <cp:lastModifiedBy/>
  <dcterms:modified xsi:type="dcterms:W3CDTF">2026-10-20T11:04:45Z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