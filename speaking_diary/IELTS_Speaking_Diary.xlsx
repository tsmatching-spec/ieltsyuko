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2026-09-25（例）" sheetId="2" state="visible" r:id="rId2"/>
    <sheet name="テンプレート" sheetId="3" state="visible" r:id="rId3"/>
    <sheet name="記録一覧" sheetId="4" state="visible" r:id="rId4"/>
    <sheet name="単語帳" sheetId="5" state="visible" r:id="rId5"/>
    <sheet name="文法リファレンス"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000000"/>
      <sz val="10"/>
    </font>
    <font>
      <name val="Arial"/>
      <color rgb="00000000"/>
      <sz val="10"/>
    </font>
    <font>
      <name val="Arial"/>
      <b val="1"/>
      <color rgb="001F3864"/>
      <sz val="11"/>
    </font>
    <font>
      <name val="Arial"/>
      <color rgb="007F7F7F"/>
      <sz val="9"/>
    </font>
    <font>
      <name val="Arial"/>
      <b val="1"/>
      <color rgb="00FFFFFF"/>
      <sz val="10"/>
    </font>
  </fonts>
  <fills count="6">
    <fill>
      <patternFill/>
    </fill>
    <fill>
      <patternFill patternType="gray125"/>
    </fill>
    <fill>
      <patternFill patternType="solid">
        <fgColor rgb="00FFF2CC"/>
      </patternFill>
    </fill>
    <fill>
      <patternFill patternType="solid">
        <fgColor rgb="00D9E2F3"/>
      </patternFill>
    </fill>
    <fill>
      <patternFill patternType="solid">
        <fgColor rgb="00EDEDED"/>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2" borderId="0" pivotButton="0" quotePrefix="0" xfId="0"/>
    <xf numFmtId="0" fontId="4" fillId="3" borderId="0" pivotButton="0" quotePrefix="0" xfId="0"/>
    <xf numFmtId="0" fontId="2" fillId="0" borderId="1" applyAlignment="1" pivotButton="0" quotePrefix="0" xfId="0">
      <alignment vertical="top" wrapText="1"/>
    </xf>
    <xf numFmtId="0" fontId="3" fillId="2" borderId="1" applyAlignment="1" pivotButton="0" quotePrefix="0" xfId="0">
      <alignment vertical="top" wrapText="1"/>
    </xf>
    <xf numFmtId="0" fontId="0" fillId="0" borderId="1" pivotButton="0" quotePrefix="0" xfId="0"/>
    <xf numFmtId="0" fontId="3" fillId="0" borderId="1" applyAlignment="1" pivotButton="0" quotePrefix="0" xfId="0">
      <alignment vertical="top" wrapText="1"/>
    </xf>
    <xf numFmtId="0" fontId="2" fillId="4" borderId="1" applyAlignment="1" pivotButton="0" quotePrefix="0" xfId="0">
      <alignment horizontal="center" vertical="center" wrapText="1"/>
    </xf>
    <xf numFmtId="0" fontId="0" fillId="0" borderId="5" pivotButton="0" quotePrefix="0" xfId="0"/>
    <xf numFmtId="0" fontId="5" fillId="0" borderId="0" pivotButton="0" quotePrefix="0" xfId="0"/>
    <xf numFmtId="0" fontId="3" fillId="0" borderId="0" pivotButton="0" quotePrefix="0" xfId="0"/>
    <xf numFmtId="0" fontId="0" fillId="2" borderId="0" pivotButton="0" quotePrefix="0" xfId="0"/>
    <xf numFmtId="0" fontId="6" fillId="5" borderId="1" applyAlignment="1" pivotButton="0" quotePrefix="0" xfId="0">
      <alignment horizontal="center" vertical="center"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6" customWidth="1" min="1" max="1"/>
    <col width="100" customWidth="1" min="2" max="2"/>
  </cols>
  <sheetData>
    <row r="1">
      <c r="B1" s="1" t="inlineStr">
        <is>
          <t>IELTS Speaking Diary の使い方</t>
        </is>
      </c>
    </row>
    <row r="3">
      <c r="A3" s="2" t="inlineStr">
        <is>
          <t>1</t>
        </is>
      </c>
      <c r="B3" s="3" t="inlineStr">
        <is>
          <t>「テンプレート」シートを右クリック →「コピーを作成」し、シート名を日付（例: 2026-09-26）に変更。</t>
        </is>
      </c>
    </row>
    <row r="4">
      <c r="A4" s="2" t="inlineStr">
        <is>
          <t>2</t>
        </is>
      </c>
      <c r="B4" s="3" t="inlineStr">
        <is>
          <t>① の黄色セルに、今日あったこと・感じたことを日本語で入力。</t>
        </is>
      </c>
    </row>
    <row r="5">
      <c r="A5" s="2" t="inlineStr">
        <is>
          <t>3</t>
        </is>
      </c>
      <c r="B5" s="3" t="inlineStr">
        <is>
          <t>② 〜 ⑦ を埋める（Claude に①の日本語を貼って「この形式で埋めて」と頼むと早いです）。</t>
        </is>
      </c>
    </row>
    <row r="6">
      <c r="A6" s="2" t="inlineStr">
        <is>
          <t>4</t>
        </is>
      </c>
      <c r="B6" s="3" t="inlineStr">
        <is>
          <t>⑦ のスピーチを声に出して練習し、録音時間と自己評価を記入。語数・目安時間は自動計算。</t>
        </is>
      </c>
    </row>
    <row r="7">
      <c r="A7" s="2" t="inlineStr">
        <is>
          <t>5</t>
        </is>
      </c>
      <c r="B7" s="3" t="inlineStr">
        <is>
          <t>「記録一覧」に1行追加し、よく使った表現は「単語帳」に転記して繰り返し使う。</t>
        </is>
      </c>
    </row>
    <row r="8">
      <c r="A8" s="2" t="inlineStr"/>
      <c r="B8" s="3" t="inlineStr"/>
    </row>
    <row r="9">
      <c r="A9" s="2" t="inlineStr">
        <is>
          <t>凡例</t>
        </is>
      </c>
      <c r="B9" s="3" t="inlineStr">
        <is>
          <t>黄色セル = 自分で入力するセル ／ 青い帯 = セクション見出し ／ 語数・目安時間 = 自動計算</t>
        </is>
      </c>
    </row>
    <row r="10">
      <c r="A10" s="4" t="inlineStr">
        <is>
          <t>見本</t>
        </is>
      </c>
      <c r="B10" s="3" t="inlineStr">
        <is>
          <t>「2026-09-25（例）」シートに記入例があります。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showGridLines="0" workbookViewId="0">
      <pane ySplit="2" topLeftCell="A3" activePane="bottomLeft" state="frozen"/>
      <selection pane="bottomLeft" activeCell="A1" sqref="A1"/>
    </sheetView>
  </sheetViews>
  <sheetFormatPr baseColWidth="8" defaultRowHeight="15"/>
  <cols>
    <col width="18" customWidth="1" min="1" max="1"/>
    <col width="30" customWidth="1" min="2" max="2"/>
    <col width="30" customWidth="1" min="3" max="3"/>
    <col width="30" customWidth="1" min="4" max="4"/>
    <col width="40" customWidth="1" min="5" max="5"/>
  </cols>
  <sheetData>
    <row r="1">
      <c r="A1" s="1" t="inlineStr">
        <is>
          <t>IELTS Speaking Diary｜今日の出来事 → 英語スピーチ</t>
        </is>
      </c>
    </row>
    <row r="3" ht="20" customHeight="1">
      <c r="A3" s="5" t="inlineStr">
        <is>
          <t>① 今日の日記（日本語で入力）　← 黄色セルに入力</t>
        </is>
      </c>
    </row>
    <row r="4" ht="18" customHeight="1">
      <c r="A4" s="6" t="inlineStr">
        <is>
          <t>日付</t>
        </is>
      </c>
      <c r="B4" s="7" t="inlineStr">
        <is>
          <t>2026-09-25</t>
        </is>
      </c>
      <c r="C4" s="8" t="n"/>
      <c r="D4" s="8" t="n"/>
      <c r="E4" s="8" t="n"/>
    </row>
    <row r="5" ht="90" customHeight="1">
      <c r="A5" s="6" t="inlineStr">
        <is>
          <t>今日あったこと</t>
        </is>
      </c>
      <c r="B5" s="7" t="inlineStr">
        <is>
          <t>今日は朝から雨で、駅に着いたら人身事故で電車が40分遅れていた。最初はイライラしたけど、駅前のカフェに入ってIELTSの単語を復習した。意外と集中できて、充実した時間になった。会社に遅れると連絡したら、上司が「今日はリモートでいいよ」と言ってくれて、家に戻って仕事をした。</t>
        </is>
      </c>
      <c r="C5" s="8" t="n"/>
      <c r="D5" s="8" t="n"/>
      <c r="E5" s="8" t="n"/>
    </row>
    <row r="6" ht="45" customHeight="1">
      <c r="A6" s="6" t="inlineStr">
        <is>
          <t>感じたこと・考えたこと</t>
        </is>
      </c>
      <c r="B6" s="7" t="inlineStr">
        <is>
          <t>最初はイライラ→結果的にラッキーだった。毎日の通勤って本当に必要なのかな、と考えさせられた。</t>
        </is>
      </c>
      <c r="C6" s="8" t="n"/>
      <c r="D6" s="8" t="n"/>
      <c r="E6" s="8" t="n"/>
    </row>
    <row r="8" ht="20" customHeight="1">
      <c r="A8" s="5" t="inlineStr">
        <is>
          <t>② 英語訳　B1 = シンプルで正確 / B2 = 接続詞・言い換えで幅を出す</t>
        </is>
      </c>
    </row>
    <row r="9" ht="110" customHeight="1">
      <c r="A9" s="6" t="inlineStr">
        <is>
          <t>B1 レベル</t>
        </is>
      </c>
      <c r="B9" s="9" t="inlineStr">
        <is>
          <t>It was raining this morning. When I got to the station, the trains were 40 minutes late because of an accident. At first I was annoyed, but I went into a café near the station and studied my IELTS vocabulary. I could concentrate very well, so it was a good time. When I told my company that I would be late, my boss said, "You can work from home today." So I went back home and worked there. It made me think about whether we really need to go to the office every day.</t>
        </is>
      </c>
      <c r="C9" s="8" t="n"/>
      <c r="D9" s="8" t="n"/>
      <c r="E9" s="8" t="n"/>
    </row>
    <row r="10" ht="120" customHeight="1">
      <c r="A10" s="6" t="inlineStr">
        <is>
          <t>B2 レベル</t>
        </is>
      </c>
      <c r="B10" s="9" t="inlineStr">
        <is>
          <t>It had been pouring since early morning, and by the time I reached the station, the trains were running forty minutes behind schedule due to an accident. Although I was frustrated at first, I decided to make the most of the delay by reviewing IELTS vocabulary in a café near the station. Surprisingly, I was able to focus far better than I usually do at home. When I contacted my office to say I'd be late, my manager kindly suggested that I work remotely instead, so I headed back home. The whole experience made me question whether commuting every day is really necessary.</t>
        </is>
      </c>
      <c r="C10" s="8" t="n"/>
      <c r="D10" s="8" t="n"/>
      <c r="E10" s="8" t="n"/>
    </row>
    <row r="12" ht="20" customHeight="1">
      <c r="A12" s="5" t="inlineStr">
        <is>
          <t>③ 使うべき単語・アピールすべき表現</t>
        </is>
      </c>
    </row>
    <row r="13">
      <c r="A13" s="10" t="inlineStr">
        <is>
          <t>単語・表現</t>
        </is>
      </c>
      <c r="B13" s="10" t="inlineStr">
        <is>
          <t>意味</t>
        </is>
      </c>
      <c r="C13" s="10" t="inlineStr">
        <is>
          <t>なぜアピールになるか</t>
        </is>
      </c>
      <c r="D13" s="10" t="inlineStr">
        <is>
          <t>今日の内容での例文</t>
        </is>
      </c>
      <c r="E13" s="8" t="n"/>
    </row>
    <row r="14" ht="32" customHeight="1">
      <c r="A14" s="6" t="inlineStr">
        <is>
          <t>make the most of ~</t>
        </is>
      </c>
      <c r="B14" s="9" t="inlineStr">
        <is>
          <t>〜を最大限に活用する</t>
        </is>
      </c>
      <c r="C14" s="9" t="inlineStr">
        <is>
          <t>慣用表現 → Lexical Resource で高評価</t>
        </is>
      </c>
      <c r="D14" s="9" t="inlineStr">
        <is>
          <t>I decided to make the most of the delay.</t>
        </is>
      </c>
      <c r="E14" s="8" t="n"/>
    </row>
    <row r="15" ht="32" customHeight="1">
      <c r="A15" s="6" t="inlineStr">
        <is>
          <t>a blessing in disguise</t>
        </is>
      </c>
      <c r="B15" s="9" t="inlineStr">
        <is>
          <t>災い転じて福となす</t>
        </is>
      </c>
      <c r="C15" s="9" t="inlineStr">
        <is>
          <t>イディオムを自然に使える印象</t>
        </is>
      </c>
      <c r="D15" s="9" t="inlineStr">
        <is>
          <t>The delay turned out to be a blessing in disguise.</t>
        </is>
      </c>
      <c r="E15" s="8" t="n"/>
    </row>
    <row r="16" ht="32" customHeight="1">
      <c r="A16" s="6" t="inlineStr">
        <is>
          <t>behind schedule</t>
        </is>
      </c>
      <c r="B16" s="9" t="inlineStr">
        <is>
          <t>予定より遅れて</t>
        </is>
      </c>
      <c r="C16" s="9" t="inlineStr">
        <is>
          <t>late の言い換え（語彙の幅）</t>
        </is>
      </c>
      <c r="D16" s="9" t="inlineStr">
        <is>
          <t>The trains were running behind schedule.</t>
        </is>
      </c>
      <c r="E16" s="8" t="n"/>
    </row>
    <row r="17" ht="32" customHeight="1">
      <c r="A17" s="6" t="inlineStr">
        <is>
          <t>work remotely / hybrid working</t>
        </is>
      </c>
      <c r="B17" s="9" t="inlineStr">
        <is>
          <t>リモート勤務／ハイブリッド勤務</t>
        </is>
      </c>
      <c r="C17" s="9" t="inlineStr">
        <is>
          <t>Part 3 の社会テーマに直結</t>
        </is>
      </c>
      <c r="D17" s="9" t="inlineStr">
        <is>
          <t>More companies now allow hybrid working.</t>
        </is>
      </c>
      <c r="E17" s="8" t="n"/>
    </row>
    <row r="18" ht="32" customHeight="1">
      <c r="A18" s="6" t="inlineStr">
        <is>
          <t>commute (n./v.)</t>
        </is>
      </c>
      <c r="B18" s="9" t="inlineStr">
        <is>
          <t>通勤（する）</t>
        </is>
      </c>
      <c r="C18" s="9" t="inlineStr">
        <is>
          <t>Part 1 Work/Transport の必須語</t>
        </is>
      </c>
      <c r="D18" s="9" t="inlineStr">
        <is>
          <t>My daily commute takes about an hour.</t>
        </is>
      </c>
      <c r="E18" s="8" t="n"/>
    </row>
    <row r="19" ht="32" customHeight="1">
      <c r="A19" s="6" t="inlineStr">
        <is>
          <t>It made me question whether ~</t>
        </is>
      </c>
      <c r="B19" s="9" t="inlineStr">
        <is>
          <t>〜かどうか考えさせられた</t>
        </is>
      </c>
      <c r="C19" s="9" t="inlineStr">
        <is>
          <t>意見・内省を示す定型</t>
        </is>
      </c>
      <c r="D19" s="9" t="inlineStr">
        <is>
          <t>It made me question whether commuting is necessary.</t>
        </is>
      </c>
      <c r="E19" s="8" t="n"/>
    </row>
    <row r="20" ht="32" customHeight="1">
      <c r="A20" s="6" t="inlineStr">
        <is>
          <t>far better than ~</t>
        </is>
      </c>
      <c r="B20" s="9" t="inlineStr">
        <is>
          <t>〜よりはるかに良い</t>
        </is>
      </c>
      <c r="C20" s="9" t="inlineStr">
        <is>
          <t>比較の強調（far / much）</t>
        </is>
      </c>
      <c r="D20" s="9" t="inlineStr">
        <is>
          <t>I could focus far better than I do at home.</t>
        </is>
      </c>
      <c r="E20" s="8" t="n"/>
    </row>
    <row r="21" ht="32" customHeight="1">
      <c r="A21" s="6" t="inlineStr">
        <is>
          <t>counterproductive</t>
        </is>
      </c>
      <c r="B21" s="9" t="inlineStr">
        <is>
          <t>逆効果の</t>
        </is>
      </c>
      <c r="C21" s="9" t="inlineStr">
        <is>
          <t>Band 7+ 語彙。Part 3 の議論で有効</t>
        </is>
      </c>
      <c r="D21" s="9" t="inlineStr">
        <is>
          <t>Forcing everyone into the office can be counterproductive.</t>
        </is>
      </c>
      <c r="E21" s="8" t="n"/>
    </row>
    <row r="23" ht="20" customHeight="1">
      <c r="A23" s="5" t="inlineStr">
        <is>
          <t>④ 関連テーマ・ニュース記事と要約</t>
        </is>
      </c>
    </row>
    <row r="24">
      <c r="A24" s="10" t="inlineStr">
        <is>
          <t>関連テーマ</t>
        </is>
      </c>
      <c r="B24" s="10" t="inlineStr">
        <is>
          <t>URL（ニュース記事）</t>
        </is>
      </c>
      <c r="C24" s="10" t="inlineStr">
        <is>
          <t>記事の要約</t>
        </is>
      </c>
      <c r="D24" s="11" t="n"/>
      <c r="E24" s="8" t="n"/>
    </row>
    <row r="25" ht="70" customHeight="1">
      <c r="A25" s="6" t="inlineStr">
        <is>
          <t>リモートワーク／ハイブリッド勤務</t>
        </is>
      </c>
      <c r="B25" s="9" t="inlineStr">
        <is>
          <t>https://news.google.com/search?q=hybrid%20work%20return%20to%20office&amp;hl=en</t>
        </is>
      </c>
      <c r="C25" s="9" t="inlineStr">
        <is>
          <t>コロナ禍以降、多くの企業がハイブリッド勤務を導入。一方で近年は協働や社風維持を理由に出社回帰を求める企業も増え、「生産性」と「柔軟性」のどちらを重視するかが議論になっている。</t>
        </is>
      </c>
      <c r="D25" s="11" t="n"/>
      <c r="E25" s="8" t="n"/>
    </row>
    <row r="26" ht="70" customHeight="1">
      <c r="A26" s="6" t="inlineStr">
        <is>
          <t>公共交通の信頼性・通勤</t>
        </is>
      </c>
      <c r="B26" s="9" t="inlineStr">
        <is>
          <t>https://news.google.com/search?q=Japan%20train%20punctuality%20commute&amp;hl=en</t>
        </is>
      </c>
      <c r="C26" s="9" t="inlineStr">
        <is>
          <t>日本の鉄道は定時運行で世界的に知られ、遅延そのものがニュースになるほど。首都圏では片道1時間前後の通勤も珍しくなく、混雑・ストレス・時間の損失が社会課題として語られる。</t>
        </is>
      </c>
      <c r="D26" s="11" t="n"/>
      <c r="E26" s="8" t="n"/>
    </row>
    <row r="27" ht="70" customHeight="1">
      <c r="A27" s="6" t="inlineStr">
        <is>
          <t>時間の有効活用・スキマ時間学習</t>
        </is>
      </c>
      <c r="B27" s="9" t="inlineStr">
        <is>
          <t>https://news.google.com/search?q=microlearning%20productivity&amp;hl=en</t>
        </is>
      </c>
      <c r="C27" s="9" t="inlineStr">
        <is>
          <t>短時間の学習（マイクロラーニング）は集中力を保ちやすく、記憶の定着にも効果的とされる。待ち時間をどう使うかは Part 2/3 の「時間の使い方」系トピックで使える。</t>
        </is>
      </c>
      <c r="D27" s="11" t="n"/>
      <c r="E27" s="8" t="n"/>
    </row>
    <row r="28">
      <c r="A28" s="12" t="inlineStr">
        <is>
          <t>※URLはニュース検索リンクです。実際に読んだ記事のURLと要約に差し替えてください（要約は一般的な背景知識のまとめです）。</t>
        </is>
      </c>
    </row>
    <row r="30" ht="20" customHeight="1">
      <c r="A30" s="5" t="inlineStr">
        <is>
          <t>⑤ IELTS スピーキングのどこで使うか</t>
        </is>
      </c>
    </row>
    <row r="31">
      <c r="A31" s="10" t="inlineStr">
        <is>
          <t>Part</t>
        </is>
      </c>
      <c r="B31" s="10" t="inlineStr">
        <is>
          <t>想定される質問</t>
        </is>
      </c>
      <c r="C31" s="10" t="inlineStr">
        <is>
          <t>この内容の入れ方</t>
        </is>
      </c>
      <c r="D31" s="11" t="n"/>
      <c r="E31" s="8" t="n"/>
    </row>
    <row r="32" ht="60" customHeight="1">
      <c r="A32" s="6" t="inlineStr">
        <is>
          <t>Part 1</t>
        </is>
      </c>
      <c r="B32" s="9" t="inlineStr">
        <is>
          <t>Do you work or study? / How do you usually travel to work? / Do you like rainy days?</t>
        </is>
      </c>
      <c r="C32" s="9" t="inlineStr">
        <is>
          <t>「今朝まさに電車が遅れて…」と具体例を1文添えて回答を2〜3文に広げる。</t>
        </is>
      </c>
      <c r="D32" s="11" t="n"/>
      <c r="E32" s="8" t="n"/>
    </row>
    <row r="33" ht="60" customHeight="1">
      <c r="A33" s="6" t="inlineStr">
        <is>
          <t>Part 2</t>
        </is>
      </c>
      <c r="B33" s="9" t="inlineStr">
        <is>
          <t>Describe a time when you had to wait for something. / Describe an unexpected event that turned out well.</t>
        </is>
      </c>
      <c r="C33" s="9" t="inlineStr">
        <is>
          <t>今日の話をそのまま使える。雨→遅延→カフェ→リモートの流れで時系列に話す。最後に「何を学んだか」で締める。</t>
        </is>
      </c>
      <c r="D33" s="11" t="n"/>
      <c r="E33" s="8" t="n"/>
    </row>
    <row r="34" ht="60" customHeight="1">
      <c r="A34" s="6" t="inlineStr">
        <is>
          <t>Part 3</t>
        </is>
      </c>
      <c r="B34" s="9" t="inlineStr">
        <is>
          <t>Is working from home better than working in an office? / How can governments improve public transport?</t>
        </is>
      </c>
      <c r="C34" s="9" t="inlineStr">
        <is>
          <t>個人の体験 → 社会一般の議論へ広げる。メリット・デメリットを両方述べて自分の立場を示す。</t>
        </is>
      </c>
      <c r="D34" s="11" t="n"/>
      <c r="E34" s="8" t="n"/>
    </row>
    <row r="36" ht="20" customHeight="1">
      <c r="A36" s="5" t="inlineStr">
        <is>
          <t>⑥ 文法アピールポイント　時制の幅・仮定法・助動詞・複雑な文構造</t>
        </is>
      </c>
    </row>
    <row r="37">
      <c r="A37" s="10" t="inlineStr">
        <is>
          <t>文法項目</t>
        </is>
      </c>
      <c r="B37" s="10" t="inlineStr">
        <is>
          <t>今日の内容で使える例文</t>
        </is>
      </c>
      <c r="C37" s="10" t="inlineStr">
        <is>
          <t>ポイント</t>
        </is>
      </c>
      <c r="D37" s="11" t="n"/>
      <c r="E37" s="8" t="n"/>
    </row>
    <row r="38" ht="62" customHeight="1">
      <c r="A38" s="6" t="inlineStr">
        <is>
          <t>時制の幅</t>
        </is>
      </c>
      <c r="B38" s="9" t="inlineStr">
        <is>
          <t>It had been pouring since early morning. / The trains were running late. / I've started to wonder whether... / I'll probably ask my manager about it.</t>
        </is>
      </c>
      <c r="C38" s="9" t="inlineStr">
        <is>
          <t>過去完了進行・過去進行・現在完了・未来を1つの話に混ぜる（Grammatical Range）</t>
        </is>
      </c>
      <c r="D38" s="11" t="n"/>
      <c r="E38" s="8" t="n"/>
    </row>
    <row r="39" ht="62" customHeight="1">
      <c r="A39" s="6" t="inlineStr">
        <is>
          <t>仮定法</t>
        </is>
      </c>
      <c r="B39" s="9" t="inlineStr">
        <is>
          <t>If the train hadn't been delayed, I would never have discovered how productive a café can be. / If I could work from home twice a week, I would study more.</t>
        </is>
      </c>
      <c r="C39" s="9" t="inlineStr">
        <is>
          <t>仮定法過去完了（過去の反実仮想）＋仮定法過去（現在の仮定）をセットで</t>
        </is>
      </c>
      <c r="D39" s="11" t="n"/>
      <c r="E39" s="8" t="n"/>
    </row>
    <row r="40" ht="62" customHeight="1">
      <c r="A40" s="6" t="inlineStr">
        <is>
          <t>助動詞</t>
        </is>
      </c>
      <c r="B40" s="9" t="inlineStr">
        <is>
          <t>I should have left home earlier. / It might have been the best part of my day. / Companies should offer more flexible options.</t>
        </is>
      </c>
      <c r="C40" s="9" t="inlineStr">
        <is>
          <t>助動詞＋have p.p. で後悔・推量、should で提案・意見</t>
        </is>
      </c>
      <c r="D40" s="11" t="n"/>
      <c r="E40" s="8" t="n"/>
    </row>
    <row r="41" ht="62" customHeight="1">
      <c r="A41" s="6" t="inlineStr">
        <is>
          <t>複雑な文構造</t>
        </is>
      </c>
      <c r="B41" s="9" t="inlineStr">
        <is>
          <t>What surprised me most was how well I could concentrate. / Having nothing else to do, I reviewed fifty words. / Not only does commuting take time, but it is also stressful.</t>
        </is>
      </c>
      <c r="C41" s="9" t="inlineStr">
        <is>
          <t>強調構文(What ~ is)・分詞構文・倒置・関係詞(which turned out to be...)</t>
        </is>
      </c>
      <c r="D41" s="11" t="n"/>
      <c r="E41" s="8" t="n"/>
    </row>
    <row r="43" ht="20" customHeight="1">
      <c r="A43" s="5" t="inlineStr">
        <is>
          <t>⑦ 2分スピーチ 完成版（英語）</t>
        </is>
      </c>
    </row>
    <row r="44" ht="330" customHeight="1">
      <c r="A44" s="6" t="inlineStr">
        <is>
          <t>スピーチ本文</t>
        </is>
      </c>
      <c r="B44" s="9" t="inlineStr">
        <is>
          <t>I'd like to talk about something that happened to me this morning, which turned out to be a blessing in disguise. It had been pouring since early morning, and by the time I reached the station, the trains were running about forty minutes behind schedule because of an accident. To be honest, my first reaction was frustration, and I kept thinking that I should have left home earlier. However, instead of standing on a crowded platform, I decided to make the most of the delay. I went into a small café near the station, ordered a coffee, and reviewed my IELTS vocabulary. What surprised me most was how well I could concentrate. Having nothing else to do, I managed to go through about fifty new words, which is far more than I usually learn in an evening at home. Then, when I contacted my office to say I would be late, my manager kindly suggested that I work remotely for the rest of the day, so I headed back home and finished my tasks there. Looking back, if the train hadn't been delayed, I would never have discovered how productive a short break in a café can be. It also made me question whether commuting every single day is really necessary. Not only does it take up a lot of time, but it can also be quite stressful, especially in bad weather. I think companies should offer more flexible options, such as hybrid working, so that employees can choose the environment in which they work best. All in all, what started as a frustrating morning ended up being one of the most productive days I've had recently.</t>
        </is>
      </c>
      <c r="C44" s="8" t="n"/>
      <c r="D44" s="8" t="n"/>
      <c r="E44" s="8" t="n"/>
    </row>
    <row r="45">
      <c r="A45" s="2" t="inlineStr">
        <is>
          <t>語数</t>
        </is>
      </c>
      <c r="B45" s="13">
        <f>IF(LEN(TRIM(B44))=0,0,LEN(TRIM(B44))-LEN(SUBSTITUTE(TRIM(B44)," ",""))+1)</f>
        <v/>
      </c>
      <c r="C45" s="2" t="inlineStr">
        <is>
          <t>目安時間（140 wpm）</t>
        </is>
      </c>
      <c r="D45" s="13">
        <f>IF(B45=0,"",TEXT(B45/140/1440,"m:ss"))</f>
        <v/>
      </c>
      <c r="E45" s="12" t="inlineStr">
        <is>
          <t>2分 ≒ 280 語が目安</t>
        </is>
      </c>
    </row>
    <row r="46">
      <c r="A46" s="2" t="inlineStr">
        <is>
          <t>本番練習の録音時間</t>
        </is>
      </c>
      <c r="B46" s="14" t="n"/>
      <c r="C46" s="2" t="inlineStr">
        <is>
          <t>自己評価（1〜5）</t>
        </is>
      </c>
      <c r="D46" s="14" t="n"/>
    </row>
  </sheetData>
  <mergeCells count="35">
    <mergeCell ref="A30:E30"/>
    <mergeCell ref="D20:E20"/>
    <mergeCell ref="B9:E9"/>
    <mergeCell ref="C41:E41"/>
    <mergeCell ref="D19:E19"/>
    <mergeCell ref="C31:E31"/>
    <mergeCell ref="B6:E6"/>
    <mergeCell ref="C40:E40"/>
    <mergeCell ref="B5:E5"/>
    <mergeCell ref="A36:E36"/>
    <mergeCell ref="D21:E21"/>
    <mergeCell ref="C27:E27"/>
    <mergeCell ref="B4:E4"/>
    <mergeCell ref="D13:E13"/>
    <mergeCell ref="C39:E39"/>
    <mergeCell ref="D17:E17"/>
    <mergeCell ref="C32:E32"/>
    <mergeCell ref="A3:E3"/>
    <mergeCell ref="C38:E38"/>
    <mergeCell ref="A12:E12"/>
    <mergeCell ref="D16:E16"/>
    <mergeCell ref="C37:E37"/>
    <mergeCell ref="A23:E23"/>
    <mergeCell ref="D18:E18"/>
    <mergeCell ref="A8:E8"/>
    <mergeCell ref="C34:E34"/>
    <mergeCell ref="C24:E24"/>
    <mergeCell ref="C33:E33"/>
    <mergeCell ref="A43:E43"/>
    <mergeCell ref="D15:E15"/>
    <mergeCell ref="B44:E44"/>
    <mergeCell ref="D14:E14"/>
    <mergeCell ref="C26:E26"/>
    <mergeCell ref="B10:E10"/>
    <mergeCell ref="C25:E25"/>
  </mergeCells>
  <dataValidations count="1">
    <dataValidation sqref="D46" showDropDown="0" showInputMessage="0" showErrorMessage="0" allowBlank="1"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showGridLines="0" workbookViewId="0">
      <pane ySplit="2" topLeftCell="A3" activePane="bottomLeft" state="frozen"/>
      <selection pane="bottomLeft" activeCell="A1" sqref="A1"/>
    </sheetView>
  </sheetViews>
  <sheetFormatPr baseColWidth="8" defaultRowHeight="15"/>
  <cols>
    <col width="18" customWidth="1" min="1" max="1"/>
    <col width="30" customWidth="1" min="2" max="2"/>
    <col width="30" customWidth="1" min="3" max="3"/>
    <col width="30" customWidth="1" min="4" max="4"/>
    <col width="40" customWidth="1" min="5" max="5"/>
  </cols>
  <sheetData>
    <row r="1">
      <c r="A1" s="1" t="inlineStr">
        <is>
          <t>IELTS Speaking Diary｜今日の出来事 → 英語スピーチ</t>
        </is>
      </c>
    </row>
    <row r="3" ht="20" customHeight="1">
      <c r="A3" s="5" t="inlineStr">
        <is>
          <t>① 今日の日記（日本語で入力）　← 黄色セルに入力</t>
        </is>
      </c>
    </row>
    <row r="4" ht="18" customHeight="1">
      <c r="A4" s="6" t="inlineStr">
        <is>
          <t>日付</t>
        </is>
      </c>
      <c r="B4" s="7" t="inlineStr"/>
      <c r="C4" s="8" t="n"/>
      <c r="D4" s="8" t="n"/>
      <c r="E4" s="8" t="n"/>
    </row>
    <row r="5" ht="90" customHeight="1">
      <c r="A5" s="6" t="inlineStr">
        <is>
          <t>今日あったこと</t>
        </is>
      </c>
      <c r="B5" s="7" t="inlineStr"/>
      <c r="C5" s="8" t="n"/>
      <c r="D5" s="8" t="n"/>
      <c r="E5" s="8" t="n"/>
    </row>
    <row r="6" ht="45" customHeight="1">
      <c r="A6" s="6" t="inlineStr">
        <is>
          <t>感じたこと・考えたこと</t>
        </is>
      </c>
      <c r="B6" s="7" t="inlineStr"/>
      <c r="C6" s="8" t="n"/>
      <c r="D6" s="8" t="n"/>
      <c r="E6" s="8" t="n"/>
    </row>
    <row r="8" ht="20" customHeight="1">
      <c r="A8" s="5" t="inlineStr">
        <is>
          <t>② 英語訳　B1 = シンプルで正確 / B2 = 接続詞・言い換えで幅を出す</t>
        </is>
      </c>
    </row>
    <row r="9" ht="110" customHeight="1">
      <c r="A9" s="6" t="inlineStr">
        <is>
          <t>B1 レベル</t>
        </is>
      </c>
      <c r="B9" s="9" t="inlineStr"/>
      <c r="C9" s="8" t="n"/>
      <c r="D9" s="8" t="n"/>
      <c r="E9" s="8" t="n"/>
    </row>
    <row r="10" ht="120" customHeight="1">
      <c r="A10" s="6" t="inlineStr">
        <is>
          <t>B2 レベル</t>
        </is>
      </c>
      <c r="B10" s="9" t="inlineStr"/>
      <c r="C10" s="8" t="n"/>
      <c r="D10" s="8" t="n"/>
      <c r="E10" s="8" t="n"/>
    </row>
    <row r="12" ht="20" customHeight="1">
      <c r="A12" s="5" t="inlineStr">
        <is>
          <t>③ 使うべき単語・アピールすべき表現</t>
        </is>
      </c>
    </row>
    <row r="13">
      <c r="A13" s="10" t="inlineStr">
        <is>
          <t>単語・表現</t>
        </is>
      </c>
      <c r="B13" s="10" t="inlineStr">
        <is>
          <t>意味</t>
        </is>
      </c>
      <c r="C13" s="10" t="inlineStr">
        <is>
          <t>なぜアピールになるか</t>
        </is>
      </c>
      <c r="D13" s="10" t="inlineStr">
        <is>
          <t>今日の内容での例文</t>
        </is>
      </c>
      <c r="E13" s="8" t="n"/>
    </row>
    <row r="14" ht="32" customHeight="1">
      <c r="A14" s="6" t="inlineStr"/>
      <c r="B14" s="9" t="inlineStr"/>
      <c r="C14" s="9" t="inlineStr"/>
      <c r="D14" s="9" t="inlineStr"/>
      <c r="E14" s="8" t="n"/>
    </row>
    <row r="15" ht="32" customHeight="1">
      <c r="A15" s="6" t="inlineStr"/>
      <c r="B15" s="9" t="inlineStr"/>
      <c r="C15" s="9" t="inlineStr"/>
      <c r="D15" s="9" t="inlineStr"/>
      <c r="E15" s="8" t="n"/>
    </row>
    <row r="16" ht="32" customHeight="1">
      <c r="A16" s="6" t="inlineStr"/>
      <c r="B16" s="9" t="inlineStr"/>
      <c r="C16" s="9" t="inlineStr"/>
      <c r="D16" s="9" t="inlineStr"/>
      <c r="E16" s="8" t="n"/>
    </row>
    <row r="17" ht="32" customHeight="1">
      <c r="A17" s="6" t="inlineStr"/>
      <c r="B17" s="9" t="inlineStr"/>
      <c r="C17" s="9" t="inlineStr"/>
      <c r="D17" s="9" t="inlineStr"/>
      <c r="E17" s="8" t="n"/>
    </row>
    <row r="18" ht="32" customHeight="1">
      <c r="A18" s="6" t="inlineStr"/>
      <c r="B18" s="9" t="inlineStr"/>
      <c r="C18" s="9" t="inlineStr"/>
      <c r="D18" s="9" t="inlineStr"/>
      <c r="E18" s="8" t="n"/>
    </row>
    <row r="19" ht="32" customHeight="1">
      <c r="A19" s="6" t="inlineStr"/>
      <c r="B19" s="9" t="inlineStr"/>
      <c r="C19" s="9" t="inlineStr"/>
      <c r="D19" s="9" t="inlineStr"/>
      <c r="E19" s="8" t="n"/>
    </row>
    <row r="20" ht="32" customHeight="1">
      <c r="A20" s="6" t="inlineStr"/>
      <c r="B20" s="9" t="inlineStr"/>
      <c r="C20" s="9" t="inlineStr"/>
      <c r="D20" s="9" t="inlineStr"/>
      <c r="E20" s="8" t="n"/>
    </row>
    <row r="21" ht="32" customHeight="1">
      <c r="A21" s="6" t="inlineStr"/>
      <c r="B21" s="9" t="inlineStr"/>
      <c r="C21" s="9" t="inlineStr"/>
      <c r="D21" s="9" t="inlineStr"/>
      <c r="E21" s="8" t="n"/>
    </row>
    <row r="23" ht="20" customHeight="1">
      <c r="A23" s="5" t="inlineStr">
        <is>
          <t>④ 関連テーマ・ニュース記事と要約</t>
        </is>
      </c>
    </row>
    <row r="24">
      <c r="A24" s="10" t="inlineStr">
        <is>
          <t>関連テーマ</t>
        </is>
      </c>
      <c r="B24" s="10" t="inlineStr">
        <is>
          <t>URL（ニュース記事）</t>
        </is>
      </c>
      <c r="C24" s="10" t="inlineStr">
        <is>
          <t>記事の要約</t>
        </is>
      </c>
      <c r="D24" s="11" t="n"/>
      <c r="E24" s="8" t="n"/>
    </row>
    <row r="25" ht="70" customHeight="1">
      <c r="A25" s="6" t="inlineStr"/>
      <c r="B25" s="9" t="inlineStr"/>
      <c r="C25" s="9" t="inlineStr"/>
      <c r="D25" s="11" t="n"/>
      <c r="E25" s="8" t="n"/>
    </row>
    <row r="26" ht="70" customHeight="1">
      <c r="A26" s="6" t="inlineStr"/>
      <c r="B26" s="9" t="inlineStr"/>
      <c r="C26" s="9" t="inlineStr"/>
      <c r="D26" s="11" t="n"/>
      <c r="E26" s="8" t="n"/>
    </row>
    <row r="27" ht="70" customHeight="1">
      <c r="A27" s="6" t="inlineStr"/>
      <c r="B27" s="9" t="inlineStr"/>
      <c r="C27" s="9" t="inlineStr"/>
      <c r="D27" s="11" t="n"/>
      <c r="E27" s="8" t="n"/>
    </row>
    <row r="29" ht="20" customHeight="1">
      <c r="A29" s="5" t="inlineStr">
        <is>
          <t>⑤ IELTS スピーキングのどこで使うか</t>
        </is>
      </c>
    </row>
    <row r="30">
      <c r="A30" s="10" t="inlineStr">
        <is>
          <t>Part</t>
        </is>
      </c>
      <c r="B30" s="10" t="inlineStr">
        <is>
          <t>想定される質問</t>
        </is>
      </c>
      <c r="C30" s="10" t="inlineStr">
        <is>
          <t>この内容の入れ方</t>
        </is>
      </c>
      <c r="D30" s="11" t="n"/>
      <c r="E30" s="8" t="n"/>
    </row>
    <row r="31" ht="60" customHeight="1">
      <c r="A31" s="6" t="inlineStr"/>
      <c r="B31" s="9" t="inlineStr"/>
      <c r="C31" s="9" t="inlineStr"/>
      <c r="D31" s="11" t="n"/>
      <c r="E31" s="8" t="n"/>
    </row>
    <row r="32" ht="60" customHeight="1">
      <c r="A32" s="6" t="inlineStr"/>
      <c r="B32" s="9" t="inlineStr"/>
      <c r="C32" s="9" t="inlineStr"/>
      <c r="D32" s="11" t="n"/>
      <c r="E32" s="8" t="n"/>
    </row>
    <row r="33" ht="60" customHeight="1">
      <c r="A33" s="6" t="inlineStr"/>
      <c r="B33" s="9" t="inlineStr"/>
      <c r="C33" s="9" t="inlineStr"/>
      <c r="D33" s="11" t="n"/>
      <c r="E33" s="8" t="n"/>
    </row>
    <row r="35" ht="20" customHeight="1">
      <c r="A35" s="5" t="inlineStr">
        <is>
          <t>⑥ 文法アピールポイント　時制の幅・仮定法・助動詞・複雑な文構造</t>
        </is>
      </c>
    </row>
    <row r="36">
      <c r="A36" s="10" t="inlineStr">
        <is>
          <t>文法項目</t>
        </is>
      </c>
      <c r="B36" s="10" t="inlineStr">
        <is>
          <t>今日の内容で使える例文</t>
        </is>
      </c>
      <c r="C36" s="10" t="inlineStr">
        <is>
          <t>ポイント</t>
        </is>
      </c>
      <c r="D36" s="11" t="n"/>
      <c r="E36" s="8" t="n"/>
    </row>
    <row r="37" ht="62" customHeight="1">
      <c r="A37" s="6" t="inlineStr"/>
      <c r="B37" s="9" t="inlineStr"/>
      <c r="C37" s="9" t="inlineStr"/>
      <c r="D37" s="11" t="n"/>
      <c r="E37" s="8" t="n"/>
    </row>
    <row r="38" ht="62" customHeight="1">
      <c r="A38" s="6" t="inlineStr"/>
      <c r="B38" s="9" t="inlineStr"/>
      <c r="C38" s="9" t="inlineStr"/>
      <c r="D38" s="11" t="n"/>
      <c r="E38" s="8" t="n"/>
    </row>
    <row r="39" ht="62" customHeight="1">
      <c r="A39" s="6" t="inlineStr"/>
      <c r="B39" s="9" t="inlineStr"/>
      <c r="C39" s="9" t="inlineStr"/>
      <c r="D39" s="11" t="n"/>
      <c r="E39" s="8" t="n"/>
    </row>
    <row r="40" ht="62" customHeight="1">
      <c r="A40" s="6" t="inlineStr"/>
      <c r="B40" s="9" t="inlineStr"/>
      <c r="C40" s="9" t="inlineStr"/>
      <c r="D40" s="11" t="n"/>
      <c r="E40" s="8" t="n"/>
    </row>
    <row r="42" ht="20" customHeight="1">
      <c r="A42" s="5" t="inlineStr">
        <is>
          <t>⑦ 2分スピーチ 完成版（英語）</t>
        </is>
      </c>
    </row>
    <row r="43" ht="330" customHeight="1">
      <c r="A43" s="6" t="inlineStr">
        <is>
          <t>スピーチ本文</t>
        </is>
      </c>
      <c r="B43" s="9" t="inlineStr"/>
      <c r="C43" s="8" t="n"/>
      <c r="D43" s="8" t="n"/>
      <c r="E43" s="8" t="n"/>
    </row>
    <row r="44">
      <c r="A44" s="2" t="inlineStr">
        <is>
          <t>語数</t>
        </is>
      </c>
      <c r="B44" s="13">
        <f>IF(LEN(TRIM(B43))=0,0,LEN(TRIM(B43))-LEN(SUBSTITUTE(TRIM(B43)," ",""))+1)</f>
        <v/>
      </c>
      <c r="C44" s="2" t="inlineStr">
        <is>
          <t>目安時間（140 wpm）</t>
        </is>
      </c>
      <c r="D44" s="13">
        <f>IF(B44=0,"",TEXT(B44/140/1440,"m:ss"))</f>
        <v/>
      </c>
      <c r="E44" s="12" t="inlineStr">
        <is>
          <t>2分 ≒ 280 語が目安</t>
        </is>
      </c>
    </row>
    <row r="45">
      <c r="A45" s="2" t="inlineStr">
        <is>
          <t>本番練習の録音時間</t>
        </is>
      </c>
      <c r="B45" s="14" t="n"/>
      <c r="C45" s="2" t="inlineStr">
        <is>
          <t>自己評価（1〜5）</t>
        </is>
      </c>
      <c r="D45" s="14" t="n"/>
    </row>
  </sheetData>
  <mergeCells count="35">
    <mergeCell ref="D20:E20"/>
    <mergeCell ref="B9:E9"/>
    <mergeCell ref="D19:E19"/>
    <mergeCell ref="C31:E31"/>
    <mergeCell ref="B6:E6"/>
    <mergeCell ref="C40:E40"/>
    <mergeCell ref="B5:E5"/>
    <mergeCell ref="D21:E21"/>
    <mergeCell ref="C36:E36"/>
    <mergeCell ref="C27:E27"/>
    <mergeCell ref="B4:E4"/>
    <mergeCell ref="D13:E13"/>
    <mergeCell ref="C39:E39"/>
    <mergeCell ref="D17:E17"/>
    <mergeCell ref="C32:E32"/>
    <mergeCell ref="A3:E3"/>
    <mergeCell ref="C38:E38"/>
    <mergeCell ref="A12:E12"/>
    <mergeCell ref="D16:E16"/>
    <mergeCell ref="C37:E37"/>
    <mergeCell ref="B43:E43"/>
    <mergeCell ref="A42:E42"/>
    <mergeCell ref="A23:E23"/>
    <mergeCell ref="D18:E18"/>
    <mergeCell ref="A8:E8"/>
    <mergeCell ref="C30:E30"/>
    <mergeCell ref="C24:E24"/>
    <mergeCell ref="A29:E29"/>
    <mergeCell ref="C33:E33"/>
    <mergeCell ref="A35:E35"/>
    <mergeCell ref="D15:E15"/>
    <mergeCell ref="D14:E14"/>
    <mergeCell ref="C26:E26"/>
    <mergeCell ref="B10:E10"/>
    <mergeCell ref="C25:E25"/>
  </mergeCells>
  <dataValidations count="1">
    <dataValidation sqref="D45" showDropDown="0" showInputMessage="0" showErrorMessage="0" allowBlank="1"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12" customWidth="1" min="4" max="4"/>
    <col width="8" customWidth="1" min="5" max="5"/>
    <col width="10" customWidth="1" min="6" max="6"/>
    <col width="12" customWidth="1" min="7" max="7"/>
    <col width="40" customWidth="1" min="8" max="8"/>
  </cols>
  <sheetData>
    <row r="1">
      <c r="A1" s="15" t="inlineStr">
        <is>
          <t>日付</t>
        </is>
      </c>
      <c r="B1" s="15" t="inlineStr">
        <is>
          <t>シート名</t>
        </is>
      </c>
      <c r="C1" s="15" t="inlineStr">
        <is>
          <t>トピック（一言）</t>
        </is>
      </c>
      <c r="D1" s="15" t="inlineStr">
        <is>
          <t>使えるPart</t>
        </is>
      </c>
      <c r="E1" s="15" t="inlineStr">
        <is>
          <t>語数</t>
        </is>
      </c>
      <c r="F1" s="15" t="inlineStr">
        <is>
          <t>録音時間</t>
        </is>
      </c>
      <c r="G1" s="15" t="inlineStr">
        <is>
          <t>自己評価(1-5)</t>
        </is>
      </c>
      <c r="H1" s="15" t="inlineStr">
        <is>
          <t>メモ</t>
        </is>
      </c>
    </row>
    <row r="2">
      <c r="A2" s="9" t="inlineStr">
        <is>
          <t>2026-09-25</t>
        </is>
      </c>
      <c r="B2" s="9" t="inlineStr">
        <is>
          <t>2026-09-25（例）</t>
        </is>
      </c>
      <c r="C2" s="9" t="inlineStr">
        <is>
          <t>電車遅延→カフェ学習→リモート勤務</t>
        </is>
      </c>
      <c r="D2" s="9" t="inlineStr">
        <is>
          <t>Part 2 / 3</t>
        </is>
      </c>
      <c r="E2" s="9">
        <f>'2026-09-25（例）'!B45</f>
        <v/>
      </c>
      <c r="F2" s="9" t="inlineStr"/>
      <c r="G2" s="9" t="inlineStr"/>
      <c r="H2" s="9" t="inlineStr">
        <is>
          <t>例：仮定法過去完了を自然に言えた</t>
        </is>
      </c>
    </row>
    <row r="3">
      <c r="A3" s="16" t="n"/>
      <c r="B3" s="16" t="n"/>
      <c r="C3" s="16" t="n"/>
      <c r="D3" s="16" t="n"/>
      <c r="E3" s="16" t="n"/>
      <c r="F3" s="16" t="n"/>
      <c r="G3" s="16" t="n"/>
      <c r="H3" s="16" t="n"/>
    </row>
    <row r="4">
      <c r="A4" s="16" t="n"/>
      <c r="B4" s="16" t="n"/>
      <c r="C4" s="16" t="n"/>
      <c r="D4" s="16" t="n"/>
      <c r="E4" s="16" t="n"/>
      <c r="F4" s="16" t="n"/>
      <c r="G4" s="16" t="n"/>
      <c r="H4" s="16" t="n"/>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32" customWidth="1" min="4" max="4"/>
    <col width="50" customWidth="1" min="5" max="5"/>
    <col width="10" customWidth="1" min="6" max="6"/>
  </cols>
  <sheetData>
    <row r="1">
      <c r="A1" s="15" t="inlineStr">
        <is>
          <t>日付</t>
        </is>
      </c>
      <c r="B1" s="15" t="inlineStr">
        <is>
          <t>単語・表現</t>
        </is>
      </c>
      <c r="C1" s="15" t="inlineStr">
        <is>
          <t>意味</t>
        </is>
      </c>
      <c r="D1" s="15" t="inlineStr">
        <is>
          <t>アピールポイント</t>
        </is>
      </c>
      <c r="E1" s="15" t="inlineStr">
        <is>
          <t>例文</t>
        </is>
      </c>
      <c r="F1" s="15" t="inlineStr">
        <is>
          <t>使用回数</t>
        </is>
      </c>
    </row>
    <row r="2">
      <c r="A2" s="9" t="inlineStr">
        <is>
          <t>2026-09-25</t>
        </is>
      </c>
      <c r="B2" s="9" t="inlineStr">
        <is>
          <t>make the most of ~</t>
        </is>
      </c>
      <c r="C2" s="9" t="inlineStr">
        <is>
          <t>〜を最大限に活用する</t>
        </is>
      </c>
      <c r="D2" s="9" t="inlineStr">
        <is>
          <t>慣用表現 → Lexical Resource で高評価</t>
        </is>
      </c>
      <c r="E2" s="9" t="inlineStr">
        <is>
          <t>I decided to make the most of the delay.</t>
        </is>
      </c>
      <c r="F2" s="9" t="inlineStr"/>
    </row>
    <row r="3">
      <c r="A3" s="9" t="inlineStr">
        <is>
          <t>2026-09-25</t>
        </is>
      </c>
      <c r="B3" s="9" t="inlineStr">
        <is>
          <t>a blessing in disguise</t>
        </is>
      </c>
      <c r="C3" s="9" t="inlineStr">
        <is>
          <t>災い転じて福となす</t>
        </is>
      </c>
      <c r="D3" s="9" t="inlineStr">
        <is>
          <t>イディオムを自然に使える印象</t>
        </is>
      </c>
      <c r="E3" s="9" t="inlineStr">
        <is>
          <t>The delay turned out to be a blessing in disguise.</t>
        </is>
      </c>
      <c r="F3" s="9" t="inlineStr"/>
    </row>
    <row r="4">
      <c r="A4" s="9" t="inlineStr">
        <is>
          <t>2026-09-25</t>
        </is>
      </c>
      <c r="B4" s="9" t="inlineStr">
        <is>
          <t>behind schedule</t>
        </is>
      </c>
      <c r="C4" s="9" t="inlineStr">
        <is>
          <t>予定より遅れて</t>
        </is>
      </c>
      <c r="D4" s="9" t="inlineStr">
        <is>
          <t>late の言い換え（語彙の幅）</t>
        </is>
      </c>
      <c r="E4" s="9" t="inlineStr">
        <is>
          <t>The trains were running behind schedule.</t>
        </is>
      </c>
      <c r="F4" s="9" t="inlineStr"/>
    </row>
    <row r="5">
      <c r="A5" s="9" t="inlineStr">
        <is>
          <t>2026-09-25</t>
        </is>
      </c>
      <c r="B5" s="9" t="inlineStr">
        <is>
          <t>work remotely / hybrid working</t>
        </is>
      </c>
      <c r="C5" s="9" t="inlineStr">
        <is>
          <t>リモート勤務／ハイブリッド勤務</t>
        </is>
      </c>
      <c r="D5" s="9" t="inlineStr">
        <is>
          <t>Part 3 の社会テーマに直結</t>
        </is>
      </c>
      <c r="E5" s="9" t="inlineStr">
        <is>
          <t>More companies now allow hybrid working.</t>
        </is>
      </c>
      <c r="F5" s="9" t="inlineStr"/>
    </row>
    <row r="6">
      <c r="A6" s="9" t="inlineStr">
        <is>
          <t>2026-09-25</t>
        </is>
      </c>
      <c r="B6" s="9" t="inlineStr">
        <is>
          <t>commute (n./v.)</t>
        </is>
      </c>
      <c r="C6" s="9" t="inlineStr">
        <is>
          <t>通勤（する）</t>
        </is>
      </c>
      <c r="D6" s="9" t="inlineStr">
        <is>
          <t>Part 1 Work/Transport の必須語</t>
        </is>
      </c>
      <c r="E6" s="9" t="inlineStr">
        <is>
          <t>My daily commute takes about an hour.</t>
        </is>
      </c>
      <c r="F6" s="9" t="inlineStr"/>
    </row>
    <row r="7">
      <c r="A7" s="9" t="inlineStr">
        <is>
          <t>2026-09-25</t>
        </is>
      </c>
      <c r="B7" s="9" t="inlineStr">
        <is>
          <t>It made me question whether ~</t>
        </is>
      </c>
      <c r="C7" s="9" t="inlineStr">
        <is>
          <t>〜かどうか考えさせられた</t>
        </is>
      </c>
      <c r="D7" s="9" t="inlineStr">
        <is>
          <t>意見・内省を示す定型</t>
        </is>
      </c>
      <c r="E7" s="9" t="inlineStr">
        <is>
          <t>It made me question whether commuting is necessary.</t>
        </is>
      </c>
      <c r="F7" s="9" t="inlineStr"/>
    </row>
    <row r="8">
      <c r="A8" s="9" t="inlineStr">
        <is>
          <t>2026-09-25</t>
        </is>
      </c>
      <c r="B8" s="9" t="inlineStr">
        <is>
          <t>far better than ~</t>
        </is>
      </c>
      <c r="C8" s="9" t="inlineStr">
        <is>
          <t>〜よりはるかに良い</t>
        </is>
      </c>
      <c r="D8" s="9" t="inlineStr">
        <is>
          <t>比較の強調（far / much）</t>
        </is>
      </c>
      <c r="E8" s="9" t="inlineStr">
        <is>
          <t>I could focus far better than I do at home.</t>
        </is>
      </c>
      <c r="F8" s="9" t="inlineStr"/>
    </row>
    <row r="9">
      <c r="A9" s="9" t="inlineStr">
        <is>
          <t>2026-09-25</t>
        </is>
      </c>
      <c r="B9" s="9" t="inlineStr">
        <is>
          <t>counterproductive</t>
        </is>
      </c>
      <c r="C9" s="9" t="inlineStr">
        <is>
          <t>逆効果の</t>
        </is>
      </c>
      <c r="D9" s="9" t="inlineStr">
        <is>
          <t>Band 7+ 語彙。Part 3 の議論で有効</t>
        </is>
      </c>
      <c r="E9" s="9" t="inlineStr">
        <is>
          <t>Forcing everyone into the office can be counterproductive.</t>
        </is>
      </c>
      <c r="F9"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55" customWidth="1" min="4" max="4"/>
    <col width="34" customWidth="1" min="5" max="5"/>
  </cols>
  <sheetData>
    <row r="1">
      <c r="A1" s="15" t="inlineStr">
        <is>
          <t>カテゴリ</t>
        </is>
      </c>
      <c r="B1" s="15" t="inlineStr">
        <is>
          <t>文法項目</t>
        </is>
      </c>
      <c r="C1" s="15" t="inlineStr">
        <is>
          <t>型</t>
        </is>
      </c>
      <c r="D1" s="15" t="inlineStr">
        <is>
          <t>例文</t>
        </is>
      </c>
      <c r="E1" s="15" t="inlineStr">
        <is>
          <t>IELTSでの効果</t>
        </is>
      </c>
    </row>
    <row r="2">
      <c r="A2" s="6" t="inlineStr">
        <is>
          <t>時制の幅</t>
        </is>
      </c>
      <c r="B2" s="9" t="inlineStr">
        <is>
          <t>過去完了</t>
        </is>
      </c>
      <c r="C2" s="9" t="inlineStr">
        <is>
          <t>had + p.p.</t>
        </is>
      </c>
      <c r="D2" s="9" t="inlineStr">
        <is>
          <t>By the time I arrived, the train had already left.</t>
        </is>
      </c>
      <c r="E2" s="9" t="inlineStr">
        <is>
          <t>出来事の前後関係を明確にできる</t>
        </is>
      </c>
    </row>
    <row r="3">
      <c r="A3" s="6" t="inlineStr">
        <is>
          <t>時制の幅</t>
        </is>
      </c>
      <c r="B3" s="9" t="inlineStr">
        <is>
          <t>過去完了進行</t>
        </is>
      </c>
      <c r="C3" s="9" t="inlineStr">
        <is>
          <t>had been + -ing</t>
        </is>
      </c>
      <c r="D3" s="9" t="inlineStr">
        <is>
          <t>It had been raining for hours.</t>
        </is>
      </c>
      <c r="E3" s="9" t="inlineStr">
        <is>
          <t>継続の背景描写（Part 2 の導入に最適）</t>
        </is>
      </c>
    </row>
    <row r="4">
      <c r="A4" s="6" t="inlineStr">
        <is>
          <t>時制の幅</t>
        </is>
      </c>
      <c r="B4" s="9" t="inlineStr">
        <is>
          <t>現在完了（進行）</t>
        </is>
      </c>
      <c r="C4" s="9" t="inlineStr">
        <is>
          <t>have (been) + p.p./-ing</t>
        </is>
      </c>
      <c r="D4" s="9" t="inlineStr">
        <is>
          <t>I've been studying for IELTS since April.</t>
        </is>
      </c>
      <c r="E4" s="9" t="inlineStr">
        <is>
          <t>経験・継続を自然に表す</t>
        </is>
      </c>
    </row>
    <row r="5">
      <c r="A5" s="6" t="inlineStr">
        <is>
          <t>時制の幅</t>
        </is>
      </c>
      <c r="B5" s="9" t="inlineStr">
        <is>
          <t>未来進行・未来完了</t>
        </is>
      </c>
      <c r="C5" s="9" t="inlineStr">
        <is>
          <t>will be -ing / will have p.p.</t>
        </is>
      </c>
      <c r="D5" s="9" t="inlineStr">
        <is>
          <t>By next year, I will have finished my degree.</t>
        </is>
      </c>
      <c r="E5" s="9" t="inlineStr">
        <is>
          <t>Band 7+ でも差がつく時制</t>
        </is>
      </c>
    </row>
    <row r="6">
      <c r="A6" s="6" t="inlineStr">
        <is>
          <t>仮定法</t>
        </is>
      </c>
      <c r="B6" s="9" t="inlineStr">
        <is>
          <t>仮定法過去</t>
        </is>
      </c>
      <c r="C6" s="9" t="inlineStr">
        <is>
          <t>If + 過去形, would + 原形</t>
        </is>
      </c>
      <c r="D6" s="9" t="inlineStr">
        <is>
          <t>If I lived closer to work, I would walk.</t>
        </is>
      </c>
      <c r="E6" s="9" t="inlineStr">
        <is>
          <t>現在の仮定・理想（Part 3 の意見）</t>
        </is>
      </c>
    </row>
    <row r="7">
      <c r="A7" s="6" t="inlineStr">
        <is>
          <t>仮定法</t>
        </is>
      </c>
      <c r="B7" s="9" t="inlineStr">
        <is>
          <t>仮定法過去完了</t>
        </is>
      </c>
      <c r="C7" s="9" t="inlineStr">
        <is>
          <t>If + had p.p., would have p.p.</t>
        </is>
      </c>
      <c r="D7" s="9" t="inlineStr">
        <is>
          <t>If I hadn't missed the train, I wouldn't have met her.</t>
        </is>
      </c>
      <c r="E7" s="9" t="inlineStr">
        <is>
          <t>過去の振り返り（Part 2 の締め）</t>
        </is>
      </c>
    </row>
    <row r="8">
      <c r="A8" s="6" t="inlineStr">
        <is>
          <t>仮定法</t>
        </is>
      </c>
      <c r="B8" s="9" t="inlineStr">
        <is>
          <t>混合仮定法</t>
        </is>
      </c>
      <c r="C8" s="9" t="inlineStr">
        <is>
          <t>If + had p.p., would + 原形</t>
        </is>
      </c>
      <c r="D8" s="9" t="inlineStr">
        <is>
          <t>If I had studied abroad, I would be more confident now.</t>
        </is>
      </c>
      <c r="E8" s="9" t="inlineStr">
        <is>
          <t>上級者アピール</t>
        </is>
      </c>
    </row>
    <row r="9">
      <c r="A9" s="6" t="inlineStr">
        <is>
          <t>仮定法</t>
        </is>
      </c>
      <c r="B9" s="9" t="inlineStr">
        <is>
          <t>I wish / If only</t>
        </is>
      </c>
      <c r="C9" s="9" t="inlineStr">
        <is>
          <t>I wish + 過去形</t>
        </is>
      </c>
      <c r="D9" s="9" t="inlineStr">
        <is>
          <t>I wish I had more free time.</t>
        </is>
      </c>
      <c r="E9" s="9" t="inlineStr">
        <is>
          <t>感情を自然に伝える</t>
        </is>
      </c>
    </row>
    <row r="10">
      <c r="A10" s="6" t="inlineStr">
        <is>
          <t>助動詞</t>
        </is>
      </c>
      <c r="B10" s="9" t="inlineStr">
        <is>
          <t>過去への推量・後悔</t>
        </is>
      </c>
      <c r="C10" s="9" t="inlineStr">
        <is>
          <t>should/might/must have p.p.</t>
        </is>
      </c>
      <c r="D10" s="9" t="inlineStr">
        <is>
          <t>I should have left earlier.</t>
        </is>
      </c>
      <c r="E10" s="9" t="inlineStr">
        <is>
          <t>後悔・推量のニュアンス</t>
        </is>
      </c>
    </row>
    <row r="11">
      <c r="A11" s="6" t="inlineStr">
        <is>
          <t>助動詞</t>
        </is>
      </c>
      <c r="B11" s="9" t="inlineStr">
        <is>
          <t>丁寧な提案・意見</t>
        </is>
      </c>
      <c r="C11" s="9" t="inlineStr">
        <is>
          <t>should / could / might</t>
        </is>
      </c>
      <c r="D11" s="9" t="inlineStr">
        <is>
          <t>The government could invest more in trains.</t>
        </is>
      </c>
      <c r="E11" s="9" t="inlineStr">
        <is>
          <t>Part 3 で断定を避けつつ意見を述べる</t>
        </is>
      </c>
    </row>
    <row r="12">
      <c r="A12" s="6" t="inlineStr">
        <is>
          <t>複雑な文構造</t>
        </is>
      </c>
      <c r="B12" s="9" t="inlineStr">
        <is>
          <t>関係詞（非制限）</t>
        </is>
      </c>
      <c r="C12" s="9" t="inlineStr">
        <is>
          <t>, which ~</t>
        </is>
      </c>
      <c r="D12" s="9" t="inlineStr">
        <is>
          <t>I missed the train, which was annoying.</t>
        </is>
      </c>
      <c r="E12" s="9" t="inlineStr">
        <is>
          <t>文をつなげて流暢さを出す</t>
        </is>
      </c>
    </row>
    <row r="13">
      <c r="A13" s="6" t="inlineStr">
        <is>
          <t>複雑な文構造</t>
        </is>
      </c>
      <c r="B13" s="9" t="inlineStr">
        <is>
          <t>分詞構文</t>
        </is>
      </c>
      <c r="C13" s="9" t="inlineStr">
        <is>
          <t>Having p.p., ~ / -ing, ~</t>
        </is>
      </c>
      <c r="D13" s="9" t="inlineStr">
        <is>
          <t>Having finished work, I went to the gym.</t>
        </is>
      </c>
      <c r="E13" s="9" t="inlineStr">
        <is>
          <t>書き言葉的な洗練</t>
        </is>
      </c>
    </row>
    <row r="14">
      <c r="A14" s="6" t="inlineStr">
        <is>
          <t>複雑な文構造</t>
        </is>
      </c>
      <c r="B14" s="9" t="inlineStr">
        <is>
          <t>強調構文</t>
        </is>
      </c>
      <c r="C14" s="9" t="inlineStr">
        <is>
          <t>What ~ is / It is ~ that</t>
        </is>
      </c>
      <c r="D14" s="9" t="inlineStr">
        <is>
          <t>What I enjoy most is the quiet atmosphere.</t>
        </is>
      </c>
      <c r="E14" s="9" t="inlineStr">
        <is>
          <t>ポイントを際立たせる</t>
        </is>
      </c>
    </row>
    <row r="15">
      <c r="A15" s="6" t="inlineStr">
        <is>
          <t>複雑な文構造</t>
        </is>
      </c>
      <c r="B15" s="9" t="inlineStr">
        <is>
          <t>倒置</t>
        </is>
      </c>
      <c r="C15" s="9" t="inlineStr">
        <is>
          <t>Not only do ~, but ~ also</t>
        </is>
      </c>
      <c r="D15" s="9" t="inlineStr">
        <is>
          <t>Not only is it cheap, but it's also convenient.</t>
        </is>
      </c>
      <c r="E15" s="9" t="inlineStr">
        <is>
          <t>Band 8 レベルの構文</t>
        </is>
      </c>
    </row>
    <row r="16">
      <c r="A16" s="6" t="inlineStr">
        <is>
          <t>複雑な文構造</t>
        </is>
      </c>
      <c r="B16" s="9" t="inlineStr">
        <is>
          <t>譲歩</t>
        </is>
      </c>
      <c r="C16" s="9" t="inlineStr">
        <is>
          <t>Although / Even though / While</t>
        </is>
      </c>
      <c r="D16" s="9" t="inlineStr">
        <is>
          <t>Although it was raining, I enjoyed the walk.</t>
        </is>
      </c>
      <c r="E16" s="9" t="inlineStr">
        <is>
          <t>対比でバランスのとれた議論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2026-09-25T03:48:31Z</dcterms:created>
  <dcterms:modified xsi:type="dcterms:W3CDTF">2026-09-25T03:48:31Z</dcterms:modified>
</cp:coreProperties>
</file>