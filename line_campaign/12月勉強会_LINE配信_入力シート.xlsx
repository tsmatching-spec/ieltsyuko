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配信スケジュール" sheetId="2" state="visible" r:id="rId4"/>
    <sheet name="準備Todo" sheetId="3" state="visible" r:id="rId5"/>
    <sheet name="型の説明" sheetId="4" state="visible" r:id="rId6"/>
    <sheet name="基本情報" sheetId="5" state="visible" r:id="rId7"/>
    <sheet name="特典" sheetId="6" state="visible" r:id="rId8"/>
    <sheet name="受講生事例" sheetId="7" state="visible" r:id="rId9"/>
    <sheet name="素材リスト" sheetId="8" state="visible" r:id="rId10"/>
  </sheets>
  <definedNames>
    <definedName function="false" hidden="true" localSheetId="2" name="_xlnm._FilterDatabase" vbProcedure="false">準備Todo!$A$1:$L$38</definedName>
    <definedName function="false" hidden="true" localSheetId="1" name="_xlnm._FilterDatabase" vbProcedure="false">配信スケジュール!$A$1:$P$59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WenQuanYi Zen Hei"/>
            <family val="2"/>
          </rPr>
          <t xml:space="preserve">申込数・残席・受取人数など。実数がなければ空欄（数字なしの文にします）</t>
        </r>
      </text>
    </comment>
    <comment ref="N1" authorId="0">
      <text>
        <r>
          <rPr>
            <sz val="10"/>
            <rFont val="WenQuanYi Zen Hei"/>
            <family val="2"/>
          </rPr>
          <t xml:space="preserve">短＝リマインド程度／中＝参考アカウントの標準／長＝事例・告知など</t>
        </r>
      </text>
    </comment>
    <comment ref="P1" authorId="0">
      <text>
        <r>
          <rPr>
            <sz val="10"/>
            <rFont val="Arial"/>
            <family val="2"/>
          </rPr>
          <t xml:space="preserve">Claude</t>
        </r>
        <r>
          <rPr>
            <sz val="10"/>
            <rFont val="WenQuanYi Zen Hei"/>
            <family val="2"/>
          </rPr>
          <t xml:space="preserve">に作ってほしい行を「記入済」に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締切日の週の月曜日。週ごとに並べ替え・絞り込みに使えます</t>
        </r>
      </text>
    </comment>
    <comment ref="L1" authorId="0">
      <text>
        <r>
          <rPr>
            <sz val="10"/>
            <rFont val="WenQuanYi Zen Hei"/>
            <family val="2"/>
          </rPr>
          <t xml:space="preserve">締切までの日数。赤＝締切を過ぎた未完了、黄＝締切まで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日以内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WenQuanYi Zen Hei"/>
            <family val="2"/>
          </rPr>
          <t xml:space="preserve">参加特典でタイトルが入っている行数。「○大特典」の○に使います</t>
        </r>
      </text>
    </comment>
  </commentList>
</comments>
</file>

<file path=xl/sharedStrings.xml><?xml version="1.0" encoding="utf-8"?>
<sst xmlns="http://schemas.openxmlformats.org/spreadsheetml/2006/main" count="924" uniqueCount="491">
  <si>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WenQuanYi Zen Hei"/>
        <family val="2"/>
      </rPr>
      <t xml:space="preserve">月特別勉強会 </t>
    </r>
    <r>
      <rPr>
        <b val="true"/>
        <sz val="14"/>
        <rFont val="Arial"/>
        <family val="0"/>
        <charset val="1"/>
      </rPr>
      <t xml:space="preserve">LINE</t>
    </r>
    <r>
      <rPr>
        <b val="true"/>
        <sz val="14"/>
        <rFont val="WenQuanYi Zen Hei"/>
        <family val="2"/>
      </rPr>
      <t xml:space="preserve">配信 入力シート</t>
    </r>
  </si>
  <si>
    <t xml:space="preserve">■ このシートの使い方</t>
  </si>
  <si>
    <r>
      <rPr>
        <sz val="10"/>
        <rFont val="Arial"/>
        <family val="0"/>
        <charset val="1"/>
      </rPr>
      <t xml:space="preserve">0. </t>
    </r>
    <r>
      <rPr>
        <sz val="10"/>
        <rFont val="WenQuanYi Zen Hei"/>
        <family val="2"/>
      </rPr>
      <t xml:space="preserve">「準備</t>
    </r>
    <r>
      <rPr>
        <sz val="10"/>
        <rFont val="Arial"/>
        <family val="0"/>
        <charset val="1"/>
      </rPr>
      <t xml:space="preserve">Todo</t>
    </r>
    <r>
      <rPr>
        <sz val="10"/>
        <rFont val="WenQuanYi Zen Hei"/>
        <family val="2"/>
      </rPr>
      <t xml:space="preserve">」シートで、いつまでに何を準備するかを確認・管理する（締切を過ぎた未完了は赤くなります）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</si>
  <si>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「基本情報」シートを埋める（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回だけ。全メッセージ共通の情報）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</si>
  <si>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「特典」「受講生事例」「素材リスト」シートを、決まっている分だけ埋める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</si>
  <si>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「配信スケジュール」シートで、作りたい配信の行の黄色セルを埋め、ステータスを「記入済」にする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</si>
  <si>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このファイルを</t>
    </r>
    <r>
      <rPr>
        <sz val="10"/>
        <rFont val="Arial"/>
        <family val="0"/>
        <charset val="1"/>
      </rPr>
      <t xml:space="preserve">Claude</t>
    </r>
    <r>
      <rPr>
        <sz val="10"/>
        <rFont val="WenQuanYi Zen Hei"/>
        <family val="2"/>
      </rPr>
      <t xml:space="preserve">に送り「記入済の行の</t>
    </r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文を作って」と伝える → 型に沿った本文が返ってきます</t>
    </r>
  </si>
  <si>
    <t xml:space="preserve">■ セルの色</t>
  </si>
  <si>
    <t xml:space="preserve">黄色 ＝ あなたが記入するセル</t>
  </si>
  <si>
    <r>
      <rPr>
        <sz val="10"/>
        <rFont val="WenQuanYi Zen Hei"/>
        <family val="2"/>
      </rPr>
      <t xml:space="preserve">青 ＝ 構成案で決めた内容（変更して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</si>
  <si>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グレー ＝ 記入例（消さずに残しておいて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Claude</t>
    </r>
    <r>
      <rPr>
        <sz val="10"/>
        <rFont val="WenQuanYi Zen Hei"/>
        <family val="2"/>
      </rPr>
      <t xml:space="preserve">は読み飛ばします）</t>
    </r>
  </si>
  <si>
    <t xml:space="preserve">■ 書き方のコツ</t>
  </si>
  <si>
    <r>
      <rPr>
        <sz val="10"/>
        <rFont val="WenQuanYi Zen Hei"/>
        <family val="2"/>
      </rPr>
      <t xml:space="preserve">・文章になっていなくて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。箇条書き・メモ書きで十分です</t>
    </r>
  </si>
  <si>
    <t xml:space="preserve">・申込人数・残席などの数字は「実際の数字」を書いてください（実数がない場合は空欄→数字を使わない文にします）</t>
  </si>
  <si>
    <r>
      <rPr>
        <sz val="10"/>
        <rFont val="WenQuanYi Zen Hei"/>
        <family val="2"/>
      </rPr>
      <t xml:space="preserve">・動画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音声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画像を付ける場合は「素材リスト」に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を付けて登録し、配信スケジュールの「添付素材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」にその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を書いてください</t>
    </r>
  </si>
  <si>
    <r>
      <rPr>
        <sz val="10"/>
        <rFont val="WenQuanYi Zen Hei"/>
        <family val="2"/>
      </rPr>
      <t xml:space="preserve">・「型」は「型の説明」シートの一覧から選べます（プルダウン）。迷ったら構成案のままで</t>
    </r>
    <r>
      <rPr>
        <sz val="10"/>
        <rFont val="Arial"/>
        <family val="0"/>
        <charset val="1"/>
      </rPr>
      <t xml:space="preserve">OK</t>
    </r>
  </si>
  <si>
    <t xml:space="preserve">■ 進み具合</t>
  </si>
  <si>
    <t xml:space="preserve">No</t>
  </si>
  <si>
    <t xml:space="preserve">フェーズ</t>
  </si>
  <si>
    <t xml:space="preserve">日付</t>
  </si>
  <si>
    <t xml:space="preserve">曜日</t>
  </si>
  <si>
    <t xml:space="preserve">時刻</t>
  </si>
  <si>
    <t xml:space="preserve">配信対象</t>
  </si>
  <si>
    <t xml:space="preserve">型</t>
  </si>
  <si>
    <t xml:space="preserve">見出し案</t>
  </si>
  <si>
    <r>
      <rPr>
        <b val="true"/>
        <sz val="10"/>
        <color rgb="FFFFFFFF"/>
        <rFont val="WenQuanYi Zen Hei"/>
        <family val="2"/>
      </rPr>
      <t xml:space="preserve">このメッセージで伝えたいこと（メモで</t>
    </r>
    <r>
      <rPr>
        <b val="true"/>
        <sz val="10"/>
        <color rgb="FFFFFFFF"/>
        <rFont val="Arial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</si>
  <si>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入れたい数字（実数）</t>
  </si>
  <si>
    <r>
      <rPr>
        <b val="true"/>
        <sz val="10"/>
        <color rgb="FFFFFFFF"/>
        <rFont val="WenQuanYi Zen Hei"/>
        <family val="2"/>
      </rPr>
      <t xml:space="preserve">添付素材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</si>
  <si>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WenQuanYi Zen Hei"/>
        <family val="2"/>
      </rPr>
      <t xml:space="preserve">使う事例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</si>
  <si>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Arial"/>
        <family val="0"/>
        <charset val="1"/>
      </rPr>
      <t xml:space="preserve">CTA</t>
    </r>
    <r>
      <rPr>
        <b val="true"/>
        <sz val="10"/>
        <color rgb="FFFFFFFF"/>
        <rFont val="WenQuanYi Zen Hei"/>
        <family val="2"/>
      </rPr>
      <t xml:space="preserve">（ボタン・リンク）</t>
    </r>
  </si>
  <si>
    <t xml:space="preserve">文字量</t>
  </si>
  <si>
    <r>
      <rPr>
        <b val="true"/>
        <sz val="10"/>
        <color rgb="FFFFFFFF"/>
        <rFont val="WenQuanYi Zen Hei"/>
        <family val="2"/>
      </rPr>
      <t xml:space="preserve">備考・</t>
    </r>
    <r>
      <rPr>
        <b val="true"/>
        <sz val="10"/>
        <color rgb="FFFFFFFF"/>
        <rFont val="Arial"/>
        <family val="0"/>
        <charset val="1"/>
      </rPr>
      <t xml:space="preserve">NG</t>
    </r>
  </si>
  <si>
    <t xml:space="preserve">ステータス</t>
  </si>
  <si>
    <t xml:space="preserve">例</t>
  </si>
  <si>
    <t xml:space="preserve">①期待づくり</t>
  </si>
  <si>
    <t xml:space="preserve">20:00</t>
  </si>
  <si>
    <t xml:space="preserve">全員</t>
  </si>
  <si>
    <t xml:space="preserve">予告・反応取り</t>
  </si>
  <si>
    <t xml:space="preserve">【過去最大級！】年末特別企画を準備中…</t>
  </si>
  <si>
    <r>
      <rPr>
        <sz val="10"/>
        <rFont val="WenQuanYi Zen Hei"/>
        <family val="2"/>
      </rPr>
      <t xml:space="preserve">・今年も受講生のスコアが変わる瞬間に立ち会えたお礼
・年末に特別な企画を準備中（中身はまだ秘密）
・詳細は</t>
    </r>
    <r>
      <rPr>
        <sz val="10"/>
        <rFont val="Arial"/>
        <family val="0"/>
        <charset val="1"/>
      </rPr>
      <t xml:space="preserve">12/2(</t>
    </r>
    <r>
      <rPr>
        <sz val="10"/>
        <rFont val="WenQuanYi Zen Hei"/>
        <family val="2"/>
      </rPr>
      <t xml:space="preserve">水</t>
    </r>
    <r>
      <rPr>
        <sz val="10"/>
        <rFont val="Arial"/>
        <family val="0"/>
        <charset val="1"/>
      </rPr>
      <t xml:space="preserve">)20</t>
    </r>
    <r>
      <rPr>
        <sz val="10"/>
        <rFont val="WenQuanYi Zen Hei"/>
        <family val="2"/>
      </rPr>
      <t xml:space="preserve">時
・スタンプを送ってほしい</t>
    </r>
  </si>
  <si>
    <t xml:space="preserve">今年の受講生○名</t>
  </si>
  <si>
    <r>
      <rPr>
        <sz val="10"/>
        <rFont val="WenQuanYi Zen Hei"/>
        <family val="2"/>
      </rPr>
      <t xml:space="preserve">スタンプを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つ送って</t>
    </r>
  </si>
  <si>
    <t xml:space="preserve">中</t>
  </si>
  <si>
    <t xml:space="preserve">「絶対」は使わない</t>
  </si>
  <si>
    <t xml:space="preserve">記入例</t>
  </si>
  <si>
    <t xml:space="preserve">未記入</t>
  </si>
  <si>
    <t xml:space="preserve">社会的証明</t>
  </si>
  <si>
    <r>
      <rPr>
        <sz val="10"/>
        <rFont val="WenQuanYi Zen Hei"/>
        <family val="2"/>
      </rPr>
      <t xml:space="preserve">想像を超えるスタンプが…！明日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時解禁</t>
    </r>
  </si>
  <si>
    <t xml:space="preserve">08:00</t>
  </si>
  <si>
    <t xml:space="preserve">リマインド</t>
  </si>
  <si>
    <r>
      <rPr>
        <sz val="10"/>
        <rFont val="WenQuanYi Zen Hei"/>
        <family val="2"/>
      </rPr>
      <t xml:space="preserve">本日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時、情報解禁します</t>
    </r>
  </si>
  <si>
    <t xml:space="preserve">正式告知</t>
  </si>
  <si>
    <t xml:space="preserve">【ただいま解禁】年末特別勉強会の詳細</t>
  </si>
  <si>
    <t xml:space="preserve">中身の予告</t>
  </si>
  <si>
    <t xml:space="preserve">勉強会ではどんなことが学べるの？</t>
  </si>
  <si>
    <t xml:space="preserve">特典告知</t>
  </si>
  <si>
    <t xml:space="preserve">【参加者限定】○大特典、初公開</t>
  </si>
  <si>
    <r>
      <rPr>
        <sz val="10"/>
        <rFont val="WenQuanYi Zen Hei"/>
        <family val="2"/>
      </rPr>
      <t xml:space="preserve">【まさかの追加特典】先行予約限定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大特典</t>
    </r>
  </si>
  <si>
    <t xml:space="preserve">価値提供</t>
  </si>
  <si>
    <r>
      <rPr>
        <sz val="10"/>
        <rFont val="WenQuanYi Zen Hei"/>
        <family val="2"/>
      </rPr>
      <t xml:space="preserve">【本日解禁】</t>
    </r>
    <r>
      <rPr>
        <sz val="10"/>
        <rFont val="Arial"/>
        <family val="0"/>
        <charset val="1"/>
      </rPr>
      <t xml:space="preserve">IELTS 0→6.5 </t>
    </r>
    <r>
      <rPr>
        <sz val="10"/>
        <rFont val="WenQuanYi Zen Hei"/>
        <family val="2"/>
      </rPr>
      <t xml:space="preserve">ロードマップ</t>
    </r>
  </si>
  <si>
    <r>
      <rPr>
        <sz val="10"/>
        <rFont val="WenQuanYi Zen Hei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日後、先行予約スタート】社会人からでも</t>
    </r>
    <r>
      <rPr>
        <sz val="10"/>
        <rFont val="Arial"/>
        <family val="0"/>
        <charset val="1"/>
      </rPr>
      <t xml:space="preserve">7.0</t>
    </r>
    <r>
      <rPr>
        <sz val="10"/>
        <rFont val="WenQuanYi Zen Hei"/>
        <family val="2"/>
      </rPr>
      <t xml:space="preserve">は取れる</t>
    </r>
  </si>
  <si>
    <t xml:space="preserve">事例・対談</t>
  </si>
  <si>
    <t xml:space="preserve">【受講生の逆転劇】対談動画①</t>
  </si>
  <si>
    <t xml:space="preserve">②先行予約</t>
  </si>
  <si>
    <r>
      <rPr>
        <sz val="10"/>
        <rFont val="WenQuanYi Zen Hei"/>
        <family val="2"/>
      </rPr>
      <t xml:space="preserve">本日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時から先行予約受付開始</t>
    </r>
  </si>
  <si>
    <t xml:space="preserve">19:00</t>
  </si>
  <si>
    <r>
      <rPr>
        <sz val="10"/>
        <rFont val="WenQuanYi Zen Hei"/>
        <family val="2"/>
      </rPr>
      <t xml:space="preserve">【あと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時間】先行予約、開始します</t>
    </r>
  </si>
  <si>
    <t xml:space="preserve">オープン</t>
  </si>
  <si>
    <t xml:space="preserve">【先着特典あり】募集開始しました！</t>
  </si>
  <si>
    <t xml:space="preserve">23:00</t>
  </si>
  <si>
    <t xml:space="preserve">未申込</t>
  </si>
  <si>
    <t xml:space="preserve">想像を超える反響に震えています</t>
  </si>
  <si>
    <r>
      <rPr>
        <sz val="10"/>
        <rFont val="WenQuanYi Zen Hei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日で○名突破】先行特典は</t>
    </r>
    <r>
      <rPr>
        <sz val="10"/>
        <rFont val="Arial"/>
        <family val="0"/>
        <charset val="1"/>
      </rPr>
      <t xml:space="preserve">12/15</t>
    </r>
    <r>
      <rPr>
        <sz val="10"/>
        <rFont val="WenQuanYi Zen Hei"/>
        <family val="2"/>
      </rPr>
      <t xml:space="preserve">まで</t>
    </r>
  </si>
  <si>
    <t xml:space="preserve">先行特典受取</t>
  </si>
  <si>
    <t xml:space="preserve">先行特典①をお届けしました</t>
  </si>
  <si>
    <t xml:space="preserve">嬉しいご報告が届きました（受講生の声）</t>
  </si>
  <si>
    <t xml:space="preserve">先行特典②公開、まだ間に合います</t>
  </si>
  <si>
    <r>
      <rPr>
        <sz val="10"/>
        <rFont val="WenQuanYi Zen Hei"/>
        <family val="2"/>
      </rPr>
      <t xml:space="preserve">【逆転の</t>
    </r>
    <r>
      <rPr>
        <sz val="10"/>
        <rFont val="Arial"/>
        <family val="0"/>
        <charset val="1"/>
      </rPr>
      <t xml:space="preserve">Speaking</t>
    </r>
    <r>
      <rPr>
        <sz val="10"/>
        <rFont val="WenQuanYi Zen Hei"/>
        <family val="2"/>
      </rPr>
      <t xml:space="preserve">】対談動画②</t>
    </r>
  </si>
  <si>
    <t xml:space="preserve">13:00</t>
  </si>
  <si>
    <t xml:space="preserve">参加型・気づき</t>
  </si>
  <si>
    <r>
      <rPr>
        <sz val="10"/>
        <rFont val="WenQuanYi Zen Hei"/>
        <family val="2"/>
      </rPr>
      <t xml:space="preserve">【緊急】この質問に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秒で答えられますか？</t>
    </r>
  </si>
  <si>
    <t xml:space="preserve">21:00</t>
  </si>
  <si>
    <t xml:space="preserve">昼の動画、見ていただけましたか？</t>
  </si>
  <si>
    <r>
      <rPr>
        <sz val="10"/>
        <rFont val="WenQuanYi Zen Hei"/>
        <family val="2"/>
      </rPr>
      <t xml:space="preserve">嬉しすぎて音声とりました（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分）</t>
    </r>
  </si>
  <si>
    <t xml:space="preserve">締切</t>
  </si>
  <si>
    <r>
      <rPr>
        <sz val="10"/>
        <rFont val="WenQuanYi Zen Hei"/>
        <family val="2"/>
      </rPr>
      <t xml:space="preserve">【重要】先行特典は本日</t>
    </r>
    <r>
      <rPr>
        <sz val="10"/>
        <rFont val="Arial"/>
        <family val="0"/>
        <charset val="1"/>
      </rPr>
      <t xml:space="preserve">23:59</t>
    </r>
    <r>
      <rPr>
        <sz val="10"/>
        <rFont val="WenQuanYi Zen Hei"/>
        <family val="2"/>
      </rPr>
      <t xml:space="preserve">で完全終了</t>
    </r>
  </si>
  <si>
    <t xml:space="preserve">12:00</t>
  </si>
  <si>
    <r>
      <rPr>
        <sz val="10"/>
        <rFont val="WenQuanYi Zen Hei"/>
        <family val="2"/>
      </rPr>
      <t xml:space="preserve">先行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大特典、全て公開中です</t>
    </r>
  </si>
  <si>
    <r>
      <rPr>
        <sz val="10"/>
        <rFont val="WenQuanYi Zen Hei"/>
        <family val="2"/>
      </rPr>
      <t xml:space="preserve">【残り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時間】で受け取れなくなります</t>
    </r>
  </si>
  <si>
    <t xml:space="preserve">③クロージング</t>
  </si>
  <si>
    <t xml:space="preserve">個別風フォロー</t>
  </si>
  <si>
    <t xml:space="preserve">○○さん、個別でメッセージを送りました</t>
  </si>
  <si>
    <r>
      <rPr>
        <sz val="10"/>
        <rFont val="WenQuanYi Zen Hei"/>
        <family val="2"/>
      </rPr>
      <t xml:space="preserve">【</t>
    </r>
    <r>
      <rPr>
        <sz val="10"/>
        <rFont val="Arial"/>
        <family val="0"/>
        <charset val="1"/>
      </rPr>
      <t xml:space="preserve">Writing Task 2</t>
    </r>
    <r>
      <rPr>
        <sz val="10"/>
        <rFont val="WenQuanYi Zen Hei"/>
        <family val="2"/>
      </rPr>
      <t xml:space="preserve">】</t>
    </r>
    <r>
      <rPr>
        <sz val="10"/>
        <rFont val="Arial"/>
        <family val="0"/>
        <charset val="1"/>
      </rPr>
      <t xml:space="preserve">6.5</t>
    </r>
    <r>
      <rPr>
        <sz val="10"/>
        <rFont val="WenQuanYi Zen Hei"/>
        <family val="2"/>
      </rPr>
      <t xml:space="preserve">を超える型（動画）</t>
    </r>
  </si>
  <si>
    <r>
      <rPr>
        <sz val="10"/>
        <rFont val="WenQuanYi Zen Hei"/>
        <family val="2"/>
      </rPr>
      <t xml:space="preserve">【募集は明日まで】受講生の声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本</t>
    </r>
  </si>
  <si>
    <r>
      <rPr>
        <sz val="10"/>
        <rFont val="WenQuanYi Zen Hei"/>
        <family val="2"/>
      </rPr>
      <t xml:space="preserve">【明日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時スタート】最終受付は本日</t>
    </r>
    <r>
      <rPr>
        <sz val="10"/>
        <rFont val="Arial"/>
        <family val="0"/>
        <charset val="1"/>
      </rPr>
      <t xml:space="preserve">23:59</t>
    </r>
  </si>
  <si>
    <t xml:space="preserve">感情訴求</t>
  </si>
  <si>
    <r>
      <rPr>
        <sz val="10"/>
        <rFont val="WenQuanYi Zen Hei"/>
        <family val="2"/>
      </rPr>
      <t xml:space="preserve">【残り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時間】点数だけでは表せない変化</t>
    </r>
  </si>
  <si>
    <r>
      <rPr>
        <sz val="10"/>
        <rFont val="WenQuanYi Zen Hei"/>
        <family val="2"/>
      </rPr>
      <t xml:space="preserve">【残り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時間】○○さん、お申し込みお忘れでないですか？</t>
    </r>
  </si>
  <si>
    <t xml:space="preserve">④開催</t>
  </si>
  <si>
    <t xml:space="preserve">申込済</t>
  </si>
  <si>
    <r>
      <rPr>
        <sz val="10"/>
        <rFont val="WenQuanYi Zen Hei"/>
        <family val="2"/>
      </rPr>
      <t xml:space="preserve">本日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時開催です</t>
    </r>
  </si>
  <si>
    <r>
      <rPr>
        <sz val="10"/>
        <rFont val="WenQuanYi Zen Hei"/>
        <family val="2"/>
      </rPr>
      <t xml:space="preserve">申込済</t>
    </r>
    <r>
      <rPr>
        <sz val="10"/>
        <rFont val="Arial"/>
        <family val="0"/>
        <charset val="1"/>
      </rPr>
      <t xml:space="preserve">_12/19</t>
    </r>
  </si>
  <si>
    <t xml:space="preserve">開催案内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</si>
  <si>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時間前：</t>
    </r>
    <r>
      <rPr>
        <sz val="10"/>
        <rFont val="Arial"/>
        <family val="0"/>
        <charset val="1"/>
      </rPr>
      <t xml:space="preserve">Zoom</t>
    </r>
    <r>
      <rPr>
        <sz val="10"/>
        <rFont val="WenQuanYi Zen Hei"/>
        <family val="2"/>
      </rPr>
      <t xml:space="preserve">リンクのご案内</t>
    </r>
  </si>
  <si>
    <t xml:space="preserve">20:50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</si>
  <si>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分後始まります！</t>
    </r>
  </si>
  <si>
    <t xml:space="preserve">21:10</t>
  </si>
  <si>
    <r>
      <rPr>
        <sz val="10"/>
        <rFont val="WenQuanYi Zen Hei"/>
        <family val="2"/>
      </rPr>
      <t xml:space="preserve">ただいま開催中・途中入室</t>
    </r>
    <r>
      <rPr>
        <sz val="10"/>
        <rFont val="Arial"/>
        <family val="0"/>
        <charset val="1"/>
      </rPr>
      <t xml:space="preserve">OK</t>
    </r>
  </si>
  <si>
    <t xml:space="preserve">開催レポート</t>
  </si>
  <si>
    <t xml:space="preserve">【初日から大反響】昨日の勉強会、熱気が凄すぎました</t>
  </si>
  <si>
    <r>
      <rPr>
        <sz val="10"/>
        <rFont val="WenQuanYi Zen Hei"/>
        <family val="2"/>
      </rPr>
      <t xml:space="preserve">【追加受付】</t>
    </r>
    <r>
      <rPr>
        <sz val="10"/>
        <rFont val="Arial"/>
        <family val="0"/>
        <charset val="1"/>
      </rPr>
      <t xml:space="preserve">12/21</t>
    </r>
    <r>
      <rPr>
        <sz val="10"/>
        <rFont val="WenQuanYi Zen Hei"/>
        <family val="2"/>
      </rPr>
      <t xml:space="preserve">に○席増枠</t>
    </r>
  </si>
  <si>
    <t xml:space="preserve">参加特典、中身をチラ見せします</t>
  </si>
  <si>
    <r>
      <rPr>
        <sz val="10"/>
        <rFont val="WenQuanYi Zen Hei"/>
        <family val="2"/>
      </rPr>
      <t xml:space="preserve">【本日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時、最終回】当日参加</t>
    </r>
    <r>
      <rPr>
        <sz val="10"/>
        <rFont val="Arial"/>
        <family val="0"/>
        <charset val="1"/>
      </rPr>
      <t xml:space="preserve">OK</t>
    </r>
  </si>
  <si>
    <t xml:space="preserve">18:00</t>
  </si>
  <si>
    <t xml:space="preserve">未参加</t>
  </si>
  <si>
    <r>
      <rPr>
        <sz val="10"/>
        <rFont val="WenQuanYi Zen Hei"/>
        <family val="2"/>
      </rPr>
      <t xml:space="preserve">【あと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時間】次は○○さんの番です</t>
    </r>
  </si>
  <si>
    <r>
      <rPr>
        <sz val="10"/>
        <rFont val="WenQuanYi Zen Hei"/>
        <family val="2"/>
      </rPr>
      <t xml:space="preserve">【あと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時間】</t>
    </r>
    <r>
      <rPr>
        <sz val="10"/>
        <rFont val="Arial"/>
        <family val="0"/>
        <charset val="1"/>
      </rPr>
      <t xml:space="preserve">Zoom</t>
    </r>
    <r>
      <rPr>
        <sz val="10"/>
        <rFont val="WenQuanYi Zen Hei"/>
        <family val="2"/>
      </rPr>
      <t xml:space="preserve">リンクのご案内</t>
    </r>
  </si>
  <si>
    <r>
      <rPr>
        <sz val="10"/>
        <rFont val="WenQuanYi Zen Hei"/>
        <family val="2"/>
      </rPr>
      <t xml:space="preserve">【最終回、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分後スタート！】</t>
    </r>
  </si>
  <si>
    <t xml:space="preserve">【ただいま開催中】まもなく入室締切</t>
  </si>
  <si>
    <t xml:space="preserve">⑤開催後</t>
  </si>
  <si>
    <t xml:space="preserve">完走報告</t>
  </si>
  <si>
    <r>
      <rPr>
        <sz val="10"/>
        <rFont val="WenQuanYi Zen Hei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日程、完走しました】</t>
    </r>
  </si>
  <si>
    <t xml:space="preserve">参加済</t>
  </si>
  <si>
    <t xml:space="preserve">個別相談のご案内</t>
  </si>
  <si>
    <t xml:space="preserve">年内にもう一度あったら参加したいですか？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</si>
  <si>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で人生を動かしましょう</t>
    </r>
  </si>
  <si>
    <t xml:space="preserve">週（月曜）</t>
  </si>
  <si>
    <t xml:space="preserve">カテゴリ</t>
  </si>
  <si>
    <t xml:space="preserve">やること</t>
  </si>
  <si>
    <t xml:space="preserve">何に使う（配信・場面）</t>
  </si>
  <si>
    <t xml:space="preserve">初回使用日</t>
  </si>
  <si>
    <t xml:space="preserve">必要なもの・メモ</t>
  </si>
  <si>
    <t xml:space="preserve">作業予定日</t>
  </si>
  <si>
    <t xml:space="preserve">完了日</t>
  </si>
  <si>
    <t xml:space="preserve">残り日数</t>
  </si>
  <si>
    <t xml:space="preserve">方針決め</t>
  </si>
  <si>
    <t xml:space="preserve">勉強会のあとの流れを決める（講座の内容・期間・価格、個別相談の枠数）</t>
  </si>
  <si>
    <r>
      <rPr>
        <sz val="10"/>
        <rFont val="WenQuanYi Zen Hei"/>
        <family val="2"/>
      </rPr>
      <t xml:space="preserve">全配信のゴール／</t>
    </r>
    <r>
      <rPr>
        <sz val="10"/>
        <rFont val="Arial"/>
        <family val="0"/>
        <charset val="1"/>
      </rPr>
      <t xml:space="preserve">12/22</t>
    </r>
    <r>
      <rPr>
        <sz val="10"/>
        <rFont val="WenQuanYi Zen Hei"/>
        <family val="2"/>
      </rPr>
      <t xml:space="preserve">以降の個別相談案内</t>
    </r>
  </si>
  <si>
    <t xml:space="preserve">これが決まると配信全体の言葉選びが決まる</t>
  </si>
  <si>
    <t xml:space="preserve">未着手</t>
  </si>
  <si>
    <t xml:space="preserve">勉強会タイトルを確定する</t>
  </si>
  <si>
    <r>
      <rPr>
        <sz val="10"/>
        <rFont val="Arial"/>
        <family val="0"/>
        <charset val="1"/>
      </rPr>
      <t xml:space="preserve">12/2 </t>
    </r>
    <r>
      <rPr>
        <sz val="10"/>
        <rFont val="WenQuanYi Zen Hei"/>
        <family val="2"/>
      </rPr>
      <t xml:space="preserve">正式告知／</t>
    </r>
    <r>
      <rPr>
        <sz val="10"/>
        <rFont val="Arial"/>
        <family val="0"/>
        <charset val="1"/>
      </rPr>
      <t xml:space="preserve">LP</t>
    </r>
  </si>
  <si>
    <t xml:space="preserve">基本情報シートに記入</t>
  </si>
  <si>
    <t xml:space="preserve">開始時刻・所要時間・各回の定員を決める</t>
  </si>
  <si>
    <r>
      <rPr>
        <sz val="10"/>
        <rFont val="Arial"/>
        <family val="0"/>
        <charset val="1"/>
      </rPr>
      <t xml:space="preserve">12/2 </t>
    </r>
    <r>
      <rPr>
        <sz val="10"/>
        <rFont val="WenQuanYi Zen Hei"/>
        <family val="2"/>
      </rPr>
      <t xml:space="preserve">正式告知／申込ボタン</t>
    </r>
  </si>
  <si>
    <r>
      <rPr>
        <sz val="10"/>
        <rFont val="WenQuanYi Zen Hei"/>
        <family val="2"/>
      </rPr>
      <t xml:space="preserve">仮：両日</t>
    </r>
    <r>
      <rPr>
        <sz val="10"/>
        <rFont val="Arial"/>
        <family val="0"/>
        <charset val="1"/>
      </rPr>
      <t xml:space="preserve">21:00</t>
    </r>
    <r>
      <rPr>
        <sz val="10"/>
        <rFont val="WenQuanYi Zen Hei"/>
        <family val="2"/>
      </rPr>
      <t xml:space="preserve">〜</t>
    </r>
  </si>
  <si>
    <r>
      <rPr>
        <b val="true"/>
        <sz val="10"/>
        <rFont val="WenQuanYi Zen Hei"/>
        <family val="2"/>
      </rPr>
      <t xml:space="preserve">当日学べること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つを確定する</t>
    </r>
  </si>
  <si>
    <r>
      <rPr>
        <sz val="10"/>
        <rFont val="Arial"/>
        <family val="0"/>
        <charset val="1"/>
      </rPr>
      <t xml:space="preserve">12/3 </t>
    </r>
    <r>
      <rPr>
        <sz val="10"/>
        <rFont val="WenQuanYi Zen Hei"/>
        <family val="2"/>
      </rPr>
      <t xml:space="preserve">中身の予告／</t>
    </r>
    <r>
      <rPr>
        <sz val="10"/>
        <rFont val="Arial"/>
        <family val="0"/>
        <charset val="1"/>
      </rPr>
      <t xml:space="preserve">LP</t>
    </r>
  </si>
  <si>
    <t xml:space="preserve">勉強会スライドの骨子にもなる</t>
  </si>
  <si>
    <t xml:space="preserve">自己紹介ストーリー（短文）を書く</t>
  </si>
  <si>
    <r>
      <rPr>
        <sz val="10"/>
        <rFont val="Arial"/>
        <family val="0"/>
        <charset val="1"/>
      </rPr>
      <t xml:space="preserve">11/30 </t>
    </r>
    <r>
      <rPr>
        <sz val="10"/>
        <rFont val="WenQuanYi Zen Hei"/>
        <family val="2"/>
      </rPr>
      <t xml:space="preserve">予告／先行特典①</t>
    </r>
  </si>
  <si>
    <t xml:space="preserve">実績の数字を集める（指導人数・スコアの伸びなど実数のみ）</t>
  </si>
  <si>
    <r>
      <rPr>
        <sz val="10"/>
        <rFont val="Arial"/>
        <family val="0"/>
        <charset val="1"/>
      </rPr>
      <t xml:space="preserve">11/30 </t>
    </r>
    <r>
      <rPr>
        <sz val="10"/>
        <rFont val="WenQuanYi Zen Hei"/>
        <family val="2"/>
      </rPr>
      <t xml:space="preserve">予告／</t>
    </r>
    <r>
      <rPr>
        <sz val="10"/>
        <rFont val="Arial"/>
        <family val="0"/>
        <charset val="1"/>
      </rPr>
      <t xml:space="preserve">12/9 </t>
    </r>
    <r>
      <rPr>
        <sz val="10"/>
        <rFont val="WenQuanYi Zen Hei"/>
        <family val="2"/>
      </rPr>
      <t xml:space="preserve">募集開始</t>
    </r>
  </si>
  <si>
    <t xml:space="preserve">受講生への確認が必要なものは早めに</t>
  </si>
  <si>
    <t xml:space="preserve">「基本情報」シートを全部埋める</t>
  </si>
  <si>
    <t xml:space="preserve">全配信文の作成</t>
  </si>
  <si>
    <t xml:space="preserve">特典・導線</t>
  </si>
  <si>
    <t xml:space="preserve">体験券の先着人数と内容を決める</t>
  </si>
  <si>
    <r>
      <rPr>
        <sz val="10"/>
        <rFont val="Arial"/>
        <family val="0"/>
        <charset val="1"/>
      </rPr>
      <t xml:space="preserve">12/4 </t>
    </r>
    <r>
      <rPr>
        <sz val="10"/>
        <rFont val="WenQuanYi Zen Hei"/>
        <family val="2"/>
      </rPr>
      <t xml:space="preserve">特典初公開</t>
    </r>
  </si>
  <si>
    <r>
      <rPr>
        <sz val="10"/>
        <rFont val="WenQuanYi Zen Hei"/>
        <family val="2"/>
      </rPr>
      <t xml:space="preserve">特典シート</t>
    </r>
    <r>
      <rPr>
        <sz val="10"/>
        <rFont val="Arial"/>
        <family val="0"/>
        <charset val="1"/>
      </rPr>
      <t xml:space="preserve">No.29</t>
    </r>
    <r>
      <rPr>
        <sz val="10"/>
        <rFont val="WenQuanYi Zen Hei"/>
        <family val="2"/>
      </rPr>
      <t xml:space="preserve">の「○名」を更新</t>
    </r>
  </si>
  <si>
    <r>
      <rPr>
        <b val="true"/>
        <sz val="10"/>
        <rFont val="WenQuanYi Zen Hei"/>
        <family val="2"/>
      </rPr>
      <t xml:space="preserve">コミュニティの形を決める（無料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有料・場所）</t>
    </r>
  </si>
  <si>
    <r>
      <rPr>
        <sz val="10"/>
        <rFont val="WenQuanYi Zen Hei"/>
        <family val="2"/>
      </rPr>
      <t xml:space="preserve">特典シート</t>
    </r>
    <r>
      <rPr>
        <sz val="10"/>
        <rFont val="Arial"/>
        <family val="0"/>
        <charset val="1"/>
      </rPr>
      <t xml:space="preserve">No.30</t>
    </r>
    <r>
      <rPr>
        <sz val="10"/>
        <rFont val="WenQuanYi Zen Hei"/>
        <family val="2"/>
      </rPr>
      <t xml:space="preserve">を更新</t>
    </r>
  </si>
  <si>
    <r>
      <rPr>
        <b val="true"/>
        <sz val="10"/>
        <rFont val="WenQuanYi Zen Hei"/>
        <family val="2"/>
      </rPr>
      <t xml:space="preserve">特典の渡し方と時期を決める（</t>
    </r>
    <r>
      <rPr>
        <b val="true"/>
        <sz val="10"/>
        <rFont val="Arial"/>
        <family val="0"/>
        <charset val="1"/>
      </rPr>
      <t xml:space="preserve">LINE</t>
    </r>
    <r>
      <rPr>
        <b val="true"/>
        <sz val="10"/>
        <rFont val="WenQuanYi Zen Hei"/>
        <family val="2"/>
      </rPr>
      <t xml:space="preserve">で一括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ダウンロードページ）</t>
    </r>
  </si>
  <si>
    <r>
      <rPr>
        <sz val="10"/>
        <rFont val="WenQuanYi Zen Hei"/>
        <family val="2"/>
      </rPr>
      <t xml:space="preserve">勉強会当日〜</t>
    </r>
    <r>
      <rPr>
        <sz val="10"/>
        <rFont val="Arial"/>
        <family val="0"/>
        <charset val="1"/>
      </rPr>
      <t xml:space="preserve">12/22</t>
    </r>
  </si>
  <si>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大特典のタイトルを最終確定する</t>
    </r>
  </si>
  <si>
    <t xml:space="preserve">特典シート</t>
  </si>
  <si>
    <r>
      <rPr>
        <b val="true"/>
        <sz val="10"/>
        <rFont val="WenQuanYi Zen Hei"/>
        <family val="2"/>
      </rPr>
      <t xml:space="preserve">先行予約特典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本の話す内容をメモする</t>
    </r>
  </si>
  <si>
    <r>
      <rPr>
        <sz val="10"/>
        <rFont val="Arial"/>
        <family val="0"/>
        <charset val="1"/>
      </rPr>
      <t xml:space="preserve">12/11</t>
    </r>
    <r>
      <rPr>
        <sz val="10"/>
        <rFont val="WenQuanYi Zen Hei"/>
        <family val="2"/>
      </rPr>
      <t xml:space="preserve">〜 先行特典配信</t>
    </r>
  </si>
  <si>
    <t xml:space="preserve">特典シートの（仮）を更新</t>
  </si>
  <si>
    <t xml:space="preserve">素材</t>
  </si>
  <si>
    <r>
      <rPr>
        <b val="true"/>
        <sz val="10"/>
        <rFont val="WenQuanYi Zen Hei"/>
        <family val="2"/>
      </rPr>
      <t xml:space="preserve">受講生に対談・掲載を依頼し、許可を取る（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名）</t>
    </r>
  </si>
  <si>
    <r>
      <rPr>
        <sz val="10"/>
        <rFont val="Arial"/>
        <family val="0"/>
        <charset val="1"/>
      </rPr>
      <t xml:space="preserve">12/8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12/12 </t>
    </r>
    <r>
      <rPr>
        <sz val="10"/>
        <rFont val="WenQuanYi Zen Hei"/>
        <family val="2"/>
      </rPr>
      <t xml:space="preserve">対談動画／</t>
    </r>
    <r>
      <rPr>
        <sz val="10"/>
        <rFont val="Arial"/>
        <family val="0"/>
        <charset val="1"/>
      </rPr>
      <t xml:space="preserve">12/17 </t>
    </r>
    <r>
      <rPr>
        <sz val="10"/>
        <rFont val="WenQuanYi Zen Hei"/>
        <family val="2"/>
      </rPr>
      <t xml:space="preserve">受講生の声</t>
    </r>
  </si>
  <si>
    <t xml:space="preserve">受講生事例シートに記入</t>
  </si>
  <si>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大特典のサムネイル（デザイン統一）を作る</t>
    </r>
  </si>
  <si>
    <r>
      <rPr>
        <sz val="10"/>
        <rFont val="Arial"/>
        <family val="0"/>
        <charset val="1"/>
      </rPr>
      <t xml:space="preserve">12/4 </t>
    </r>
    <r>
      <rPr>
        <sz val="10"/>
        <rFont val="WenQuanYi Zen Hei"/>
        <family val="2"/>
      </rPr>
      <t xml:space="preserve">特典初公開／</t>
    </r>
    <r>
      <rPr>
        <sz val="10"/>
        <rFont val="Arial"/>
        <family val="0"/>
        <charset val="1"/>
      </rPr>
      <t xml:space="preserve">12/20 </t>
    </r>
    <r>
      <rPr>
        <sz val="10"/>
        <rFont val="WenQuanYi Zen Hei"/>
        <family val="2"/>
      </rPr>
      <t xml:space="preserve">チラ見せ</t>
    </r>
  </si>
  <si>
    <r>
      <rPr>
        <sz val="10"/>
        <rFont val="Arial"/>
        <family val="0"/>
        <charset val="1"/>
      </rPr>
      <t xml:space="preserve">Canva</t>
    </r>
    <r>
      <rPr>
        <sz val="10"/>
        <rFont val="WenQuanYi Zen Hei"/>
        <family val="2"/>
      </rPr>
      <t xml:space="preserve">でテンプレを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つ作って使い回す</t>
    </r>
  </si>
  <si>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大特典の一覧画像を作る</t>
    </r>
  </si>
  <si>
    <t xml:space="preserve">素材リストに登録</t>
  </si>
  <si>
    <r>
      <rPr>
        <b val="true"/>
        <sz val="10"/>
        <rFont val="WenQuanYi Zen Hei"/>
        <family val="2"/>
      </rPr>
      <t xml:space="preserve">価値提供動画①「</t>
    </r>
    <r>
      <rPr>
        <b val="true"/>
        <sz val="10"/>
        <rFont val="Arial"/>
        <family val="0"/>
        <charset val="1"/>
      </rPr>
      <t xml:space="preserve">IELTS 0→6.5 </t>
    </r>
    <r>
      <rPr>
        <b val="true"/>
        <sz val="10"/>
        <rFont val="WenQuanYi Zen Hei"/>
        <family val="2"/>
      </rPr>
      <t xml:space="preserve">ロードマップ」を撮る（既存動画の流用も可）</t>
    </r>
  </si>
  <si>
    <r>
      <rPr>
        <sz val="10"/>
        <rFont val="Arial"/>
        <family val="0"/>
        <charset val="1"/>
      </rPr>
      <t xml:space="preserve">12/6 </t>
    </r>
    <r>
      <rPr>
        <sz val="10"/>
        <rFont val="WenQuanYi Zen Hei"/>
        <family val="2"/>
      </rPr>
      <t xml:space="preserve">価値提供</t>
    </r>
  </si>
  <si>
    <t xml:space="preserve">対談動画①を撮る</t>
  </si>
  <si>
    <r>
      <rPr>
        <sz val="10"/>
        <rFont val="Arial"/>
        <family val="0"/>
        <charset val="1"/>
      </rPr>
      <t xml:space="preserve">12/8 </t>
    </r>
    <r>
      <rPr>
        <sz val="10"/>
        <rFont val="WenQuanYi Zen Hei"/>
        <family val="2"/>
      </rPr>
      <t xml:space="preserve">受講生の逆転劇</t>
    </r>
  </si>
  <si>
    <r>
      <rPr>
        <b val="true"/>
        <sz val="10"/>
        <rFont val="WenQuanYi Zen Hei"/>
        <family val="2"/>
      </rPr>
      <t xml:space="preserve">勉強会の詳細</t>
    </r>
    <r>
      <rPr>
        <b val="true"/>
        <sz val="10"/>
        <rFont val="Arial"/>
        <family val="0"/>
        <charset val="1"/>
      </rPr>
      <t xml:space="preserve">LP</t>
    </r>
    <r>
      <rPr>
        <b val="true"/>
        <sz val="10"/>
        <rFont val="WenQuanYi Zen Hei"/>
        <family val="2"/>
      </rPr>
      <t xml:space="preserve">を作る</t>
    </r>
  </si>
  <si>
    <r>
      <rPr>
        <sz val="10"/>
        <rFont val="Arial"/>
        <family val="0"/>
        <charset val="1"/>
      </rPr>
      <t xml:space="preserve">12/9 </t>
    </r>
    <r>
      <rPr>
        <sz val="10"/>
        <rFont val="WenQuanYi Zen Hei"/>
        <family val="2"/>
      </rPr>
      <t xml:space="preserve">募集開始</t>
    </r>
  </si>
  <si>
    <r>
      <rPr>
        <b val="true"/>
        <sz val="10"/>
        <rFont val="WenQuanYi Zen Hei"/>
        <family val="2"/>
      </rPr>
      <t xml:space="preserve">対談動画②（</t>
    </r>
    <r>
      <rPr>
        <b val="true"/>
        <sz val="10"/>
        <rFont val="Arial"/>
        <family val="0"/>
        <charset val="1"/>
      </rPr>
      <t xml:space="preserve">Speaking</t>
    </r>
    <r>
      <rPr>
        <b val="true"/>
        <sz val="10"/>
        <rFont val="WenQuanYi Zen Hei"/>
        <family val="2"/>
      </rPr>
      <t xml:space="preserve">）を撮る</t>
    </r>
  </si>
  <si>
    <r>
      <rPr>
        <sz val="10"/>
        <rFont val="Arial"/>
        <family val="0"/>
        <charset val="1"/>
      </rPr>
      <t xml:space="preserve">12/12 </t>
    </r>
    <r>
      <rPr>
        <sz val="10"/>
        <rFont val="WenQuanYi Zen Hei"/>
        <family val="2"/>
      </rPr>
      <t xml:space="preserve">事例</t>
    </r>
  </si>
  <si>
    <r>
      <rPr>
        <b val="true"/>
        <sz val="10"/>
        <rFont val="WenQuanYi Zen Hei"/>
        <family val="2"/>
      </rPr>
      <t xml:space="preserve">限定音声（</t>
    </r>
    <r>
      <rPr>
        <b val="true"/>
        <sz val="10"/>
        <rFont val="Arial"/>
        <family val="0"/>
        <charset val="1"/>
      </rPr>
      <t xml:space="preserve">12/2 </t>
    </r>
    <r>
      <rPr>
        <b val="true"/>
        <sz val="10"/>
        <rFont val="WenQuanYi Zen Hei"/>
        <family val="2"/>
      </rPr>
      <t xml:space="preserve">正式告知の</t>
    </r>
    <r>
      <rPr>
        <b val="true"/>
        <sz val="10"/>
        <rFont val="Arial"/>
        <family val="0"/>
        <charset val="1"/>
      </rPr>
      <t xml:space="preserve">P.S.</t>
    </r>
    <r>
      <rPr>
        <b val="true"/>
        <sz val="10"/>
        <rFont val="WenQuanYi Zen Hei"/>
        <family val="2"/>
      </rPr>
      <t xml:space="preserve">用）を録る</t>
    </r>
  </si>
  <si>
    <r>
      <rPr>
        <sz val="10"/>
        <rFont val="Arial"/>
        <family val="0"/>
        <charset val="1"/>
      </rPr>
      <t xml:space="preserve">12/2 </t>
    </r>
    <r>
      <rPr>
        <sz val="10"/>
        <rFont val="WenQuanYi Zen Hei"/>
        <family val="2"/>
      </rPr>
      <t xml:space="preserve">正式告知</t>
    </r>
  </si>
  <si>
    <r>
      <rPr>
        <b val="true"/>
        <sz val="10"/>
        <rFont val="Arial"/>
        <family val="0"/>
        <charset val="1"/>
      </rPr>
      <t xml:space="preserve">Speaking</t>
    </r>
    <r>
      <rPr>
        <b val="true"/>
        <sz val="10"/>
        <rFont val="WenQuanYi Zen Hei"/>
        <family val="2"/>
      </rPr>
      <t xml:space="preserve">クイズ動画「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秒で答えられますか？」を撮る</t>
    </r>
  </si>
  <si>
    <r>
      <rPr>
        <sz val="10"/>
        <rFont val="Arial"/>
        <family val="0"/>
        <charset val="1"/>
      </rPr>
      <t xml:space="preserve">12/13 </t>
    </r>
    <r>
      <rPr>
        <sz val="10"/>
        <rFont val="WenQuanYi Zen Hei"/>
        <family val="2"/>
      </rPr>
      <t xml:space="preserve">参加型</t>
    </r>
  </si>
  <si>
    <r>
      <rPr>
        <b val="true"/>
        <sz val="10"/>
        <rFont val="Arial"/>
        <family val="0"/>
        <charset val="1"/>
      </rPr>
      <t xml:space="preserve">Writing</t>
    </r>
    <r>
      <rPr>
        <b val="true"/>
        <sz val="10"/>
        <rFont val="WenQuanYi Zen Hei"/>
        <family val="2"/>
      </rPr>
      <t xml:space="preserve">動画（</t>
    </r>
    <r>
      <rPr>
        <b val="true"/>
        <sz val="10"/>
        <rFont val="Arial"/>
        <family val="0"/>
        <charset val="1"/>
      </rPr>
      <t xml:space="preserve">Task 2</t>
    </r>
    <r>
      <rPr>
        <b val="true"/>
        <sz val="10"/>
        <rFont val="WenQuanYi Zen Hei"/>
        <family val="2"/>
      </rPr>
      <t xml:space="preserve">で点が伸びない原因など）を撮る</t>
    </r>
  </si>
  <si>
    <r>
      <rPr>
        <sz val="10"/>
        <rFont val="Arial"/>
        <family val="0"/>
        <charset val="1"/>
      </rPr>
      <t xml:space="preserve">12/16 </t>
    </r>
    <r>
      <rPr>
        <sz val="10"/>
        <rFont val="WenQuanYi Zen Hei"/>
        <family val="2"/>
      </rPr>
      <t xml:space="preserve">価値提供</t>
    </r>
  </si>
  <si>
    <t xml:space="preserve">答え・例文は渡さない方針で</t>
  </si>
  <si>
    <r>
      <rPr>
        <b val="true"/>
        <sz val="10"/>
        <rFont val="WenQuanYi Zen Hei"/>
        <family val="2"/>
      </rPr>
      <t xml:space="preserve">受講生の声（画像）とショート動画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本を集める</t>
    </r>
  </si>
  <si>
    <r>
      <rPr>
        <sz val="10"/>
        <rFont val="Arial"/>
        <family val="0"/>
        <charset val="1"/>
      </rPr>
      <t xml:space="preserve">12/11 </t>
    </r>
    <r>
      <rPr>
        <sz val="10"/>
        <rFont val="WenQuanYi Zen Hei"/>
        <family val="2"/>
      </rPr>
      <t xml:space="preserve">受講生の声／</t>
    </r>
    <r>
      <rPr>
        <sz val="10"/>
        <rFont val="Arial"/>
        <family val="0"/>
        <charset val="1"/>
      </rPr>
      <t xml:space="preserve">12/17 </t>
    </r>
    <r>
      <rPr>
        <sz val="10"/>
        <rFont val="WenQuanYi Zen Hei"/>
        <family val="2"/>
      </rPr>
      <t xml:space="preserve">募集明日まで</t>
    </r>
  </si>
  <si>
    <t xml:space="preserve">先行特典①〜③の音声を録る</t>
  </si>
  <si>
    <t xml:space="preserve">設定</t>
  </si>
  <si>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ステップのタグを作る（申込済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未申込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先行特典受取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参加済 など）</t>
    </r>
  </si>
  <si>
    <t xml:space="preserve">セグメント配信全般</t>
  </si>
  <si>
    <t xml:space="preserve">先行特典④〜⑥の音声を録る</t>
  </si>
  <si>
    <r>
      <rPr>
        <sz val="10"/>
        <rFont val="Arial"/>
        <family val="0"/>
        <charset val="1"/>
      </rPr>
      <t xml:space="preserve">12/15 </t>
    </r>
    <r>
      <rPr>
        <sz val="10"/>
        <rFont val="WenQuanYi Zen Hei"/>
        <family val="2"/>
      </rPr>
      <t xml:space="preserve">まとめて公開</t>
    </r>
  </si>
  <si>
    <t xml:space="preserve">日程選択ボタン・日程変更ボタン・申込完了メッセージを作る</t>
  </si>
  <si>
    <r>
      <rPr>
        <b val="true"/>
        <sz val="10"/>
        <rFont val="Arial"/>
        <family val="0"/>
        <charset val="1"/>
      </rPr>
      <t xml:space="preserve">Zoom</t>
    </r>
    <r>
      <rPr>
        <b val="true"/>
        <sz val="10"/>
        <rFont val="WenQuanYi Zen Hei"/>
        <family val="2"/>
      </rPr>
      <t xml:space="preserve">ミーティングを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回分発行する</t>
    </r>
  </si>
  <si>
    <r>
      <rPr>
        <sz val="10"/>
        <rFont val="Arial"/>
        <family val="0"/>
        <charset val="1"/>
      </rPr>
      <t xml:space="preserve">12/19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12/21 </t>
    </r>
    <r>
      <rPr>
        <sz val="10"/>
        <rFont val="WenQuanYi Zen Hei"/>
        <family val="2"/>
      </rPr>
      <t xml:space="preserve">開催案内</t>
    </r>
  </si>
  <si>
    <t xml:space="preserve">基本情報シートにリンクを記入</t>
  </si>
  <si>
    <t xml:space="preserve">オープンチャットを作る（作る場合）</t>
  </si>
  <si>
    <t xml:space="preserve">申込完了メッセージ</t>
  </si>
  <si>
    <t xml:space="preserve">配信準備</t>
  </si>
  <si>
    <r>
      <rPr>
        <b val="true"/>
        <sz val="10"/>
        <rFont val="WenQuanYi Zen Hei"/>
        <family val="2"/>
      </rPr>
      <t xml:space="preserve">配信スケジュールの</t>
    </r>
    <r>
      <rPr>
        <b val="true"/>
        <sz val="10"/>
        <rFont val="Arial"/>
        <family val="0"/>
        <charset val="1"/>
      </rPr>
      <t xml:space="preserve">Phase 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11/30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12/8</t>
    </r>
    <r>
      <rPr>
        <b val="true"/>
        <sz val="10"/>
        <rFont val="WenQuanYi Zen Hei"/>
        <family val="2"/>
      </rPr>
      <t xml:space="preserve">）を記入し、</t>
    </r>
    <r>
      <rPr>
        <b val="true"/>
        <sz val="10"/>
        <rFont val="Arial"/>
        <family val="0"/>
        <charset val="1"/>
      </rPr>
      <t xml:space="preserve">Claude</t>
    </r>
    <r>
      <rPr>
        <b val="true"/>
        <sz val="10"/>
        <rFont val="WenQuanYi Zen Hei"/>
        <family val="2"/>
      </rPr>
      <t xml:space="preserve">に文面を作ってもらう</t>
    </r>
  </si>
  <si>
    <r>
      <rPr>
        <sz val="10"/>
        <rFont val="Arial"/>
        <family val="0"/>
        <charset val="1"/>
      </rPr>
      <t xml:space="preserve">11/30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12/8 </t>
    </r>
    <r>
      <rPr>
        <sz val="10"/>
        <rFont val="WenQuanYi Zen Hei"/>
        <family val="2"/>
      </rPr>
      <t xml:space="preserve">の配信</t>
    </r>
  </si>
  <si>
    <t xml:space="preserve">ステータスを「記入済」に</t>
  </si>
  <si>
    <r>
      <rPr>
        <b val="true"/>
        <sz val="10"/>
        <rFont val="Arial"/>
        <family val="0"/>
        <charset val="1"/>
      </rPr>
      <t xml:space="preserve">Phase 1</t>
    </r>
    <r>
      <rPr>
        <b val="true"/>
        <sz val="10"/>
        <rFont val="WenQuanYi Zen Hei"/>
        <family val="2"/>
      </rPr>
      <t xml:space="preserve">の配信を予約し、自分宛てにテスト配信する（リンク確認）</t>
    </r>
  </si>
  <si>
    <r>
      <rPr>
        <sz val="10"/>
        <rFont val="Arial"/>
        <family val="0"/>
        <charset val="1"/>
      </rPr>
      <t xml:space="preserve">11/30 </t>
    </r>
    <r>
      <rPr>
        <sz val="10"/>
        <rFont val="WenQuanYi Zen Hei"/>
        <family val="2"/>
      </rPr>
      <t xml:space="preserve">初回配信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</si>
  <si>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月前半</t>
    </r>
  </si>
  <si>
    <r>
      <rPr>
        <b val="true"/>
        <sz val="10"/>
        <rFont val="Arial"/>
        <family val="0"/>
        <charset val="1"/>
      </rPr>
      <t xml:space="preserve">Phase 2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12/9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12/18</t>
    </r>
    <r>
      <rPr>
        <b val="true"/>
        <sz val="10"/>
        <rFont val="WenQuanYi Zen Hei"/>
        <family val="2"/>
      </rPr>
      <t xml:space="preserve">）の文面作成・配信予約</t>
    </r>
  </si>
  <si>
    <r>
      <rPr>
        <sz val="10"/>
        <rFont val="Arial"/>
        <family val="0"/>
        <charset val="1"/>
      </rPr>
      <t xml:space="preserve">12/9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12/18 </t>
    </r>
    <r>
      <rPr>
        <sz val="10"/>
        <rFont val="WenQuanYi Zen Hei"/>
        <family val="2"/>
      </rPr>
      <t xml:space="preserve">の配信</t>
    </r>
  </si>
  <si>
    <r>
      <rPr>
        <b val="true"/>
        <sz val="10"/>
        <rFont val="WenQuanYi Zen Hei"/>
        <family val="2"/>
      </rPr>
      <t xml:space="preserve">「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技能 現在地診断シート」を先に完成させる（当日ワーク用）</t>
    </r>
  </si>
  <si>
    <r>
      <rPr>
        <sz val="10"/>
        <rFont val="Arial"/>
        <family val="0"/>
        <charset val="1"/>
      </rPr>
      <t xml:space="preserve">12/19 </t>
    </r>
    <r>
      <rPr>
        <sz val="10"/>
        <rFont val="WenQuanYi Zen Hei"/>
        <family val="2"/>
      </rPr>
      <t xml:space="preserve">勉強会当日</t>
    </r>
  </si>
  <si>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大特典の中身を完成させる</t>
    </r>
  </si>
  <si>
    <t xml:space="preserve">勉強会のあと配布</t>
  </si>
  <si>
    <t xml:space="preserve">個別相談の予約枠・申込フォームを準備する</t>
  </si>
  <si>
    <r>
      <rPr>
        <sz val="10"/>
        <rFont val="Arial"/>
        <family val="0"/>
        <charset val="1"/>
      </rPr>
      <t xml:space="preserve">12/19</t>
    </r>
    <r>
      <rPr>
        <sz val="10"/>
        <rFont val="WenQuanYi Zen Hei"/>
        <family val="2"/>
      </rPr>
      <t xml:space="preserve">以降の個別相談案内</t>
    </r>
  </si>
  <si>
    <r>
      <rPr>
        <b val="true"/>
        <sz val="10"/>
        <rFont val="Arial"/>
        <family val="0"/>
        <charset val="1"/>
      </rPr>
      <t xml:space="preserve">Phase 4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12/19</t>
    </r>
    <r>
      <rPr>
        <b val="true"/>
        <sz val="10"/>
        <rFont val="WenQuanYi Zen Hei"/>
        <family val="2"/>
      </rPr>
      <t xml:space="preserve">〜）の文面作成・配信予約</t>
    </r>
  </si>
  <si>
    <r>
      <rPr>
        <sz val="10"/>
        <rFont val="Arial"/>
        <family val="0"/>
        <charset val="1"/>
      </rPr>
      <t xml:space="preserve">12/19</t>
    </r>
    <r>
      <rPr>
        <sz val="10"/>
        <rFont val="WenQuanYi Zen Hei"/>
        <family val="2"/>
      </rPr>
      <t xml:space="preserve">〜の配信</t>
    </r>
  </si>
  <si>
    <t xml:space="preserve">勉強会スライドの完成・リハーサル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</si>
  <si>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月中に骨子だけ作っておくと楽</t>
    </r>
  </si>
  <si>
    <t xml:space="preserve">目的</t>
  </si>
  <si>
    <t xml:space="preserve">構成（上から順に）</t>
  </si>
  <si>
    <t xml:space="preserve">参考アカウントの例</t>
  </si>
  <si>
    <t xml:space="preserve">企画があることを知らせ、スタンプで反応をもらう</t>
  </si>
  <si>
    <r>
      <rPr>
        <sz val="10"/>
        <rFont val="WenQuanYi Zen Hei"/>
        <family val="2"/>
      </rPr>
      <t xml:space="preserve">【見出し】→感謝・自己紹介一言→こんな方へ✅</t>
    </r>
    <r>
      <rPr>
        <sz val="10"/>
        <rFont val="Arial"/>
        <family val="0"/>
        <charset val="1"/>
      </rPr>
      <t xml:space="preserve">×3→</t>
    </r>
    <r>
      <rPr>
        <sz val="10"/>
        <rFont val="WenQuanYi Zen Hei"/>
        <family val="2"/>
      </rPr>
      <t xml:space="preserve">解禁日時→「スタンプを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つ送って」</t>
    </r>
  </si>
  <si>
    <r>
      <rPr>
        <sz val="10"/>
        <rFont val="Arial"/>
        <family val="0"/>
        <charset val="1"/>
      </rPr>
      <t xml:space="preserve">11/30 </t>
    </r>
    <r>
      <rPr>
        <sz val="10"/>
        <rFont val="WenQuanYi Zen Hei"/>
        <family val="2"/>
      </rPr>
      <t xml:space="preserve">過去最大級の特別企画準備中</t>
    </r>
  </si>
  <si>
    <t xml:space="preserve">反響の大きさ・申込人数で「みんな動いている」を伝える</t>
  </si>
  <si>
    <r>
      <rPr>
        <sz val="10"/>
        <rFont val="WenQuanYi Zen Hei"/>
        <family val="2"/>
      </rPr>
      <t xml:space="preserve">【見出し】→反響への驚き・お礼→実数（○名突破など）→だから○○します→次の予告</t>
    </r>
    <r>
      <rPr>
        <sz val="10"/>
        <rFont val="Arial"/>
        <family val="0"/>
        <charset val="1"/>
      </rPr>
      <t xml:space="preserve">/CTA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</si>
  <si>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日で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名突破</t>
    </r>
  </si>
  <si>
    <t xml:space="preserve">勉強会の名前・日程・先行予約開始日を発表</t>
  </si>
  <si>
    <r>
      <rPr>
        <sz val="10"/>
        <rFont val="WenQuanYi Zen Hei"/>
        <family val="2"/>
      </rPr>
      <t xml:space="preserve">【ただいま解禁】→タイトル枠（◤◥）→日程→先行予約日→想い→</t>
    </r>
    <r>
      <rPr>
        <sz val="10"/>
        <rFont val="Arial"/>
        <family val="0"/>
        <charset val="1"/>
      </rPr>
      <t xml:space="preserve">P.S.</t>
    </r>
    <r>
      <rPr>
        <sz val="10"/>
        <rFont val="WenQuanYi Zen Hei"/>
        <family val="2"/>
      </rPr>
      <t xml:space="preserve">限定音声</t>
    </r>
  </si>
  <si>
    <t xml:space="preserve">秋の感謝記念プレミアム企画 解禁</t>
  </si>
  <si>
    <t xml:space="preserve">当日学べることを箇条書きで見せる</t>
  </si>
  <si>
    <r>
      <rPr>
        <sz val="10"/>
        <rFont val="WenQuanYi Zen Hei"/>
        <family val="2"/>
      </rPr>
      <t xml:space="preserve">【見出し】→「少しだけお見せします」→✔学べること</t>
    </r>
    <r>
      <rPr>
        <sz val="10"/>
        <rFont val="Arial"/>
        <family val="0"/>
        <charset val="1"/>
      </rPr>
      <t xml:space="preserve">×6→</t>
    </r>
    <r>
      <rPr>
        <sz val="10"/>
        <rFont val="WenQuanYi Zen Hei"/>
        <family val="2"/>
      </rPr>
      <t xml:space="preserve">得られる未来→先行予約日</t>
    </r>
  </si>
  <si>
    <t xml:space="preserve">参加特典・先行予約特典を公開し、申込理由をつくる</t>
  </si>
  <si>
    <t xml:space="preserve">【見出し】→サプライズ演出→特典リスト（①〜）→受け取り条件→開始日時・アラーム依頼</t>
  </si>
  <si>
    <r>
      <rPr>
        <sz val="10"/>
        <rFont val="WenQuanYi Zen Hei"/>
        <family val="2"/>
      </rPr>
      <t xml:space="preserve">先行申込限定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大特典</t>
    </r>
  </si>
  <si>
    <t xml:space="preserve">ノウハウ動画で信頼をつくり、勉強会へつなげる</t>
  </si>
  <si>
    <r>
      <rPr>
        <sz val="10"/>
        <rFont val="WenQuanYi Zen Hei"/>
        <family val="2"/>
      </rPr>
      <t xml:space="preserve">【本日解禁】→読者の悩み「」</t>
    </r>
    <r>
      <rPr>
        <sz val="10"/>
        <rFont val="Arial"/>
        <family val="0"/>
        <charset val="1"/>
      </rPr>
      <t xml:space="preserve">×2→</t>
    </r>
    <r>
      <rPr>
        <sz val="10"/>
        <rFont val="WenQuanYi Zen Hei"/>
        <family val="2"/>
      </rPr>
      <t xml:space="preserve">動画で分かること・→リンク→「勉強会ではさらに深掘り」</t>
    </r>
  </si>
  <si>
    <r>
      <rPr>
        <sz val="10"/>
        <rFont val="Arial"/>
        <family val="0"/>
        <charset val="1"/>
      </rPr>
      <t xml:space="preserve">TOEIC 0→600</t>
    </r>
    <r>
      <rPr>
        <sz val="10"/>
        <rFont val="WenQuanYi Zen Hei"/>
        <family val="2"/>
      </rPr>
      <t xml:space="preserve">ロードマップ</t>
    </r>
  </si>
  <si>
    <r>
      <rPr>
        <sz val="10"/>
        <rFont val="WenQuanYi Zen Hei"/>
        <family val="2"/>
      </rPr>
      <t xml:space="preserve">受講生の</t>
    </r>
    <r>
      <rPr>
        <sz val="10"/>
        <rFont val="Arial"/>
        <family val="0"/>
        <charset val="1"/>
      </rPr>
      <t xml:space="preserve">Before→After</t>
    </r>
    <r>
      <rPr>
        <sz val="10"/>
        <rFont val="WenQuanYi Zen Hei"/>
        <family val="2"/>
      </rPr>
      <t xml:space="preserve">で「自分にもできる」と思ってもらう</t>
    </r>
  </si>
  <si>
    <r>
      <rPr>
        <sz val="10"/>
        <rFont val="WenQuanYi Zen Hei"/>
        <family val="2"/>
      </rPr>
      <t xml:space="preserve">【見出し】→</t>
    </r>
    <r>
      <rPr>
        <sz val="10"/>
        <rFont val="Arial"/>
        <family val="0"/>
        <charset val="1"/>
      </rPr>
      <t xml:space="preserve">Before</t>
    </r>
    <r>
      <rPr>
        <sz val="10"/>
        <rFont val="WenQuanYi Zen Hei"/>
        <family val="2"/>
      </rPr>
      <t xml:space="preserve">の悩み「」→人物紹介→◤</t>
    </r>
    <r>
      <rPr>
        <sz val="10"/>
        <rFont val="Arial"/>
        <family val="0"/>
        <charset val="1"/>
      </rPr>
      <t xml:space="preserve">After◥→</t>
    </r>
    <r>
      <rPr>
        <sz val="10"/>
        <rFont val="WenQuanYi Zen Hei"/>
        <family val="2"/>
      </rPr>
      <t xml:space="preserve">なぜ変われた？→名前差し込み→動画リンク→</t>
    </r>
    <r>
      <rPr>
        <sz val="10"/>
        <rFont val="Arial"/>
        <family val="0"/>
        <charset val="1"/>
      </rPr>
      <t xml:space="preserve">P.S.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</si>
  <si>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ヶ月で</t>
    </r>
    <r>
      <rPr>
        <sz val="10"/>
        <rFont val="Arial"/>
        <family val="0"/>
        <charset val="1"/>
      </rPr>
      <t xml:space="preserve">VERSANT50</t>
    </r>
    <r>
      <rPr>
        <sz val="10"/>
        <rFont val="WenQuanYi Zen Hei"/>
        <family val="2"/>
      </rPr>
      <t xml:space="preserve">点突破</t>
    </r>
  </si>
  <si>
    <r>
      <rPr>
        <sz val="10"/>
        <rFont val="WenQuanYi Zen Hei"/>
        <family val="2"/>
      </rPr>
      <t xml:space="preserve">開始・締切の時刻を知らせる（</t>
    </r>
    <r>
      <rPr>
        <sz val="10"/>
        <rFont val="Arial"/>
        <family val="0"/>
        <charset val="1"/>
      </rPr>
      <t xml:space="preserve">12h</t>
    </r>
    <r>
      <rPr>
        <sz val="10"/>
        <rFont val="WenQuanYi Zen Hei"/>
        <family val="2"/>
      </rPr>
      <t xml:space="preserve">前</t>
    </r>
    <r>
      <rPr>
        <sz val="10"/>
        <rFont val="Arial"/>
        <family val="0"/>
        <charset val="1"/>
      </rPr>
      <t xml:space="preserve">/1h</t>
    </r>
    <r>
      <rPr>
        <sz val="10"/>
        <rFont val="WenQuanYi Zen Hei"/>
        <family val="2"/>
      </rPr>
      <t xml:space="preserve">前</t>
    </r>
    <r>
      <rPr>
        <sz val="10"/>
        <rFont val="Arial"/>
        <family val="0"/>
        <charset val="1"/>
      </rPr>
      <t xml:space="preserve">/10</t>
    </r>
    <r>
      <rPr>
        <sz val="10"/>
        <rFont val="WenQuanYi Zen Hei"/>
        <family val="2"/>
      </rPr>
      <t xml:space="preserve">分前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開催中）</t>
    </r>
  </si>
  <si>
    <r>
      <rPr>
        <sz val="10"/>
        <rFont val="WenQuanYi Zen Hei"/>
        <family val="2"/>
      </rPr>
      <t xml:space="preserve">【あと○時間】→何が始まるか→席・特典が限られる→アラーム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リンク</t>
    </r>
  </si>
  <si>
    <r>
      <rPr>
        <sz val="10"/>
        <rFont val="WenQuanYi Zen Hei"/>
        <family val="2"/>
      </rPr>
      <t xml:space="preserve">あと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 先行予約開始します</t>
    </r>
  </si>
  <si>
    <t xml:space="preserve">申込受付を開始し、ボタンで申込してもらう</t>
  </si>
  <si>
    <r>
      <rPr>
        <sz val="10"/>
        <rFont val="WenQuanYi Zen Hei"/>
        <family val="2"/>
      </rPr>
      <t xml:space="preserve">【先着特典あり】募集開始→悩み「」→解決できること→特典一覧→先着→詳細</t>
    </r>
    <r>
      <rPr>
        <sz val="10"/>
        <rFont val="Arial"/>
        <family val="0"/>
        <charset val="1"/>
      </rPr>
      <t xml:space="preserve">LP→</t>
    </r>
    <r>
      <rPr>
        <sz val="10"/>
        <rFont val="WenQuanYi Zen Hei"/>
        <family val="2"/>
      </rPr>
      <t xml:space="preserve">申込ボタン</t>
    </r>
  </si>
  <si>
    <t xml:space="preserve">募集開始しました！！！</t>
  </si>
  <si>
    <t xml:space="preserve">締切を明確にし、今すぐの申込を促す</t>
  </si>
  <si>
    <r>
      <rPr>
        <sz val="10"/>
        <rFont val="WenQuanYi Zen Hei"/>
        <family val="2"/>
      </rPr>
      <t xml:space="preserve">【重要🚨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残り○時間】→何が終わるか→受取済人数→今を逃すと…→</t>
    </r>
    <r>
      <rPr>
        <sz val="10"/>
        <rFont val="Arial"/>
        <family val="0"/>
        <charset val="1"/>
      </rPr>
      <t xml:space="preserve">CTA</t>
    </r>
  </si>
  <si>
    <r>
      <rPr>
        <sz val="10"/>
        <rFont val="WenQuanYi Zen Hei"/>
        <family val="2"/>
      </rPr>
      <t xml:space="preserve">先行特典は本日</t>
    </r>
    <r>
      <rPr>
        <sz val="10"/>
        <rFont val="Arial"/>
        <family val="0"/>
        <charset val="1"/>
      </rPr>
      <t xml:space="preserve">23:59</t>
    </r>
    <r>
      <rPr>
        <sz val="10"/>
        <rFont val="WenQuanYi Zen Hei"/>
        <family val="2"/>
      </rPr>
      <t xml:space="preserve">で完全終了</t>
    </r>
  </si>
  <si>
    <t xml:space="preserve">クイズ等で自分ごと化し、感想を送ってもらう</t>
  </si>
  <si>
    <t xml:space="preserve">【緊急】→質問を投げる→詰まったら理由がある→答えは動画で→感想を送って</t>
  </si>
  <si>
    <t xml:space="preserve">この質問に答えられますか？</t>
  </si>
  <si>
    <t xml:space="preserve">未申込者だけに名前入りで寄り添う</t>
  </si>
  <si>
    <t xml:space="preserve">○○さん、まだお申し込みされていないようだったので…→日程合わなかった？→成果の声→一緒に〜しませんか</t>
  </si>
  <si>
    <r>
      <rPr>
        <sz val="10"/>
        <rFont val="Arial"/>
        <family val="0"/>
        <charset val="1"/>
      </rPr>
      <t xml:space="preserve">Yuko</t>
    </r>
    <r>
      <rPr>
        <sz val="10"/>
        <rFont val="WenQuanYi Zen Hei"/>
        <family val="2"/>
      </rPr>
      <t xml:space="preserve">さん、個別でメッセージを送りました</t>
    </r>
  </si>
  <si>
    <t xml:space="preserve">点数以外の変化・未来を想像してもらう</t>
  </si>
  <si>
    <r>
      <rPr>
        <sz val="10"/>
        <rFont val="WenQuanYi Zen Hei"/>
        <family val="2"/>
      </rPr>
      <t xml:space="preserve">【見出し】→英語で変わること🌈</t>
    </r>
    <r>
      <rPr>
        <sz val="10"/>
        <rFont val="Arial"/>
        <family val="0"/>
        <charset val="1"/>
      </rPr>
      <t xml:space="preserve">×3→</t>
    </r>
    <r>
      <rPr>
        <sz val="10"/>
        <rFont val="WenQuanYi Zen Hei"/>
        <family val="2"/>
      </rPr>
      <t xml:space="preserve">あなたの憧れは「いつ」叶える？→自己開示→締切→</t>
    </r>
    <r>
      <rPr>
        <sz val="10"/>
        <rFont val="Arial"/>
        <family val="0"/>
        <charset val="1"/>
      </rPr>
      <t xml:space="preserve">CTA</t>
    </r>
  </si>
  <si>
    <t xml:space="preserve">英語ができるようになったら何をしてみたい？</t>
  </si>
  <si>
    <r>
      <rPr>
        <sz val="10"/>
        <rFont val="Arial"/>
        <family val="0"/>
        <charset val="1"/>
      </rPr>
      <t xml:space="preserve">Zoom</t>
    </r>
    <r>
      <rPr>
        <sz val="10"/>
        <rFont val="WenQuanYi Zen Hei"/>
        <family val="2"/>
      </rPr>
      <t xml:space="preserve">リンク・当日の案内</t>
    </r>
  </si>
  <si>
    <r>
      <rPr>
        <sz val="10"/>
        <rFont val="WenQuanYi Zen Hei"/>
        <family val="2"/>
      </rPr>
      <t xml:space="preserve">【まもなく】→スタート告知→リンク→（途中入室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</si>
  <si>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開催後の熱気・感想を伝え、次回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増枠へつなげる</t>
    </r>
  </si>
  <si>
    <r>
      <rPr>
        <sz val="10"/>
        <rFont val="WenQuanYi Zen Hei"/>
        <family val="2"/>
      </rPr>
      <t xml:space="preserve">【大反響】→熱気→感想の引用→増枠・次回案内→</t>
    </r>
    <r>
      <rPr>
        <sz val="10"/>
        <rFont val="Arial"/>
        <family val="0"/>
        <charset val="1"/>
      </rPr>
      <t xml:space="preserve">CTA</t>
    </r>
  </si>
  <si>
    <t xml:space="preserve">初日から大反響です！</t>
  </si>
  <si>
    <t xml:space="preserve">全日程終了のお礼と想い、個別相談へ</t>
  </si>
  <si>
    <t xml:space="preserve">【完走しました】→参加人数→参加者の姿→想い→個別相談で仲間になった方も→締めの一言</t>
  </si>
  <si>
    <t xml:space="preserve">全日程、完走しました</t>
  </si>
  <si>
    <t xml:space="preserve">区分</t>
  </si>
  <si>
    <t xml:space="preserve">項目</t>
  </si>
  <si>
    <t xml:space="preserve">記入欄</t>
  </si>
  <si>
    <t xml:space="preserve">説明</t>
  </si>
  <si>
    <t xml:space="preserve">発信者</t>
  </si>
  <si>
    <t xml:space="preserve">アカウント名</t>
  </si>
  <si>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ゆうこ＠公式</t>
    </r>
  </si>
  <si>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の表示名</t>
    </r>
  </si>
  <si>
    <t xml:space="preserve">一人称・呼び方</t>
  </si>
  <si>
    <t xml:space="preserve">私／○○さん（名前差し込み）</t>
  </si>
  <si>
    <t xml:space="preserve">文中での一人称、読者の呼び方</t>
  </si>
  <si>
    <t xml:space="preserve">自己紹介ストーリー（短く）</t>
  </si>
  <si>
    <r>
      <rPr>
        <sz val="10"/>
        <rFont val="WenQuanYi Zen Hei"/>
        <family val="2"/>
      </rPr>
      <t xml:space="preserve">英語が苦手だった私が社会人から</t>
    </r>
    <r>
      <rPr>
        <sz val="10"/>
        <rFont val="Arial"/>
        <family val="0"/>
        <charset val="1"/>
      </rPr>
      <t xml:space="preserve">IELTS 7.0</t>
    </r>
    <r>
      <rPr>
        <sz val="10"/>
        <rFont val="WenQuanYi Zen Hei"/>
        <family val="2"/>
      </rPr>
      <t xml:space="preserve">を取り、イギリス大学院へ</t>
    </r>
  </si>
  <si>
    <t xml:space="preserve">冒頭や事例で繰り返し使う「原体験」</t>
  </si>
  <si>
    <t xml:space="preserve">これまでの指導実績</t>
  </si>
  <si>
    <t xml:space="preserve">指導○○名以上、○点アップ平均など</t>
  </si>
  <si>
    <t xml:space="preserve">実数のみ</t>
  </si>
  <si>
    <t xml:space="preserve">口調・絵文字の量</t>
  </si>
  <si>
    <r>
      <rPr>
        <sz val="10"/>
        <rFont val="WenQuanYi Zen Hei"/>
        <family val="2"/>
      </rPr>
      <t xml:space="preserve">親しみやすく丁寧／絵文字は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行に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つまで</t>
    </r>
  </si>
  <si>
    <t xml:space="preserve">参考アカウントは絵文字多め・短い改行</t>
  </si>
  <si>
    <t xml:space="preserve">勉強会</t>
  </si>
  <si>
    <t xml:space="preserve">勉強会タイトル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</si>
  <si>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で人生を動かす！ゆうこ式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最短スコアアップ特別勉強会</t>
    </r>
  </si>
  <si>
    <t xml:space="preserve">日程①</t>
  </si>
  <si>
    <r>
      <rPr>
        <sz val="10"/>
        <rFont val="Arial"/>
        <family val="0"/>
        <charset val="1"/>
      </rPr>
      <t xml:space="preserve">12/19</t>
    </r>
    <r>
      <rPr>
        <sz val="10"/>
        <rFont val="WenQuanYi Zen Hei"/>
        <family val="2"/>
      </rPr>
      <t xml:space="preserve">（土）</t>
    </r>
    <r>
      <rPr>
        <sz val="10"/>
        <rFont val="Arial"/>
        <family val="0"/>
        <charset val="1"/>
      </rPr>
      <t xml:space="preserve">21:00</t>
    </r>
    <r>
      <rPr>
        <sz val="10"/>
        <rFont val="WenQuanYi Zen Hei"/>
        <family val="2"/>
      </rPr>
      <t xml:space="preserve">〜</t>
    </r>
  </si>
  <si>
    <t xml:space="preserve">日程②（最終回）</t>
  </si>
  <si>
    <r>
      <rPr>
        <sz val="10"/>
        <rFont val="Arial"/>
        <family val="0"/>
        <charset val="1"/>
      </rPr>
      <t xml:space="preserve">12/21</t>
    </r>
    <r>
      <rPr>
        <sz val="10"/>
        <rFont val="WenQuanYi Zen Hei"/>
        <family val="2"/>
      </rPr>
      <t xml:space="preserve">（月）</t>
    </r>
    <r>
      <rPr>
        <sz val="10"/>
        <rFont val="Arial"/>
        <family val="0"/>
        <charset val="1"/>
      </rPr>
      <t xml:space="preserve">21:00</t>
    </r>
    <r>
      <rPr>
        <sz val="10"/>
        <rFont val="WenQuanYi Zen Hei"/>
        <family val="2"/>
      </rPr>
      <t xml:space="preserve">〜</t>
    </r>
  </si>
  <si>
    <t xml:space="preserve">所要時間</t>
  </si>
  <si>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分</t>
    </r>
  </si>
  <si>
    <t xml:space="preserve">開催形式・参加費</t>
  </si>
  <si>
    <r>
      <rPr>
        <sz val="10"/>
        <rFont val="Arial"/>
        <family val="0"/>
        <charset val="1"/>
      </rPr>
      <t xml:space="preserve">Zoom</t>
    </r>
    <r>
      <rPr>
        <sz val="10"/>
        <rFont val="WenQuanYi Zen Hei"/>
        <family val="2"/>
      </rPr>
      <t xml:space="preserve">／無料</t>
    </r>
  </si>
  <si>
    <t xml:space="preserve">録画・アーカイブ</t>
  </si>
  <si>
    <t xml:space="preserve">なし</t>
  </si>
  <si>
    <t xml:space="preserve">なしの場合「リアルタイム限定」を訴求に使えます</t>
  </si>
  <si>
    <r>
      <rPr>
        <b val="true"/>
        <sz val="10"/>
        <rFont val="WenQuanYi Zen Hei"/>
        <family val="2"/>
      </rPr>
      <t xml:space="preserve">当日学べること（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つ程度）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</si>
  <si>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年にスコアを取り切る勝ち筋
・</t>
    </r>
    <r>
      <rPr>
        <sz val="10"/>
        <rFont val="Arial"/>
        <family val="0"/>
        <charset val="1"/>
      </rPr>
      <t xml:space="preserve">5.5→6.5</t>
    </r>
    <r>
      <rPr>
        <sz val="10"/>
        <rFont val="WenQuanYi Zen Hei"/>
        <family val="2"/>
      </rPr>
      <t xml:space="preserve">を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ヶ月で超える方法
・</t>
    </r>
    <r>
      <rPr>
        <sz val="10"/>
        <rFont val="Arial"/>
        <family val="0"/>
        <charset val="1"/>
      </rPr>
      <t xml:space="preserve">Writing/Speaking</t>
    </r>
    <r>
      <rPr>
        <sz val="10"/>
        <rFont val="WenQuanYi Zen Hei"/>
        <family val="2"/>
      </rPr>
      <t xml:space="preserve">を独学で伸ばす型
・社会人が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時間で回す学習設計
・出願から逆算した受験計画
・スコアが伸びない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つの悪習慣</t>
    </r>
  </si>
  <si>
    <r>
      <rPr>
        <sz val="10"/>
        <rFont val="Arial"/>
        <family val="0"/>
        <charset val="1"/>
      </rPr>
      <t xml:space="preserve">12/3</t>
    </r>
    <r>
      <rPr>
        <sz val="10"/>
        <rFont val="WenQuanYi Zen Hei"/>
        <family val="2"/>
      </rPr>
      <t xml:space="preserve">「中身の予告」で使用</t>
    </r>
  </si>
  <si>
    <t xml:space="preserve">こんな方におすすめ</t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</si>
  <si>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5.5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6.0</t>
    </r>
    <r>
      <rPr>
        <sz val="10"/>
        <rFont val="WenQuanYi Zen Hei"/>
        <family val="2"/>
      </rPr>
      <t xml:space="preserve">で止まっている
・</t>
    </r>
    <r>
      <rPr>
        <sz val="10"/>
        <rFont val="Arial"/>
        <family val="0"/>
        <charset val="1"/>
      </rPr>
      <t xml:space="preserve">Writing/Speaking</t>
    </r>
    <r>
      <rPr>
        <sz val="10"/>
        <rFont val="WenQuanYi Zen Hei"/>
        <family val="2"/>
      </rPr>
      <t xml:space="preserve">が伸びない
・大学院・留学の出願に間に合わせたい
・働きながら時間が取れない</t>
    </r>
  </si>
  <si>
    <t xml:space="preserve">定員（各回）</t>
  </si>
  <si>
    <t xml:space="preserve">決まっていれば実数</t>
  </si>
  <si>
    <t xml:space="preserve">勉強会後の流れ</t>
  </si>
  <si>
    <t xml:space="preserve">個別相談（無料）→講座案内</t>
  </si>
  <si>
    <t xml:space="preserve">完走報告・開催後の配信で使用</t>
  </si>
  <si>
    <t xml:space="preserve">日程</t>
  </si>
  <si>
    <t xml:space="preserve">先行予約開始</t>
  </si>
  <si>
    <r>
      <rPr>
        <sz val="10"/>
        <rFont val="Arial"/>
        <family val="0"/>
        <charset val="1"/>
      </rPr>
      <t xml:space="preserve">12/9</t>
    </r>
    <r>
      <rPr>
        <sz val="10"/>
        <rFont val="WenQuanYi Zen Hei"/>
        <family val="2"/>
      </rPr>
      <t xml:space="preserve">（水）</t>
    </r>
    <r>
      <rPr>
        <sz val="10"/>
        <rFont val="Arial"/>
        <family val="0"/>
        <charset val="1"/>
      </rPr>
      <t xml:space="preserve">20:00</t>
    </r>
  </si>
  <si>
    <t xml:space="preserve">先行予約特典の締切</t>
  </si>
  <si>
    <r>
      <rPr>
        <sz val="10"/>
        <rFont val="Arial"/>
        <family val="0"/>
        <charset val="1"/>
      </rPr>
      <t xml:space="preserve">12/15</t>
    </r>
    <r>
      <rPr>
        <sz val="10"/>
        <rFont val="WenQuanYi Zen Hei"/>
        <family val="2"/>
      </rPr>
      <t xml:space="preserve">（火）</t>
    </r>
    <r>
      <rPr>
        <sz val="10"/>
        <rFont val="Arial"/>
        <family val="0"/>
        <charset val="1"/>
      </rPr>
      <t xml:space="preserve">23:59</t>
    </r>
  </si>
  <si>
    <t xml:space="preserve">申込締切</t>
  </si>
  <si>
    <r>
      <rPr>
        <sz val="10"/>
        <rFont val="Arial"/>
        <family val="0"/>
        <charset val="1"/>
      </rPr>
      <t xml:space="preserve">12/18</t>
    </r>
    <r>
      <rPr>
        <sz val="10"/>
        <rFont val="WenQuanYi Zen Hei"/>
        <family val="2"/>
      </rPr>
      <t xml:space="preserve">（金）</t>
    </r>
    <r>
      <rPr>
        <sz val="10"/>
        <rFont val="Arial"/>
        <family val="0"/>
        <charset val="1"/>
      </rPr>
      <t xml:space="preserve">23:59</t>
    </r>
  </si>
  <si>
    <t xml:space="preserve">リンク</t>
  </si>
  <si>
    <r>
      <rPr>
        <b val="true"/>
        <sz val="10"/>
        <rFont val="WenQuanYi Zen Hei"/>
        <family val="2"/>
      </rPr>
      <t xml:space="preserve">勉強会詳細</t>
    </r>
    <r>
      <rPr>
        <b val="true"/>
        <sz val="10"/>
        <rFont val="Arial"/>
        <family val="0"/>
        <charset val="1"/>
      </rPr>
      <t xml:space="preserve">LP</t>
    </r>
  </si>
  <si>
    <t xml:space="preserve">https://</t>
  </si>
  <si>
    <t xml:space="preserve">申込ボタン（日程選択）</t>
  </si>
  <si>
    <r>
      <rPr>
        <sz val="10"/>
        <rFont val="Arial"/>
        <family val="0"/>
        <charset val="1"/>
      </rPr>
      <t xml:space="preserve">L</t>
    </r>
    <r>
      <rPr>
        <sz val="10"/>
        <rFont val="WenQuanYi Zen Hei"/>
        <family val="2"/>
      </rPr>
      <t xml:space="preserve">ステップのボタン名など</t>
    </r>
  </si>
  <si>
    <t xml:space="preserve">オープンチャット</t>
  </si>
  <si>
    <t xml:space="preserve">事前動画</t>
  </si>
  <si>
    <r>
      <rPr>
        <b val="true"/>
        <sz val="10"/>
        <rFont val="Arial"/>
        <family val="0"/>
        <charset val="1"/>
      </rPr>
      <t xml:space="preserve">Zoom</t>
    </r>
    <r>
      <rPr>
        <b val="true"/>
        <sz val="10"/>
        <rFont val="WenQuanYi Zen Hei"/>
        <family val="2"/>
      </rPr>
      <t xml:space="preserve">リンク①（</t>
    </r>
    <r>
      <rPr>
        <b val="true"/>
        <sz val="10"/>
        <rFont val="Arial"/>
        <family val="0"/>
        <charset val="1"/>
      </rPr>
      <t xml:space="preserve">12/19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</si>
  <si>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Zoom</t>
    </r>
    <r>
      <rPr>
        <b val="true"/>
        <sz val="10"/>
        <rFont val="WenQuanYi Zen Hei"/>
        <family val="2"/>
      </rPr>
      <t xml:space="preserve">リンク②（</t>
    </r>
    <r>
      <rPr>
        <b val="true"/>
        <sz val="10"/>
        <rFont val="Arial"/>
        <family val="0"/>
        <charset val="1"/>
      </rPr>
      <t xml:space="preserve">12/21</t>
    </r>
    <r>
      <rPr>
        <b val="true"/>
        <sz val="10"/>
        <rFont val="WenQuanYi Zen Hei"/>
        <family val="2"/>
      </rPr>
      <t xml:space="preserve">）</t>
    </r>
  </si>
  <si>
    <t xml:space="preserve">注意</t>
  </si>
  <si>
    <r>
      <rPr>
        <b val="true"/>
        <sz val="10"/>
        <rFont val="WenQuanYi Zen Hei"/>
        <family val="2"/>
      </rPr>
      <t xml:space="preserve">使わない表現・</t>
    </r>
    <r>
      <rPr>
        <b val="true"/>
        <sz val="10"/>
        <rFont val="Arial"/>
        <family val="0"/>
        <charset val="1"/>
      </rPr>
      <t xml:space="preserve">NG</t>
    </r>
    <r>
      <rPr>
        <b val="true"/>
        <sz val="10"/>
        <rFont val="WenQuanYi Zen Hei"/>
        <family val="2"/>
      </rPr>
      <t xml:space="preserve">ワード</t>
    </r>
  </si>
  <si>
    <t xml:space="preserve">「絶対」「誰でも必ず」など</t>
  </si>
  <si>
    <t xml:space="preserve">ブランド上使いたくない言葉</t>
  </si>
  <si>
    <t xml:space="preserve">その他メモ</t>
  </si>
  <si>
    <t xml:space="preserve">種別</t>
  </si>
  <si>
    <t xml:space="preserve">特典タイトル</t>
  </si>
  <si>
    <r>
      <rPr>
        <b val="true"/>
        <sz val="10"/>
        <color rgb="FFFFFFFF"/>
        <rFont val="WenQuanYi Zen Hei"/>
        <family val="2"/>
      </rPr>
      <t xml:space="preserve">中身（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行）</t>
    </r>
  </si>
  <si>
    <t xml:space="preserve">形式</t>
  </si>
  <si>
    <t xml:space="preserve">配信日（先行特典のみ）</t>
  </si>
  <si>
    <t xml:space="preserve">受取人数（実数）</t>
  </si>
  <si>
    <r>
      <rPr>
        <sz val="10"/>
        <rFont val="Arial"/>
        <family val="0"/>
        <charset val="1"/>
      </rPr>
      <t xml:space="preserve">Writing Task 2 </t>
    </r>
    <r>
      <rPr>
        <sz val="10"/>
        <rFont val="WenQuanYi Zen Hei"/>
        <family val="2"/>
      </rPr>
      <t xml:space="preserve">テンプレ集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</si>
  <si>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タイプの設問に使える段落テンプレと例文</t>
    </r>
  </si>
  <si>
    <t xml:space="preserve">PDF</t>
  </si>
  <si>
    <t xml:space="preserve">先行予約特典</t>
  </si>
  <si>
    <r>
      <rPr>
        <sz val="10"/>
        <rFont val="WenQuanYi Zen Hei"/>
        <family val="2"/>
      </rPr>
      <t xml:space="preserve">私が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で人生を変えた話</t>
    </r>
  </si>
  <si>
    <r>
      <rPr>
        <sz val="10"/>
        <rFont val="WenQuanYi Zen Hei"/>
        <family val="2"/>
      </rPr>
      <t xml:space="preserve">（仮）社会人から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に挑戦し、人生が変わった自分のストーリー</t>
    </r>
  </si>
  <si>
    <t xml:space="preserve">音声</t>
  </si>
  <si>
    <t xml:space="preserve">12/10</t>
  </si>
  <si>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年にスコアを取り切る」ために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番大切なこと</t>
    </r>
  </si>
  <si>
    <r>
      <rPr>
        <sz val="10"/>
        <rFont val="WenQuanYi Zen Hei"/>
        <family val="2"/>
      </rPr>
      <t xml:space="preserve">（仮）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年にスコアを取り切るために、まず決めるべき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つのこと</t>
    </r>
  </si>
  <si>
    <t xml:space="preserve">12/11</t>
  </si>
  <si>
    <r>
      <rPr>
        <sz val="10"/>
        <rFont val="WenQuanYi Zen Hei"/>
        <family val="2"/>
      </rPr>
      <t xml:space="preserve">多くの人がハマる</t>
    </r>
    <r>
      <rPr>
        <sz val="10"/>
        <rFont val="Arial"/>
        <family val="0"/>
        <charset val="1"/>
      </rPr>
      <t xml:space="preserve">IELTS 3</t>
    </r>
    <r>
      <rPr>
        <sz val="10"/>
        <rFont val="WenQuanYi Zen Hei"/>
        <family val="2"/>
      </rPr>
      <t xml:space="preserve">大トラップ</t>
    </r>
  </si>
  <si>
    <r>
      <rPr>
        <sz val="10"/>
        <rFont val="WenQuanYi Zen Hei"/>
        <family val="2"/>
      </rPr>
      <t xml:space="preserve">（仮）多くの人が気づかずにハマる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つの落とし穴と抜け出し方</t>
    </r>
  </si>
  <si>
    <t xml:space="preserve">12/12</t>
  </si>
  <si>
    <t xml:space="preserve">○名以上を指導して分かったスコアアップの本当のカギ</t>
  </si>
  <si>
    <t xml:space="preserve">（仮）たくさんの受講生を見てきて分かった、伸びる人の共通点</t>
  </si>
  <si>
    <t xml:space="preserve">12/15</t>
  </si>
  <si>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時代に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は必要？」今こそ英語を学ぶ価値</t>
    </r>
  </si>
  <si>
    <r>
      <rPr>
        <sz val="10"/>
        <rFont val="WenQuanYi Zen Hei"/>
        <family val="2"/>
      </rPr>
      <t xml:space="preserve">（仮）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時代でも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・英語を学ぶ価値と、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との付き合い方</t>
    </r>
  </si>
  <si>
    <t xml:space="preserve">いちばん伝えたいメッセージ</t>
  </si>
  <si>
    <t xml:space="preserve">（仮）勉強会の前に、いちばん伝えたい想い</t>
  </si>
  <si>
    <t xml:space="preserve">参加特典</t>
  </si>
  <si>
    <r>
      <rPr>
        <sz val="10"/>
        <rFont val="Arial"/>
        <family val="0"/>
        <charset val="1"/>
      </rPr>
      <t xml:space="preserve">IELTS 4</t>
    </r>
    <r>
      <rPr>
        <sz val="10"/>
        <rFont val="WenQuanYi Zen Hei"/>
        <family val="2"/>
      </rPr>
      <t xml:space="preserve">技能 現在地診断シート</t>
    </r>
  </si>
  <si>
    <r>
      <rPr>
        <sz val="10"/>
        <rFont val="WenQuanYi Zen Hei"/>
        <family val="2"/>
      </rPr>
      <t xml:space="preserve">（仮）【診断・分析】各技能の今のスコア・目標・得意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苦手を書き出し、どこから伸ばすかを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枚で見える化。勉強会当日のワークでも使用</t>
    </r>
  </si>
  <si>
    <t xml:space="preserve">シート</t>
  </si>
  <si>
    <t xml:space="preserve">—</t>
  </si>
  <si>
    <t xml:space="preserve">スコアレポート分析シート</t>
  </si>
  <si>
    <t xml:space="preserve">（仮）【診断・分析】公式スコアレポートの数字から、どの技能・どの採点項目が足を引っ張っているかを読み解く記入式シート</t>
  </si>
  <si>
    <t xml:space="preserve">今の勉強法チェックリスト</t>
  </si>
  <si>
    <r>
      <rPr>
        <sz val="10"/>
        <rFont val="WenQuanYi Zen Hei"/>
        <family val="2"/>
      </rPr>
      <t xml:space="preserve">（仮）【診断・分析】今の勉強が「スコアにつながる勉強」になっているかを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項目でセルフチェック</t>
    </r>
  </si>
  <si>
    <r>
      <rPr>
        <sz val="10"/>
        <rFont val="WenQuanYi Zen Hei"/>
        <family val="2"/>
      </rPr>
      <t xml:space="preserve">停滞する人のパターン</t>
    </r>
    <r>
      <rPr>
        <sz val="10"/>
        <rFont val="Arial"/>
        <family val="0"/>
        <charset val="1"/>
      </rPr>
      <t xml:space="preserve">10</t>
    </r>
  </si>
  <si>
    <r>
      <rPr>
        <sz val="10"/>
        <rFont val="WenQuanYi Zen Hei"/>
        <family val="2"/>
      </rPr>
      <t xml:space="preserve">（仮）【診断・分析】</t>
    </r>
    <r>
      <rPr>
        <sz val="10"/>
        <rFont val="Arial"/>
        <family val="0"/>
        <charset val="1"/>
      </rPr>
      <t xml:space="preserve">5.5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6.0</t>
    </r>
    <r>
      <rPr>
        <sz val="10"/>
        <rFont val="WenQuanYi Zen Hei"/>
        <family val="2"/>
      </rPr>
      <t xml:space="preserve">で止まる人に共通する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の勉強パターンと、それぞれの抜け出し方</t>
    </r>
  </si>
  <si>
    <r>
      <rPr>
        <sz val="10"/>
        <rFont val="WenQuanYi Zen Hei"/>
        <family val="2"/>
      </rPr>
      <t xml:space="preserve">社会人が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時間をつくる 時間の棚卸しシート</t>
    </r>
  </si>
  <si>
    <r>
      <rPr>
        <sz val="10"/>
        <rFont val="WenQuanYi Zen Hei"/>
        <family val="2"/>
      </rPr>
      <t xml:space="preserve">（仮）【診断・分析】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週間の時間の使い方を書き出し、勉強に回せるすき間時間を見つける</t>
    </r>
  </si>
  <si>
    <t xml:space="preserve">目標の言語化シート</t>
  </si>
  <si>
    <r>
      <rPr>
        <sz val="10"/>
        <rFont val="WenQuanYi Zen Hei"/>
        <family val="2"/>
      </rPr>
      <t xml:space="preserve">（仮）【診断・分析】「なぜ</t>
    </r>
    <r>
      <rPr>
        <sz val="10"/>
        <rFont val="Arial"/>
        <family val="0"/>
        <charset val="1"/>
      </rPr>
      <t xml:space="preserve">IELTS</t>
    </r>
    <r>
      <rPr>
        <sz val="10"/>
        <rFont val="WenQuanYi Zen Hei"/>
        <family val="2"/>
      </rPr>
      <t xml:space="preserve">か」「いつまでに何点か」「取れたら何をするか」を言葉にして、続ける理由をつくる</t>
    </r>
  </si>
  <si>
    <r>
      <rPr>
        <sz val="10"/>
        <rFont val="WenQuanYi Zen Hei"/>
        <family val="2"/>
      </rPr>
      <t xml:space="preserve">半年で</t>
    </r>
    <r>
      <rPr>
        <sz val="10"/>
        <rFont val="Arial"/>
        <family val="0"/>
        <charset val="1"/>
      </rPr>
      <t xml:space="preserve">+1.0 </t>
    </r>
    <r>
      <rPr>
        <sz val="10"/>
        <rFont val="WenQuanYi Zen Hei"/>
        <family val="2"/>
      </rPr>
      <t xml:space="preserve">逆算ロードマップ（試験日逆算カレンダー付き）</t>
    </r>
  </si>
  <si>
    <t xml:space="preserve">（仮）【計画・記録】試験日から逆算して、月ごと・週ごとにやることを決めるロードマップ。カレンダーに書き込んで使う</t>
  </si>
  <si>
    <r>
      <rPr>
        <sz val="10"/>
        <rFont val="WenQuanYi Zen Hei"/>
        <family val="2"/>
      </rPr>
      <t xml:space="preserve">週間計画</t>
    </r>
    <r>
      <rPr>
        <sz val="10"/>
        <rFont val="Arial"/>
        <family val="0"/>
        <charset val="1"/>
      </rPr>
      <t xml:space="preserve">&amp;</t>
    </r>
    <r>
      <rPr>
        <sz val="10"/>
        <rFont val="WenQuanYi Zen Hei"/>
        <family val="2"/>
      </rPr>
      <t xml:space="preserve">学習ログシート</t>
    </r>
  </si>
  <si>
    <r>
      <rPr>
        <sz val="10"/>
        <rFont val="WenQuanYi Zen Hei"/>
        <family val="2"/>
      </rPr>
      <t xml:space="preserve">（仮）【計画・記録】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週間の計画と、毎日の学習記録・振り返りを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枚で管理</t>
    </r>
  </si>
  <si>
    <r>
      <rPr>
        <sz val="10"/>
        <rFont val="WenQuanYi Zen Hei"/>
        <family val="2"/>
      </rPr>
      <t xml:space="preserve">模試計画</t>
    </r>
    <r>
      <rPr>
        <sz val="10"/>
        <rFont val="Arial"/>
        <family val="0"/>
        <charset val="1"/>
      </rPr>
      <t xml:space="preserve">&amp;</t>
    </r>
    <r>
      <rPr>
        <sz val="10"/>
        <rFont val="WenQuanYi Zen Hei"/>
        <family val="2"/>
      </rPr>
      <t xml:space="preserve">スコア推移シート</t>
    </r>
  </si>
  <si>
    <t xml:space="preserve">（仮）【計画・記録】模試をいつ解くかの計画と、技能別スコアの推移をグラフで記録</t>
  </si>
  <si>
    <t xml:space="preserve">次アクションシート</t>
  </si>
  <si>
    <r>
      <rPr>
        <sz val="10"/>
        <rFont val="WenQuanYi Zen Hei"/>
        <family val="2"/>
      </rPr>
      <t xml:space="preserve">（仮）【計画・記録】勉強会で学んだことから、明日からの具体的な行動を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つに絞って書き出す（勉強会の最後に使用）</t>
    </r>
  </si>
  <si>
    <t xml:space="preserve">試験官はここを見ている 採点基準の読み方ガイド</t>
  </si>
  <si>
    <r>
      <rPr>
        <sz val="10"/>
        <rFont val="WenQuanYi Zen Hei"/>
        <family val="2"/>
      </rPr>
      <t xml:space="preserve">（仮）【ライティング】</t>
    </r>
    <r>
      <rPr>
        <sz val="10"/>
        <rFont val="Arial"/>
        <family val="0"/>
        <charset val="1"/>
      </rPr>
      <t xml:space="preserve">Writing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つの採点基準（課題達成・一貫性・語彙・文法）を、日本人向けにかみくだいて解説</t>
    </r>
  </si>
  <si>
    <t xml:space="preserve">自己添削チェックリスト</t>
  </si>
  <si>
    <r>
      <rPr>
        <sz val="10"/>
        <rFont val="WenQuanYi Zen Hei"/>
        <family val="2"/>
      </rPr>
      <t xml:space="preserve">（仮）【ライティング】書き終わった答案を自分で見直すためのチェック項目。採点基準の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項目ごとに整理</t>
    </r>
  </si>
  <si>
    <r>
      <rPr>
        <sz val="10"/>
        <rFont val="WenQuanYi Zen Hei"/>
        <family val="2"/>
      </rPr>
      <t xml:space="preserve">添削ログ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間違いノート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シート</t>
    </r>
  </si>
  <si>
    <t xml:space="preserve">（仮）【ライティング】添削で指摘されたミスを種類ごとに記録し、同じミスを繰り返さないための記録シート</t>
  </si>
  <si>
    <r>
      <rPr>
        <sz val="10"/>
        <rFont val="Arial"/>
        <family val="0"/>
        <charset val="1"/>
      </rPr>
      <t xml:space="preserve">5.5</t>
    </r>
    <r>
      <rPr>
        <sz val="10"/>
        <rFont val="WenQuanYi Zen Hei"/>
        <family val="2"/>
      </rPr>
      <t xml:space="preserve">と</t>
    </r>
    <r>
      <rPr>
        <sz val="10"/>
        <rFont val="Arial"/>
        <family val="0"/>
        <charset val="1"/>
      </rPr>
      <t xml:space="preserve">6.5</t>
    </r>
    <r>
      <rPr>
        <sz val="10"/>
        <rFont val="WenQuanYi Zen Hei"/>
        <family val="2"/>
      </rPr>
      <t xml:space="preserve">の答案比較解剖資料</t>
    </r>
  </si>
  <si>
    <r>
      <rPr>
        <sz val="10"/>
        <rFont val="WenQuanYi Zen Hei"/>
        <family val="2"/>
      </rPr>
      <t xml:space="preserve">（仮）【ライティング】同じ設問の</t>
    </r>
    <r>
      <rPr>
        <sz val="10"/>
        <rFont val="Arial"/>
        <family val="0"/>
        <charset val="1"/>
      </rPr>
      <t xml:space="preserve">5.5</t>
    </r>
    <r>
      <rPr>
        <sz val="10"/>
        <rFont val="WenQuanYi Zen Hei"/>
        <family val="2"/>
      </rPr>
      <t xml:space="preserve">答案と</t>
    </r>
    <r>
      <rPr>
        <sz val="10"/>
        <rFont val="Arial"/>
        <family val="0"/>
        <charset val="1"/>
      </rPr>
      <t xml:space="preserve">6.5</t>
    </r>
    <r>
      <rPr>
        <sz val="10"/>
        <rFont val="WenQuanYi Zen Hei"/>
        <family val="2"/>
      </rPr>
      <t xml:space="preserve">答案を並べ、どこで点差がついたかを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文ずつ解説</t>
    </r>
  </si>
  <si>
    <r>
      <rPr>
        <sz val="10"/>
        <rFont val="Arial"/>
        <family val="0"/>
        <charset val="1"/>
      </rPr>
      <t xml:space="preserve">Task 2</t>
    </r>
    <r>
      <rPr>
        <sz val="10"/>
        <rFont val="WenQuanYi Zen Hei"/>
        <family val="2"/>
      </rPr>
      <t xml:space="preserve">で手が止まらない アイデア発想法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パターン</t>
    </r>
  </si>
  <si>
    <r>
      <rPr>
        <sz val="10"/>
        <rFont val="WenQuanYi Zen Hei"/>
        <family val="2"/>
      </rPr>
      <t xml:space="preserve">（仮）【ライティング】設問を見て意見・理由・具体例を素早く出すための考え方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つ（答え・例文は載せない）</t>
    </r>
  </si>
  <si>
    <t xml:space="preserve">ライティング練習の組み方ガイド</t>
  </si>
  <si>
    <r>
      <rPr>
        <sz val="10"/>
        <rFont val="WenQuanYi Zen Hei"/>
        <family val="2"/>
      </rPr>
      <t xml:space="preserve">（仮）【ライティング】時間を計って書く→見直す→書き直す、の練習サイクルと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週間の回し方</t>
    </r>
  </si>
  <si>
    <r>
      <rPr>
        <sz val="10"/>
        <rFont val="Arial"/>
        <family val="0"/>
        <charset val="1"/>
      </rPr>
      <t xml:space="preserve">T/F/NG </t>
    </r>
    <r>
      <rPr>
        <sz val="10"/>
        <rFont val="WenQuanYi Zen Hei"/>
        <family val="2"/>
      </rPr>
      <t xml:space="preserve">判定フローチャート</t>
    </r>
  </si>
  <si>
    <r>
      <rPr>
        <sz val="10"/>
        <rFont val="WenQuanYi Zen Hei"/>
        <family val="2"/>
      </rPr>
      <t xml:space="preserve">（仮）【リーディング・リスニング】</t>
    </r>
    <r>
      <rPr>
        <sz val="10"/>
        <rFont val="Arial"/>
        <family val="0"/>
        <charset val="1"/>
      </rPr>
      <t xml:space="preserve">True / False / Not Given </t>
    </r>
    <r>
      <rPr>
        <sz val="10"/>
        <rFont val="WenQuanYi Zen Hei"/>
        <family val="2"/>
      </rPr>
      <t xml:space="preserve">を迷わず判定するための手順をフローチャートで</t>
    </r>
  </si>
  <si>
    <r>
      <rPr>
        <sz val="10"/>
        <rFont val="WenQuanYi Zen Hei"/>
        <family val="2"/>
      </rPr>
      <t xml:space="preserve">解く順</t>
    </r>
    <r>
      <rPr>
        <sz val="10"/>
        <rFont val="Arial"/>
        <family val="0"/>
        <charset val="1"/>
      </rPr>
      <t xml:space="preserve">&amp;</t>
    </r>
    <r>
      <rPr>
        <sz val="10"/>
        <rFont val="WenQuanYi Zen Hei"/>
        <family val="2"/>
      </rPr>
      <t xml:space="preserve">時間配分ガイド</t>
    </r>
  </si>
  <si>
    <r>
      <rPr>
        <sz val="10"/>
        <rFont val="WenQuanYi Zen Hei"/>
        <family val="2"/>
      </rPr>
      <t xml:space="preserve">（仮）【リーディング・リスニング】</t>
    </r>
    <r>
      <rPr>
        <sz val="10"/>
        <rFont val="Arial"/>
        <family val="0"/>
        <charset val="1"/>
      </rPr>
      <t xml:space="preserve">Reading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Listening</t>
    </r>
    <r>
      <rPr>
        <sz val="10"/>
        <rFont val="WenQuanYi Zen Hei"/>
        <family val="2"/>
      </rPr>
      <t xml:space="preserve">で、どの順番で解き、どこに何分かけるかの考え方</t>
    </r>
  </si>
  <si>
    <t xml:space="preserve">「なんとなく間違えた」をなくす 間違い原因分類シート</t>
  </si>
  <si>
    <t xml:space="preserve">（仮）【リーディング・リスニング】間違えた問題を「単語」「文構造」「設問の読み違い」など原因別に分類し、弱点を特定する</t>
  </si>
  <si>
    <r>
      <rPr>
        <sz val="10"/>
        <rFont val="WenQuanYi Zen Hei"/>
        <family val="2"/>
      </rPr>
      <t xml:space="preserve">ディクテーション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日間メニュー</t>
    </r>
  </si>
  <si>
    <r>
      <rPr>
        <sz val="10"/>
        <rFont val="WenQuanYi Zen Hei"/>
        <family val="2"/>
      </rPr>
      <t xml:space="preserve">（仮）【リーディング・リスニング】</t>
    </r>
    <r>
      <rPr>
        <sz val="10"/>
        <rFont val="Arial"/>
        <family val="0"/>
        <charset val="1"/>
      </rPr>
      <t xml:space="preserve">Listening</t>
    </r>
    <r>
      <rPr>
        <sz val="10"/>
        <rFont val="WenQuanYi Zen Hei"/>
        <family val="2"/>
      </rPr>
      <t xml:space="preserve">力を上げるディクテーションを、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</t>
    </r>
    <r>
      <rPr>
        <sz val="10"/>
        <rFont val="Arial"/>
        <family val="0"/>
        <charset val="1"/>
      </rPr>
      <t xml:space="preserve">×7</t>
    </r>
    <r>
      <rPr>
        <sz val="10"/>
        <rFont val="WenQuanYi Zen Hei"/>
        <family val="2"/>
      </rPr>
      <t xml:space="preserve">日間のメニューに</t>
    </r>
  </si>
  <si>
    <t xml:space="preserve">シャドーイング段階別ガイド</t>
  </si>
  <si>
    <t xml:space="preserve">（仮）【リーディング・リスニング】聞く→つぶやく→重ねる→シャドーイング、と段階を踏んで進めるやり方と素材の選び方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</si>
  <si>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分 ひとりスピーキング練習メニュー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日分</t>
    </r>
  </si>
  <si>
    <r>
      <rPr>
        <sz val="10"/>
        <rFont val="WenQuanYi Zen Hei"/>
        <family val="2"/>
      </rPr>
      <t xml:space="preserve">（仮）【スピーキング】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人でできるスピーキング練習を、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分</t>
    </r>
    <r>
      <rPr>
        <sz val="10"/>
        <rFont val="Arial"/>
        <family val="0"/>
        <charset val="1"/>
      </rPr>
      <t xml:space="preserve">×30</t>
    </r>
    <r>
      <rPr>
        <sz val="10"/>
        <rFont val="WenQuanYi Zen Hei"/>
        <family val="2"/>
      </rPr>
      <t xml:space="preserve">日分のメニューに（お題のみ・回答例なし）</t>
    </r>
  </si>
  <si>
    <t xml:space="preserve">スピーキング失点セルフ分析シート</t>
  </si>
  <si>
    <r>
      <rPr>
        <sz val="10"/>
        <rFont val="WenQuanYi Zen Hei"/>
        <family val="2"/>
      </rPr>
      <t xml:space="preserve">（仮）【スピーキング】自分の回答を録音して聞き直し、採点基準の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項目ごとに失点ポイントを書き出す</t>
    </r>
  </si>
  <si>
    <r>
      <rPr>
        <sz val="10"/>
        <rFont val="Arial"/>
        <family val="0"/>
        <charset val="1"/>
      </rPr>
      <t xml:space="preserve">Part 2 </t>
    </r>
    <r>
      <rPr>
        <sz val="10"/>
        <rFont val="WenQuanYi Zen Hei"/>
        <family val="2"/>
      </rPr>
      <t xml:space="preserve">準備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分の考え方ガイド</t>
    </r>
  </si>
  <si>
    <r>
      <rPr>
        <sz val="10"/>
        <rFont val="WenQuanYi Zen Hei"/>
        <family val="2"/>
      </rPr>
      <t xml:space="preserve">（仮）【スピーキング】トピックカードを見てから話し始めるまでの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分間で、何をメモし、どう組み立てるか</t>
    </r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</si>
  <si>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を試験官にする </t>
    </r>
    <r>
      <rPr>
        <sz val="10"/>
        <rFont val="Arial"/>
        <family val="0"/>
        <charset val="1"/>
      </rPr>
      <t xml:space="preserve">Speaking</t>
    </r>
    <r>
      <rPr>
        <sz val="10"/>
        <rFont val="WenQuanYi Zen Hei"/>
        <family val="2"/>
      </rPr>
      <t xml:space="preserve">模擬試験プロンプト集</t>
    </r>
  </si>
  <si>
    <r>
      <rPr>
        <sz val="10"/>
        <rFont val="WenQuanYi Zen Hei"/>
        <family val="2"/>
      </rPr>
      <t xml:space="preserve">（仮）【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活用】</t>
    </r>
    <r>
      <rPr>
        <sz val="10"/>
        <rFont val="Arial"/>
        <family val="0"/>
        <charset val="1"/>
      </rPr>
      <t xml:space="preserve">ChatGPT</t>
    </r>
    <r>
      <rPr>
        <sz val="10"/>
        <rFont val="WenQuanYi Zen Hei"/>
        <family val="2"/>
      </rPr>
      <t xml:space="preserve">等に試験官役をさせ、</t>
    </r>
    <r>
      <rPr>
        <sz val="10"/>
        <rFont val="Arial"/>
        <family val="0"/>
        <charset val="1"/>
      </rPr>
      <t xml:space="preserve">Part 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の模擬面接とフィードバックを受けるためのプロンプト集</t>
    </r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</si>
  <si>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で</t>
    </r>
    <r>
      <rPr>
        <sz val="10"/>
        <rFont val="Arial"/>
        <family val="0"/>
        <charset val="1"/>
      </rPr>
      <t xml:space="preserve">Writing</t>
    </r>
    <r>
      <rPr>
        <sz val="10"/>
        <rFont val="WenQuanYi Zen Hei"/>
        <family val="2"/>
      </rPr>
      <t xml:space="preserve">自己添削 プロンプト集（</t>
    </r>
    <r>
      <rPr>
        <sz val="10"/>
        <rFont val="Arial"/>
        <family val="0"/>
        <charset val="1"/>
      </rPr>
      <t xml:space="preserve">Task 1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</si>
  <si>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（仮）【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活用】自分の答案を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に読ませ、採点基準の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項目ごとに弱点を指摘してもらうプロンプト集（スコア判定ではなく弱点発見用）</t>
    </r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</si>
  <si>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で自分専用の単語帳をつくる プロンプト集</t>
    </r>
  </si>
  <si>
    <r>
      <rPr>
        <sz val="10"/>
        <rFont val="WenQuanYi Zen Hei"/>
        <family val="2"/>
      </rPr>
      <t xml:space="preserve">（仮）【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活用】自分の答案や間違えた問題から、覚えるべき語彙を抜き出して単語帳にするプロンプト集</t>
    </r>
  </si>
  <si>
    <t xml:space="preserve">習慣設計＆挫折分岐ガイド</t>
  </si>
  <si>
    <t xml:space="preserve">（仮）【継続・導線】勉強を習慣にする仕組みと、「忙しい」「伸びない」など挫折しそうな時の立て直し方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</si>
  <si>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週間お試しコーチング体験券（先着○名）</t>
    </r>
  </si>
  <si>
    <r>
      <rPr>
        <sz val="10"/>
        <rFont val="WenQuanYi Zen Hei"/>
        <family val="2"/>
      </rPr>
      <t xml:space="preserve">（仮）【継続・導線】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週間、学習計画へのアドバイスと進捗チェックを体験できる券（先着○名・人数は要決定）</t>
    </r>
  </si>
  <si>
    <t xml:space="preserve">招待・体験</t>
  </si>
  <si>
    <t xml:space="preserve">コミュニティ招待券</t>
  </si>
  <si>
    <t xml:space="preserve">（仮）【継続・導線】一緒に学ぶ仲間とつながれるコミュニティへの招待（無料／有料・内容は要決定）</t>
  </si>
  <si>
    <t xml:space="preserve">参加特典の数（自動）</t>
  </si>
  <si>
    <r>
      <rPr>
        <b val="true"/>
        <sz val="10"/>
        <color rgb="FFFFFFFF"/>
        <rFont val="WenQuanYi Zen Hei"/>
        <family val="2"/>
      </rPr>
      <t xml:space="preserve">事例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</si>
  <si>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表示名</t>
  </si>
  <si>
    <t xml:space="preserve">属性（年代・職業など）</t>
  </si>
  <si>
    <r>
      <rPr>
        <b val="true"/>
        <sz val="10"/>
        <color rgb="FFFFFFFF"/>
        <rFont val="Arial"/>
        <family val="0"/>
        <charset val="1"/>
      </rPr>
      <t xml:space="preserve">Before</t>
    </r>
    <r>
      <rPr>
        <b val="true"/>
        <sz val="10"/>
        <color rgb="FFFFFFFF"/>
        <rFont val="WenQuanYi Zen Hei"/>
        <family val="2"/>
      </rPr>
      <t xml:space="preserve">（悩み・スコア）</t>
    </r>
  </si>
  <si>
    <r>
      <rPr>
        <b val="true"/>
        <sz val="10"/>
        <color rgb="FFFFFFFF"/>
        <rFont val="Arial"/>
        <family val="0"/>
        <charset val="1"/>
      </rPr>
      <t xml:space="preserve">After</t>
    </r>
    <r>
      <rPr>
        <b val="true"/>
        <sz val="10"/>
        <color rgb="FFFFFFFF"/>
        <rFont val="WenQuanYi Zen Hei"/>
        <family val="2"/>
      </rPr>
      <t xml:space="preserve">（結果・スコア）</t>
    </r>
  </si>
  <si>
    <t xml:space="preserve">期間</t>
  </si>
  <si>
    <t xml:space="preserve">変われた理由・決め手</t>
  </si>
  <si>
    <t xml:space="preserve">印象的な一言</t>
  </si>
  <si>
    <r>
      <rPr>
        <b val="true"/>
        <sz val="10"/>
        <color rgb="FFFFFFFF"/>
        <rFont val="WenQuanYi Zen Hei"/>
        <family val="2"/>
      </rPr>
      <t xml:space="preserve">素材</t>
    </r>
    <r>
      <rPr>
        <b val="true"/>
        <sz val="10"/>
        <color rgb="FFFFFFFF"/>
        <rFont val="Arial"/>
        <family val="0"/>
        <charset val="1"/>
      </rPr>
      <t xml:space="preserve">ID</t>
    </r>
    <r>
      <rPr>
        <b val="true"/>
        <sz val="10"/>
        <color rgb="FFFFFFFF"/>
        <rFont val="WenQuanYi Zen Hei"/>
        <family val="2"/>
      </rPr>
      <t xml:space="preserve">（対談動画など）</t>
    </r>
  </si>
  <si>
    <t xml:space="preserve">掲載許可</t>
  </si>
  <si>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さん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</si>
  <si>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代・会社員</t>
    </r>
  </si>
  <si>
    <r>
      <rPr>
        <sz val="10"/>
        <rFont val="WenQuanYi Zen Hei"/>
        <family val="2"/>
      </rPr>
      <t xml:space="preserve">独学で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Overall 5.5</t>
    </r>
    <r>
      <rPr>
        <sz val="10"/>
        <rFont val="WenQuanYi Zen Hei"/>
        <family val="2"/>
      </rPr>
      <t xml:space="preserve">止まり。</t>
    </r>
    <r>
      <rPr>
        <sz val="10"/>
        <rFont val="Arial"/>
        <family val="0"/>
        <charset val="1"/>
      </rPr>
      <t xml:space="preserve">Writing</t>
    </r>
    <r>
      <rPr>
        <sz val="10"/>
        <rFont val="WenQuanYi Zen Hei"/>
        <family val="2"/>
      </rPr>
      <t xml:space="preserve">が</t>
    </r>
    <r>
      <rPr>
        <sz val="10"/>
        <rFont val="Arial"/>
        <family val="0"/>
        <charset val="1"/>
      </rPr>
      <t xml:space="preserve">5.0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</si>
  <si>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ヶ月で</t>
    </r>
    <r>
      <rPr>
        <sz val="10"/>
        <rFont val="Arial"/>
        <family val="0"/>
        <charset val="1"/>
      </rPr>
      <t xml:space="preserve">Overall 6.5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Writing 6.5</t>
    </r>
    <r>
      <rPr>
        <sz val="10"/>
        <rFont val="WenQuanYi Zen Hei"/>
        <family val="2"/>
      </rPr>
      <t xml:space="preserve">。イギリス大学院に合格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</si>
  <si>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ヶ月</t>
    </r>
  </si>
  <si>
    <t xml:space="preserve">毎週の添削で自分の癖が分かった</t>
  </si>
  <si>
    <t xml:space="preserve">もっと早く始めればよかった</t>
  </si>
  <si>
    <t xml:space="preserve">V01</t>
  </si>
  <si>
    <t xml:space="preserve">済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</si>
  <si>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</si>
  <si>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</si>
  <si>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</si>
  <si>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</si>
  <si>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</si>
  <si>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</si>
  <si>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</si>
  <si>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</si>
  <si>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r>
      <rPr>
        <b val="true"/>
        <sz val="10"/>
        <color rgb="FFFFFFFF"/>
        <rFont val="WenQuanYi Zen Hei"/>
        <family val="2"/>
      </rPr>
      <t xml:space="preserve">素材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</si>
  <si>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種類</t>
  </si>
  <si>
    <t xml:space="preserve">タイトル</t>
  </si>
  <si>
    <t xml:space="preserve">内容の要約（何を話しているか）</t>
  </si>
  <si>
    <t xml:space="preserve">長さ</t>
  </si>
  <si>
    <t xml:space="preserve">URL</t>
  </si>
  <si>
    <t xml:space="preserve">使う予定日</t>
  </si>
  <si>
    <t xml:space="preserve">動画</t>
  </si>
  <si>
    <r>
      <rPr>
        <sz val="10"/>
        <rFont val="Arial"/>
        <family val="0"/>
        <charset val="1"/>
      </rPr>
      <t xml:space="preserve">IELTS 0→6.5 </t>
    </r>
    <r>
      <rPr>
        <sz val="10"/>
        <rFont val="WenQuanYi Zen Hei"/>
        <family val="2"/>
      </rPr>
      <t xml:space="preserve">ロードマップ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</si>
  <si>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ヶ月目は単語と文法、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ヶ月目に…。教材は○○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</si>
  <si>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分</t>
    </r>
  </si>
  <si>
    <t xml:space="preserve">12/6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</si>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</sst>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808080"/>
      </font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7" t="s">
        <v>12</v>
      </c>
    </row>
    <row r="17" customFormat="false" ht="15" hidden="false" customHeight="false" outlineLevel="0" collapsed="false">
      <c r="B17" s="7" t="s">
        <v>13</v>
      </c>
    </row>
    <row r="18" customFormat="false" ht="15" hidden="false" customHeight="false" outlineLevel="0" collapsed="false">
      <c r="B18" s="7" t="s">
        <v>14</v>
      </c>
    </row>
    <row r="19" customFormat="false" ht="15" hidden="false" customHeight="false" outlineLevel="0" collapsed="false">
      <c r="B19" s="7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2" t="str">
        <f aca="false">"未記入："&amp;COUNTIF(配信スケジュール!$P$3:$P$59,"未記入")&amp;" 通"</f>
        <v>未記入：47 通</v>
      </c>
    </row>
    <row r="23" customFormat="false" ht="15" hidden="false" customHeight="false" outlineLevel="0" collapsed="false">
      <c r="B23" s="2" t="str">
        <f aca="false">"記入済："&amp;COUNTIF(配信スケジュール!$P$3:$P$59,"記入済")&amp;" 通"</f>
        <v>記入済：0 通</v>
      </c>
    </row>
    <row r="24" customFormat="false" ht="15" hidden="false" customHeight="false" outlineLevel="0" collapsed="false">
      <c r="B24" s="2" t="str">
        <f aca="false">"作成済："&amp;COUNTIF(配信スケジュール!$P$3:$P$59,"作成済")&amp;" 通"</f>
        <v>作成済：0 通</v>
      </c>
    </row>
    <row r="25" customFormat="false" ht="15" hidden="false" customHeight="false" outlineLevel="0" collapsed="false">
      <c r="B25" s="2" t="str">
        <f aca="false">"配信済："&amp;COUNTIF(配信スケジュール!$P$3:$P$59,"配信済")&amp;" 通"</f>
        <v>配信済：0 通</v>
      </c>
    </row>
    <row r="26" customFormat="false" ht="15" hidden="false" customHeight="false" outlineLevel="0" collapsed="false">
      <c r="B26" s="2" t="str">
        <f aca="false">"準備Todo 完了："&amp;COUNTIF(準備Todo!$J$2:$J$38,"完了")&amp;" / "&amp;COUNTA(準備Todo!$D$2:$D$38)&amp;" 件"</f>
        <v>準備Todo 完了：0 / 37 件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5"/>
    <col collapsed="false" customWidth="true" hidden="false" outlineLevel="0" max="5" min="5" style="0" width="7"/>
    <col collapsed="false" customWidth="true" hidden="false" outlineLevel="0" max="7" min="6" style="0" width="14"/>
    <col collapsed="false" customWidth="true" hidden="false" outlineLevel="0" max="8" min="8" style="0" width="34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22"/>
    <col collapsed="false" customWidth="true" hidden="false" outlineLevel="0" max="14" min="14" style="0" width="7"/>
    <col collapsed="false" customWidth="true" hidden="false" outlineLevel="0" max="15" min="15" style="0" width="22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8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8" t="s">
        <v>29</v>
      </c>
      <c r="N1" s="9" t="s">
        <v>30</v>
      </c>
      <c r="O1" s="9" t="s">
        <v>31</v>
      </c>
      <c r="P1" s="9" t="s">
        <v>32</v>
      </c>
    </row>
    <row r="2" customFormat="false" ht="75" hidden="false" customHeight="true" outlineLevel="0" collapsed="false">
      <c r="A2" s="10" t="s">
        <v>33</v>
      </c>
      <c r="B2" s="10" t="s">
        <v>34</v>
      </c>
      <c r="C2" s="11" t="n">
        <v>46356</v>
      </c>
      <c r="D2" s="10" t="str">
        <f aca="false">CHOOSE(WEEKDAY(C2),"日","月","火","水","木","金","土")</f>
        <v>月</v>
      </c>
      <c r="E2" s="12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2"/>
      <c r="L2" s="12"/>
      <c r="M2" s="10" t="s">
        <v>41</v>
      </c>
      <c r="N2" s="10" t="s">
        <v>42</v>
      </c>
      <c r="O2" s="10" t="s">
        <v>43</v>
      </c>
      <c r="P2" s="10" t="s">
        <v>44</v>
      </c>
    </row>
    <row r="3" customFormat="false" ht="45" hidden="false" customHeight="true" outlineLevel="0" collapsed="false">
      <c r="A3" s="13" t="n">
        <v>1</v>
      </c>
      <c r="B3" s="14" t="s">
        <v>34</v>
      </c>
      <c r="C3" s="15" t="n">
        <v>46356</v>
      </c>
      <c r="D3" s="13" t="str">
        <f aca="false">CHOOSE(WEEKDAY(C3),"日","月","火","水","木","金","土")</f>
        <v>月</v>
      </c>
      <c r="E3" s="16" t="s">
        <v>35</v>
      </c>
      <c r="F3" s="14" t="s">
        <v>36</v>
      </c>
      <c r="G3" s="14" t="s">
        <v>37</v>
      </c>
      <c r="H3" s="14" t="s">
        <v>38</v>
      </c>
      <c r="I3" s="17"/>
      <c r="J3" s="17"/>
      <c r="K3" s="17"/>
      <c r="L3" s="17"/>
      <c r="M3" s="17"/>
      <c r="N3" s="17"/>
      <c r="O3" s="17"/>
      <c r="P3" s="18" t="s">
        <v>45</v>
      </c>
    </row>
    <row r="4" customFormat="false" ht="45" hidden="false" customHeight="true" outlineLevel="0" collapsed="false">
      <c r="A4" s="13" t="n">
        <v>2</v>
      </c>
      <c r="B4" s="14" t="s">
        <v>34</v>
      </c>
      <c r="C4" s="15" t="n">
        <v>46357</v>
      </c>
      <c r="D4" s="13" t="str">
        <f aca="false">CHOOSE(WEEKDAY(C4),"日","月","火","水","木","金","土")</f>
        <v>火</v>
      </c>
      <c r="E4" s="16" t="s">
        <v>35</v>
      </c>
      <c r="F4" s="14" t="s">
        <v>36</v>
      </c>
      <c r="G4" s="14" t="s">
        <v>46</v>
      </c>
      <c r="H4" s="14" t="s">
        <v>47</v>
      </c>
      <c r="I4" s="17"/>
      <c r="J4" s="17"/>
      <c r="K4" s="17"/>
      <c r="L4" s="17"/>
      <c r="M4" s="17"/>
      <c r="N4" s="17"/>
      <c r="O4" s="17"/>
      <c r="P4" s="18" t="s">
        <v>45</v>
      </c>
    </row>
    <row r="5" customFormat="false" ht="45" hidden="false" customHeight="true" outlineLevel="0" collapsed="false">
      <c r="A5" s="13" t="n">
        <v>3</v>
      </c>
      <c r="B5" s="14" t="s">
        <v>34</v>
      </c>
      <c r="C5" s="15" t="n">
        <v>46358</v>
      </c>
      <c r="D5" s="13" t="str">
        <f aca="false">CHOOSE(WEEKDAY(C5),"日","月","火","水","木","金","土")</f>
        <v>水</v>
      </c>
      <c r="E5" s="16" t="s">
        <v>48</v>
      </c>
      <c r="F5" s="14" t="s">
        <v>36</v>
      </c>
      <c r="G5" s="14" t="s">
        <v>49</v>
      </c>
      <c r="H5" s="14" t="s">
        <v>50</v>
      </c>
      <c r="I5" s="17"/>
      <c r="J5" s="17"/>
      <c r="K5" s="17"/>
      <c r="L5" s="17"/>
      <c r="M5" s="17"/>
      <c r="N5" s="17"/>
      <c r="O5" s="17"/>
      <c r="P5" s="18" t="s">
        <v>45</v>
      </c>
    </row>
    <row r="6" customFormat="false" ht="45" hidden="false" customHeight="true" outlineLevel="0" collapsed="false">
      <c r="A6" s="13" t="n">
        <v>4</v>
      </c>
      <c r="B6" s="14" t="s">
        <v>34</v>
      </c>
      <c r="C6" s="15" t="n">
        <v>46358</v>
      </c>
      <c r="D6" s="13" t="str">
        <f aca="false">CHOOSE(WEEKDAY(C6),"日","月","火","水","木","金","土")</f>
        <v>水</v>
      </c>
      <c r="E6" s="16" t="s">
        <v>35</v>
      </c>
      <c r="F6" s="14" t="s">
        <v>36</v>
      </c>
      <c r="G6" s="14" t="s">
        <v>51</v>
      </c>
      <c r="H6" s="14" t="s">
        <v>52</v>
      </c>
      <c r="I6" s="17"/>
      <c r="J6" s="17"/>
      <c r="K6" s="17"/>
      <c r="L6" s="17"/>
      <c r="M6" s="17"/>
      <c r="N6" s="17"/>
      <c r="O6" s="17"/>
      <c r="P6" s="18" t="s">
        <v>45</v>
      </c>
    </row>
    <row r="7" customFormat="false" ht="45" hidden="false" customHeight="true" outlineLevel="0" collapsed="false">
      <c r="A7" s="13" t="n">
        <v>5</v>
      </c>
      <c r="B7" s="14" t="s">
        <v>34</v>
      </c>
      <c r="C7" s="15" t="n">
        <v>46359</v>
      </c>
      <c r="D7" s="13" t="str">
        <f aca="false">CHOOSE(WEEKDAY(C7),"日","月","火","水","木","金","土")</f>
        <v>木</v>
      </c>
      <c r="E7" s="16" t="s">
        <v>35</v>
      </c>
      <c r="F7" s="14" t="s">
        <v>36</v>
      </c>
      <c r="G7" s="14" t="s">
        <v>53</v>
      </c>
      <c r="H7" s="14" t="s">
        <v>54</v>
      </c>
      <c r="I7" s="17"/>
      <c r="J7" s="17"/>
      <c r="K7" s="17"/>
      <c r="L7" s="17"/>
      <c r="M7" s="17"/>
      <c r="N7" s="17"/>
      <c r="O7" s="17"/>
      <c r="P7" s="18" t="s">
        <v>45</v>
      </c>
    </row>
    <row r="8" customFormat="false" ht="45" hidden="false" customHeight="true" outlineLevel="0" collapsed="false">
      <c r="A8" s="13" t="n">
        <v>6</v>
      </c>
      <c r="B8" s="14" t="s">
        <v>34</v>
      </c>
      <c r="C8" s="15" t="n">
        <v>46360</v>
      </c>
      <c r="D8" s="13" t="str">
        <f aca="false">CHOOSE(WEEKDAY(C8),"日","月","火","水","木","金","土")</f>
        <v>金</v>
      </c>
      <c r="E8" s="16" t="s">
        <v>35</v>
      </c>
      <c r="F8" s="14" t="s">
        <v>36</v>
      </c>
      <c r="G8" s="14" t="s">
        <v>55</v>
      </c>
      <c r="H8" s="14" t="s">
        <v>56</v>
      </c>
      <c r="I8" s="17"/>
      <c r="J8" s="17"/>
      <c r="K8" s="17"/>
      <c r="L8" s="17"/>
      <c r="M8" s="17"/>
      <c r="N8" s="17"/>
      <c r="O8" s="17"/>
      <c r="P8" s="18" t="s">
        <v>45</v>
      </c>
    </row>
    <row r="9" customFormat="false" ht="45" hidden="false" customHeight="true" outlineLevel="0" collapsed="false">
      <c r="A9" s="13" t="n">
        <v>7</v>
      </c>
      <c r="B9" s="14" t="s">
        <v>34</v>
      </c>
      <c r="C9" s="15" t="n">
        <v>46361</v>
      </c>
      <c r="D9" s="13" t="str">
        <f aca="false">CHOOSE(WEEKDAY(C9),"日","月","火","水","木","金","土")</f>
        <v>土</v>
      </c>
      <c r="E9" s="16" t="s">
        <v>35</v>
      </c>
      <c r="F9" s="14" t="s">
        <v>36</v>
      </c>
      <c r="G9" s="14" t="s">
        <v>55</v>
      </c>
      <c r="H9" s="14" t="s">
        <v>57</v>
      </c>
      <c r="I9" s="17"/>
      <c r="J9" s="17"/>
      <c r="K9" s="17"/>
      <c r="L9" s="17"/>
      <c r="M9" s="17"/>
      <c r="N9" s="17"/>
      <c r="O9" s="17"/>
      <c r="P9" s="18" t="s">
        <v>45</v>
      </c>
    </row>
    <row r="10" customFormat="false" ht="45" hidden="false" customHeight="true" outlineLevel="0" collapsed="false">
      <c r="A10" s="13" t="n">
        <v>8</v>
      </c>
      <c r="B10" s="14" t="s">
        <v>34</v>
      </c>
      <c r="C10" s="15" t="n">
        <v>46362</v>
      </c>
      <c r="D10" s="13" t="str">
        <f aca="false">CHOOSE(WEEKDAY(C10),"日","月","火","水","木","金","土")</f>
        <v>日</v>
      </c>
      <c r="E10" s="16" t="s">
        <v>35</v>
      </c>
      <c r="F10" s="14" t="s">
        <v>36</v>
      </c>
      <c r="G10" s="14" t="s">
        <v>58</v>
      </c>
      <c r="H10" s="14" t="s">
        <v>59</v>
      </c>
      <c r="I10" s="17"/>
      <c r="J10" s="17"/>
      <c r="K10" s="17"/>
      <c r="L10" s="17"/>
      <c r="M10" s="17"/>
      <c r="N10" s="17"/>
      <c r="O10" s="17"/>
      <c r="P10" s="18" t="s">
        <v>45</v>
      </c>
    </row>
    <row r="11" customFormat="false" ht="45" hidden="false" customHeight="true" outlineLevel="0" collapsed="false">
      <c r="A11" s="13" t="n">
        <v>9</v>
      </c>
      <c r="B11" s="14" t="s">
        <v>34</v>
      </c>
      <c r="C11" s="15" t="n">
        <v>46363</v>
      </c>
      <c r="D11" s="13" t="str">
        <f aca="false">CHOOSE(WEEKDAY(C11),"日","月","火","水","木","金","土")</f>
        <v>月</v>
      </c>
      <c r="E11" s="16" t="s">
        <v>35</v>
      </c>
      <c r="F11" s="14" t="s">
        <v>36</v>
      </c>
      <c r="G11" s="14" t="s">
        <v>58</v>
      </c>
      <c r="H11" s="14" t="s">
        <v>60</v>
      </c>
      <c r="I11" s="17"/>
      <c r="J11" s="17"/>
      <c r="K11" s="17"/>
      <c r="L11" s="17"/>
      <c r="M11" s="17"/>
      <c r="N11" s="17"/>
      <c r="O11" s="17"/>
      <c r="P11" s="18" t="s">
        <v>45</v>
      </c>
    </row>
    <row r="12" customFormat="false" ht="45" hidden="false" customHeight="true" outlineLevel="0" collapsed="false">
      <c r="A12" s="13" t="n">
        <v>10</v>
      </c>
      <c r="B12" s="14" t="s">
        <v>34</v>
      </c>
      <c r="C12" s="15" t="n">
        <v>46364</v>
      </c>
      <c r="D12" s="13" t="str">
        <f aca="false">CHOOSE(WEEKDAY(C12),"日","月","火","水","木","金","土")</f>
        <v>火</v>
      </c>
      <c r="E12" s="16" t="s">
        <v>35</v>
      </c>
      <c r="F12" s="14" t="s">
        <v>36</v>
      </c>
      <c r="G12" s="14" t="s">
        <v>61</v>
      </c>
      <c r="H12" s="14" t="s">
        <v>62</v>
      </c>
      <c r="I12" s="17"/>
      <c r="J12" s="17"/>
      <c r="K12" s="17"/>
      <c r="L12" s="17"/>
      <c r="M12" s="17"/>
      <c r="N12" s="17"/>
      <c r="O12" s="17"/>
      <c r="P12" s="18" t="s">
        <v>45</v>
      </c>
    </row>
    <row r="13" customFormat="false" ht="45" hidden="false" customHeight="true" outlineLevel="0" collapsed="false">
      <c r="A13" s="13" t="n">
        <v>11</v>
      </c>
      <c r="B13" s="14" t="s">
        <v>63</v>
      </c>
      <c r="C13" s="15" t="n">
        <v>46365</v>
      </c>
      <c r="D13" s="13" t="str">
        <f aca="false">CHOOSE(WEEKDAY(C13),"日","月","火","水","木","金","土")</f>
        <v>水</v>
      </c>
      <c r="E13" s="16" t="s">
        <v>48</v>
      </c>
      <c r="F13" s="14" t="s">
        <v>36</v>
      </c>
      <c r="G13" s="14" t="s">
        <v>49</v>
      </c>
      <c r="H13" s="14" t="s">
        <v>64</v>
      </c>
      <c r="I13" s="17"/>
      <c r="J13" s="17"/>
      <c r="K13" s="17"/>
      <c r="L13" s="17"/>
      <c r="M13" s="17"/>
      <c r="N13" s="17"/>
      <c r="O13" s="17"/>
      <c r="P13" s="18" t="s">
        <v>45</v>
      </c>
    </row>
    <row r="14" customFormat="false" ht="45" hidden="false" customHeight="true" outlineLevel="0" collapsed="false">
      <c r="A14" s="13" t="n">
        <v>12</v>
      </c>
      <c r="B14" s="14" t="s">
        <v>63</v>
      </c>
      <c r="C14" s="15" t="n">
        <v>46365</v>
      </c>
      <c r="D14" s="13" t="str">
        <f aca="false">CHOOSE(WEEKDAY(C14),"日","月","火","水","木","金","土")</f>
        <v>水</v>
      </c>
      <c r="E14" s="16" t="s">
        <v>65</v>
      </c>
      <c r="F14" s="14" t="s">
        <v>36</v>
      </c>
      <c r="G14" s="14" t="s">
        <v>49</v>
      </c>
      <c r="H14" s="14" t="s">
        <v>66</v>
      </c>
      <c r="I14" s="17"/>
      <c r="J14" s="17"/>
      <c r="K14" s="17"/>
      <c r="L14" s="17"/>
      <c r="M14" s="17"/>
      <c r="N14" s="17"/>
      <c r="O14" s="17"/>
      <c r="P14" s="18" t="s">
        <v>45</v>
      </c>
    </row>
    <row r="15" customFormat="false" ht="45" hidden="false" customHeight="true" outlineLevel="0" collapsed="false">
      <c r="A15" s="13" t="n">
        <v>13</v>
      </c>
      <c r="B15" s="14" t="s">
        <v>63</v>
      </c>
      <c r="C15" s="15" t="n">
        <v>46365</v>
      </c>
      <c r="D15" s="13" t="str">
        <f aca="false">CHOOSE(WEEKDAY(C15),"日","月","火","水","木","金","土")</f>
        <v>水</v>
      </c>
      <c r="E15" s="16" t="s">
        <v>35</v>
      </c>
      <c r="F15" s="14" t="s">
        <v>36</v>
      </c>
      <c r="G15" s="14" t="s">
        <v>67</v>
      </c>
      <c r="H15" s="14" t="s">
        <v>68</v>
      </c>
      <c r="I15" s="17"/>
      <c r="J15" s="17"/>
      <c r="K15" s="17"/>
      <c r="L15" s="17"/>
      <c r="M15" s="17"/>
      <c r="N15" s="17"/>
      <c r="O15" s="17"/>
      <c r="P15" s="18" t="s">
        <v>45</v>
      </c>
    </row>
    <row r="16" customFormat="false" ht="45" hidden="false" customHeight="true" outlineLevel="0" collapsed="false">
      <c r="A16" s="13" t="n">
        <v>14</v>
      </c>
      <c r="B16" s="14" t="s">
        <v>63</v>
      </c>
      <c r="C16" s="15" t="n">
        <v>46365</v>
      </c>
      <c r="D16" s="13" t="str">
        <f aca="false">CHOOSE(WEEKDAY(C16),"日","月","火","水","木","金","土")</f>
        <v>水</v>
      </c>
      <c r="E16" s="16" t="s">
        <v>69</v>
      </c>
      <c r="F16" s="14" t="s">
        <v>70</v>
      </c>
      <c r="G16" s="14" t="s">
        <v>46</v>
      </c>
      <c r="H16" s="14" t="s">
        <v>71</v>
      </c>
      <c r="I16" s="17"/>
      <c r="J16" s="17"/>
      <c r="K16" s="17"/>
      <c r="L16" s="17"/>
      <c r="M16" s="17"/>
      <c r="N16" s="17"/>
      <c r="O16" s="17"/>
      <c r="P16" s="18" t="s">
        <v>45</v>
      </c>
    </row>
    <row r="17" customFormat="false" ht="45" hidden="false" customHeight="true" outlineLevel="0" collapsed="false">
      <c r="A17" s="13" t="n">
        <v>15</v>
      </c>
      <c r="B17" s="14" t="s">
        <v>63</v>
      </c>
      <c r="C17" s="15" t="n">
        <v>46366</v>
      </c>
      <c r="D17" s="13" t="str">
        <f aca="false">CHOOSE(WEEKDAY(C17),"日","月","火","水","木","金","土")</f>
        <v>木</v>
      </c>
      <c r="E17" s="16" t="s">
        <v>35</v>
      </c>
      <c r="F17" s="14" t="s">
        <v>36</v>
      </c>
      <c r="G17" s="14" t="s">
        <v>46</v>
      </c>
      <c r="H17" s="14" t="s">
        <v>72</v>
      </c>
      <c r="I17" s="17"/>
      <c r="J17" s="17"/>
      <c r="K17" s="17"/>
      <c r="L17" s="17"/>
      <c r="M17" s="17"/>
      <c r="N17" s="17"/>
      <c r="O17" s="17"/>
      <c r="P17" s="18" t="s">
        <v>45</v>
      </c>
    </row>
    <row r="18" customFormat="false" ht="45" hidden="false" customHeight="true" outlineLevel="0" collapsed="false">
      <c r="A18" s="13" t="n">
        <v>16</v>
      </c>
      <c r="B18" s="14" t="s">
        <v>63</v>
      </c>
      <c r="C18" s="15" t="n">
        <v>46367</v>
      </c>
      <c r="D18" s="13" t="str">
        <f aca="false">CHOOSE(WEEKDAY(C18),"日","月","火","水","木","金","土")</f>
        <v>金</v>
      </c>
      <c r="E18" s="16" t="s">
        <v>48</v>
      </c>
      <c r="F18" s="14" t="s">
        <v>73</v>
      </c>
      <c r="G18" s="14" t="s">
        <v>55</v>
      </c>
      <c r="H18" s="14" t="s">
        <v>74</v>
      </c>
      <c r="I18" s="17"/>
      <c r="J18" s="17"/>
      <c r="K18" s="17"/>
      <c r="L18" s="17"/>
      <c r="M18" s="17"/>
      <c r="N18" s="17"/>
      <c r="O18" s="17"/>
      <c r="P18" s="18" t="s">
        <v>45</v>
      </c>
    </row>
    <row r="19" customFormat="false" ht="45" hidden="false" customHeight="true" outlineLevel="0" collapsed="false">
      <c r="A19" s="13" t="n">
        <v>17</v>
      </c>
      <c r="B19" s="14" t="s">
        <v>63</v>
      </c>
      <c r="C19" s="15" t="n">
        <v>46367</v>
      </c>
      <c r="D19" s="13" t="str">
        <f aca="false">CHOOSE(WEEKDAY(C19),"日","月","火","水","木","金","土")</f>
        <v>金</v>
      </c>
      <c r="E19" s="16" t="s">
        <v>35</v>
      </c>
      <c r="F19" s="14" t="s">
        <v>36</v>
      </c>
      <c r="G19" s="14" t="s">
        <v>61</v>
      </c>
      <c r="H19" s="14" t="s">
        <v>75</v>
      </c>
      <c r="I19" s="17"/>
      <c r="J19" s="17"/>
      <c r="K19" s="17"/>
      <c r="L19" s="17"/>
      <c r="M19" s="17"/>
      <c r="N19" s="17"/>
      <c r="O19" s="17"/>
      <c r="P19" s="18" t="s">
        <v>45</v>
      </c>
    </row>
    <row r="20" customFormat="false" ht="45" hidden="false" customHeight="true" outlineLevel="0" collapsed="false">
      <c r="A20" s="13" t="n">
        <v>18</v>
      </c>
      <c r="B20" s="14" t="s">
        <v>63</v>
      </c>
      <c r="C20" s="15" t="n">
        <v>46368</v>
      </c>
      <c r="D20" s="13" t="str">
        <f aca="false">CHOOSE(WEEKDAY(C20),"日","月","火","水","木","金","土")</f>
        <v>土</v>
      </c>
      <c r="E20" s="16" t="s">
        <v>48</v>
      </c>
      <c r="F20" s="14" t="s">
        <v>36</v>
      </c>
      <c r="G20" s="14" t="s">
        <v>55</v>
      </c>
      <c r="H20" s="14" t="s">
        <v>76</v>
      </c>
      <c r="I20" s="17"/>
      <c r="J20" s="17"/>
      <c r="K20" s="17"/>
      <c r="L20" s="17"/>
      <c r="M20" s="17"/>
      <c r="N20" s="17"/>
      <c r="O20" s="17"/>
      <c r="P20" s="18" t="s">
        <v>45</v>
      </c>
    </row>
    <row r="21" customFormat="false" ht="45" hidden="false" customHeight="true" outlineLevel="0" collapsed="false">
      <c r="A21" s="13" t="n">
        <v>19</v>
      </c>
      <c r="B21" s="14" t="s">
        <v>63</v>
      </c>
      <c r="C21" s="15" t="n">
        <v>46368</v>
      </c>
      <c r="D21" s="13" t="str">
        <f aca="false">CHOOSE(WEEKDAY(C21),"日","月","火","水","木","金","土")</f>
        <v>土</v>
      </c>
      <c r="E21" s="16" t="s">
        <v>35</v>
      </c>
      <c r="F21" s="14" t="s">
        <v>36</v>
      </c>
      <c r="G21" s="14" t="s">
        <v>61</v>
      </c>
      <c r="H21" s="14" t="s">
        <v>77</v>
      </c>
      <c r="I21" s="17"/>
      <c r="J21" s="17"/>
      <c r="K21" s="17"/>
      <c r="L21" s="17"/>
      <c r="M21" s="17"/>
      <c r="N21" s="17"/>
      <c r="O21" s="17"/>
      <c r="P21" s="18" t="s">
        <v>45</v>
      </c>
    </row>
    <row r="22" customFormat="false" ht="45" hidden="false" customHeight="true" outlineLevel="0" collapsed="false">
      <c r="A22" s="13" t="n">
        <v>20</v>
      </c>
      <c r="B22" s="14" t="s">
        <v>63</v>
      </c>
      <c r="C22" s="15" t="n">
        <v>46369</v>
      </c>
      <c r="D22" s="13" t="str">
        <f aca="false">CHOOSE(WEEKDAY(C22),"日","月","火","水","木","金","土")</f>
        <v>日</v>
      </c>
      <c r="E22" s="16" t="s">
        <v>78</v>
      </c>
      <c r="F22" s="14" t="s">
        <v>36</v>
      </c>
      <c r="G22" s="14" t="s">
        <v>79</v>
      </c>
      <c r="H22" s="14" t="s">
        <v>80</v>
      </c>
      <c r="I22" s="17"/>
      <c r="J22" s="17"/>
      <c r="K22" s="17"/>
      <c r="L22" s="17"/>
      <c r="M22" s="17"/>
      <c r="N22" s="17"/>
      <c r="O22" s="17"/>
      <c r="P22" s="18" t="s">
        <v>45</v>
      </c>
    </row>
    <row r="23" customFormat="false" ht="45" hidden="false" customHeight="true" outlineLevel="0" collapsed="false">
      <c r="A23" s="13" t="n">
        <v>21</v>
      </c>
      <c r="B23" s="14" t="s">
        <v>63</v>
      </c>
      <c r="C23" s="15" t="n">
        <v>46369</v>
      </c>
      <c r="D23" s="13" t="str">
        <f aca="false">CHOOSE(WEEKDAY(C23),"日","月","火","水","木","金","土")</f>
        <v>日</v>
      </c>
      <c r="E23" s="16" t="s">
        <v>81</v>
      </c>
      <c r="F23" s="14" t="s">
        <v>36</v>
      </c>
      <c r="G23" s="14" t="s">
        <v>79</v>
      </c>
      <c r="H23" s="14" t="s">
        <v>82</v>
      </c>
      <c r="I23" s="17"/>
      <c r="J23" s="17"/>
      <c r="K23" s="17"/>
      <c r="L23" s="17"/>
      <c r="M23" s="17"/>
      <c r="N23" s="17"/>
      <c r="O23" s="17"/>
      <c r="P23" s="18" t="s">
        <v>45</v>
      </c>
    </row>
    <row r="24" customFormat="false" ht="45" hidden="false" customHeight="true" outlineLevel="0" collapsed="false">
      <c r="A24" s="13" t="n">
        <v>22</v>
      </c>
      <c r="B24" s="14" t="s">
        <v>63</v>
      </c>
      <c r="C24" s="15" t="n">
        <v>46370</v>
      </c>
      <c r="D24" s="13" t="str">
        <f aca="false">CHOOSE(WEEKDAY(C24),"日","月","火","水","木","金","土")</f>
        <v>月</v>
      </c>
      <c r="E24" s="16" t="s">
        <v>48</v>
      </c>
      <c r="F24" s="14" t="s">
        <v>36</v>
      </c>
      <c r="G24" s="14" t="s">
        <v>46</v>
      </c>
      <c r="H24" s="14" t="s">
        <v>83</v>
      </c>
      <c r="I24" s="17"/>
      <c r="J24" s="17"/>
      <c r="K24" s="17"/>
      <c r="L24" s="17"/>
      <c r="M24" s="17"/>
      <c r="N24" s="17"/>
      <c r="O24" s="17"/>
      <c r="P24" s="18" t="s">
        <v>45</v>
      </c>
    </row>
    <row r="25" customFormat="false" ht="45" hidden="false" customHeight="true" outlineLevel="0" collapsed="false">
      <c r="A25" s="13" t="n">
        <v>23</v>
      </c>
      <c r="B25" s="14" t="s">
        <v>63</v>
      </c>
      <c r="C25" s="15" t="n">
        <v>46371</v>
      </c>
      <c r="D25" s="13" t="str">
        <f aca="false">CHOOSE(WEEKDAY(C25),"日","月","火","水","木","金","土")</f>
        <v>火</v>
      </c>
      <c r="E25" s="16" t="s">
        <v>48</v>
      </c>
      <c r="F25" s="14" t="s">
        <v>36</v>
      </c>
      <c r="G25" s="14" t="s">
        <v>84</v>
      </c>
      <c r="H25" s="14" t="s">
        <v>85</v>
      </c>
      <c r="I25" s="17"/>
      <c r="J25" s="17"/>
      <c r="K25" s="17"/>
      <c r="L25" s="17"/>
      <c r="M25" s="17"/>
      <c r="N25" s="17"/>
      <c r="O25" s="17"/>
      <c r="P25" s="18" t="s">
        <v>45</v>
      </c>
    </row>
    <row r="26" customFormat="false" ht="45" hidden="false" customHeight="true" outlineLevel="0" collapsed="false">
      <c r="A26" s="13" t="n">
        <v>24</v>
      </c>
      <c r="B26" s="14" t="s">
        <v>63</v>
      </c>
      <c r="C26" s="15" t="n">
        <v>46371</v>
      </c>
      <c r="D26" s="13" t="str">
        <f aca="false">CHOOSE(WEEKDAY(C26),"日","月","火","水","木","金","土")</f>
        <v>火</v>
      </c>
      <c r="E26" s="16" t="s">
        <v>86</v>
      </c>
      <c r="F26" s="14" t="s">
        <v>36</v>
      </c>
      <c r="G26" s="14" t="s">
        <v>55</v>
      </c>
      <c r="H26" s="14" t="s">
        <v>87</v>
      </c>
      <c r="I26" s="17"/>
      <c r="J26" s="17"/>
      <c r="K26" s="17"/>
      <c r="L26" s="17"/>
      <c r="M26" s="17"/>
      <c r="N26" s="17"/>
      <c r="O26" s="17"/>
      <c r="P26" s="18" t="s">
        <v>45</v>
      </c>
    </row>
    <row r="27" customFormat="false" ht="45" hidden="false" customHeight="true" outlineLevel="0" collapsed="false">
      <c r="A27" s="13" t="n">
        <v>25</v>
      </c>
      <c r="B27" s="14" t="s">
        <v>63</v>
      </c>
      <c r="C27" s="15" t="n">
        <v>46371</v>
      </c>
      <c r="D27" s="13" t="str">
        <f aca="false">CHOOSE(WEEKDAY(C27),"日","月","火","水","木","金","土")</f>
        <v>火</v>
      </c>
      <c r="E27" s="16" t="s">
        <v>81</v>
      </c>
      <c r="F27" s="14" t="s">
        <v>70</v>
      </c>
      <c r="G27" s="14" t="s">
        <v>84</v>
      </c>
      <c r="H27" s="14" t="s">
        <v>88</v>
      </c>
      <c r="I27" s="17"/>
      <c r="J27" s="17"/>
      <c r="K27" s="17"/>
      <c r="L27" s="17"/>
      <c r="M27" s="17"/>
      <c r="N27" s="17"/>
      <c r="O27" s="17"/>
      <c r="P27" s="18" t="s">
        <v>45</v>
      </c>
    </row>
    <row r="28" customFormat="false" ht="45" hidden="false" customHeight="true" outlineLevel="0" collapsed="false">
      <c r="A28" s="13" t="n">
        <v>26</v>
      </c>
      <c r="B28" s="14" t="s">
        <v>89</v>
      </c>
      <c r="C28" s="15" t="n">
        <v>46372</v>
      </c>
      <c r="D28" s="13" t="str">
        <f aca="false">CHOOSE(WEEKDAY(C28),"日","月","火","水","木","金","土")</f>
        <v>水</v>
      </c>
      <c r="E28" s="16" t="s">
        <v>86</v>
      </c>
      <c r="F28" s="14" t="s">
        <v>70</v>
      </c>
      <c r="G28" s="14" t="s">
        <v>90</v>
      </c>
      <c r="H28" s="14" t="s">
        <v>91</v>
      </c>
      <c r="I28" s="17"/>
      <c r="J28" s="17"/>
      <c r="K28" s="17"/>
      <c r="L28" s="17"/>
      <c r="M28" s="17"/>
      <c r="N28" s="17"/>
      <c r="O28" s="17"/>
      <c r="P28" s="18" t="s">
        <v>45</v>
      </c>
    </row>
    <row r="29" customFormat="false" ht="45" hidden="false" customHeight="true" outlineLevel="0" collapsed="false">
      <c r="A29" s="13" t="n">
        <v>27</v>
      </c>
      <c r="B29" s="14" t="s">
        <v>89</v>
      </c>
      <c r="C29" s="15" t="n">
        <v>46372</v>
      </c>
      <c r="D29" s="13" t="str">
        <f aca="false">CHOOSE(WEEKDAY(C29),"日","月","火","水","木","金","土")</f>
        <v>水</v>
      </c>
      <c r="E29" s="16" t="s">
        <v>35</v>
      </c>
      <c r="F29" s="14" t="s">
        <v>36</v>
      </c>
      <c r="G29" s="14" t="s">
        <v>58</v>
      </c>
      <c r="H29" s="14" t="s">
        <v>92</v>
      </c>
      <c r="I29" s="17"/>
      <c r="J29" s="17"/>
      <c r="K29" s="17"/>
      <c r="L29" s="17"/>
      <c r="M29" s="17"/>
      <c r="N29" s="17"/>
      <c r="O29" s="17"/>
      <c r="P29" s="18" t="s">
        <v>45</v>
      </c>
    </row>
    <row r="30" customFormat="false" ht="45" hidden="false" customHeight="true" outlineLevel="0" collapsed="false">
      <c r="A30" s="13" t="n">
        <v>28</v>
      </c>
      <c r="B30" s="14" t="s">
        <v>89</v>
      </c>
      <c r="C30" s="15" t="n">
        <v>46373</v>
      </c>
      <c r="D30" s="13" t="str">
        <f aca="false">CHOOSE(WEEKDAY(C30),"日","月","火","水","木","金","土")</f>
        <v>木</v>
      </c>
      <c r="E30" s="16" t="s">
        <v>35</v>
      </c>
      <c r="F30" s="14" t="s">
        <v>36</v>
      </c>
      <c r="G30" s="14" t="s">
        <v>61</v>
      </c>
      <c r="H30" s="14" t="s">
        <v>93</v>
      </c>
      <c r="I30" s="17"/>
      <c r="J30" s="17"/>
      <c r="K30" s="17"/>
      <c r="L30" s="17"/>
      <c r="M30" s="17"/>
      <c r="N30" s="17"/>
      <c r="O30" s="17"/>
      <c r="P30" s="18" t="s">
        <v>45</v>
      </c>
    </row>
    <row r="31" customFormat="false" ht="45" hidden="false" customHeight="true" outlineLevel="0" collapsed="false">
      <c r="A31" s="13" t="n">
        <v>29</v>
      </c>
      <c r="B31" s="14" t="s">
        <v>89</v>
      </c>
      <c r="C31" s="15" t="n">
        <v>46374</v>
      </c>
      <c r="D31" s="13" t="str">
        <f aca="false">CHOOSE(WEEKDAY(C31),"日","月","火","水","木","金","土")</f>
        <v>金</v>
      </c>
      <c r="E31" s="16" t="s">
        <v>48</v>
      </c>
      <c r="F31" s="14" t="s">
        <v>36</v>
      </c>
      <c r="G31" s="14" t="s">
        <v>84</v>
      </c>
      <c r="H31" s="14" t="s">
        <v>94</v>
      </c>
      <c r="I31" s="17"/>
      <c r="J31" s="17"/>
      <c r="K31" s="17"/>
      <c r="L31" s="17"/>
      <c r="M31" s="17"/>
      <c r="N31" s="17"/>
      <c r="O31" s="17"/>
      <c r="P31" s="18" t="s">
        <v>45</v>
      </c>
    </row>
    <row r="32" customFormat="false" ht="45" hidden="false" customHeight="true" outlineLevel="0" collapsed="false">
      <c r="A32" s="13" t="n">
        <v>30</v>
      </c>
      <c r="B32" s="14" t="s">
        <v>89</v>
      </c>
      <c r="C32" s="15" t="n">
        <v>46374</v>
      </c>
      <c r="D32" s="13" t="str">
        <f aca="false">CHOOSE(WEEKDAY(C32),"日","月","火","水","木","金","土")</f>
        <v>金</v>
      </c>
      <c r="E32" s="16" t="s">
        <v>86</v>
      </c>
      <c r="F32" s="14" t="s">
        <v>70</v>
      </c>
      <c r="G32" s="14" t="s">
        <v>95</v>
      </c>
      <c r="H32" s="14" t="s">
        <v>96</v>
      </c>
      <c r="I32" s="17"/>
      <c r="J32" s="17"/>
      <c r="K32" s="17"/>
      <c r="L32" s="17"/>
      <c r="M32" s="17"/>
      <c r="N32" s="17"/>
      <c r="O32" s="17"/>
      <c r="P32" s="18" t="s">
        <v>45</v>
      </c>
    </row>
    <row r="33" customFormat="false" ht="45" hidden="false" customHeight="true" outlineLevel="0" collapsed="false">
      <c r="A33" s="13" t="n">
        <v>31</v>
      </c>
      <c r="B33" s="14" t="s">
        <v>89</v>
      </c>
      <c r="C33" s="15" t="n">
        <v>46374</v>
      </c>
      <c r="D33" s="13" t="str">
        <f aca="false">CHOOSE(WEEKDAY(C33),"日","月","火","水","木","金","土")</f>
        <v>金</v>
      </c>
      <c r="E33" s="16" t="s">
        <v>81</v>
      </c>
      <c r="F33" s="14" t="s">
        <v>70</v>
      </c>
      <c r="G33" s="14" t="s">
        <v>90</v>
      </c>
      <c r="H33" s="14" t="s">
        <v>97</v>
      </c>
      <c r="I33" s="17"/>
      <c r="J33" s="17"/>
      <c r="K33" s="17"/>
      <c r="L33" s="17"/>
      <c r="M33" s="17"/>
      <c r="N33" s="17"/>
      <c r="O33" s="17"/>
      <c r="P33" s="18" t="s">
        <v>45</v>
      </c>
    </row>
    <row r="34" customFormat="false" ht="45" hidden="false" customHeight="true" outlineLevel="0" collapsed="false">
      <c r="A34" s="13" t="n">
        <v>32</v>
      </c>
      <c r="B34" s="14" t="s">
        <v>98</v>
      </c>
      <c r="C34" s="15" t="n">
        <v>46375</v>
      </c>
      <c r="D34" s="13" t="str">
        <f aca="false">CHOOSE(WEEKDAY(C34),"日","月","火","水","木","金","土")</f>
        <v>土</v>
      </c>
      <c r="E34" s="16" t="s">
        <v>48</v>
      </c>
      <c r="F34" s="14" t="s">
        <v>99</v>
      </c>
      <c r="G34" s="14" t="s">
        <v>49</v>
      </c>
      <c r="H34" s="14" t="s">
        <v>100</v>
      </c>
      <c r="I34" s="17"/>
      <c r="J34" s="17"/>
      <c r="K34" s="17"/>
      <c r="L34" s="17"/>
      <c r="M34" s="17"/>
      <c r="N34" s="17"/>
      <c r="O34" s="17"/>
      <c r="P34" s="18" t="s">
        <v>45</v>
      </c>
    </row>
    <row r="35" customFormat="false" ht="45" hidden="false" customHeight="true" outlineLevel="0" collapsed="false">
      <c r="A35" s="13" t="n">
        <v>33</v>
      </c>
      <c r="B35" s="14" t="s">
        <v>98</v>
      </c>
      <c r="C35" s="15" t="n">
        <v>46375</v>
      </c>
      <c r="D35" s="13" t="str">
        <f aca="false">CHOOSE(WEEKDAY(C35),"日","月","火","水","木","金","土")</f>
        <v>土</v>
      </c>
      <c r="E35" s="16" t="s">
        <v>35</v>
      </c>
      <c r="F35" s="14" t="s">
        <v>101</v>
      </c>
      <c r="G35" s="14" t="s">
        <v>102</v>
      </c>
      <c r="H35" s="16" t="s">
        <v>103</v>
      </c>
      <c r="I35" s="17"/>
      <c r="J35" s="17"/>
      <c r="K35" s="17"/>
      <c r="L35" s="17"/>
      <c r="M35" s="17"/>
      <c r="N35" s="17"/>
      <c r="O35" s="17"/>
      <c r="P35" s="18" t="s">
        <v>45</v>
      </c>
    </row>
    <row r="36" customFormat="false" ht="45" hidden="false" customHeight="true" outlineLevel="0" collapsed="false">
      <c r="A36" s="13" t="n">
        <v>34</v>
      </c>
      <c r="B36" s="14" t="s">
        <v>98</v>
      </c>
      <c r="C36" s="15" t="n">
        <v>46375</v>
      </c>
      <c r="D36" s="13" t="str">
        <f aca="false">CHOOSE(WEEKDAY(C36),"日","月","火","水","木","金","土")</f>
        <v>土</v>
      </c>
      <c r="E36" s="16" t="s">
        <v>104</v>
      </c>
      <c r="F36" s="14" t="s">
        <v>101</v>
      </c>
      <c r="G36" s="14" t="s">
        <v>102</v>
      </c>
      <c r="H36" s="16" t="s">
        <v>105</v>
      </c>
      <c r="I36" s="17"/>
      <c r="J36" s="17"/>
      <c r="K36" s="17"/>
      <c r="L36" s="17"/>
      <c r="M36" s="17"/>
      <c r="N36" s="17"/>
      <c r="O36" s="17"/>
      <c r="P36" s="18" t="s">
        <v>45</v>
      </c>
    </row>
    <row r="37" customFormat="false" ht="45" hidden="false" customHeight="true" outlineLevel="0" collapsed="false">
      <c r="A37" s="13" t="n">
        <v>35</v>
      </c>
      <c r="B37" s="14" t="s">
        <v>98</v>
      </c>
      <c r="C37" s="15" t="n">
        <v>46375</v>
      </c>
      <c r="D37" s="13" t="str">
        <f aca="false">CHOOSE(WEEKDAY(C37),"日","月","火","水","木","金","土")</f>
        <v>土</v>
      </c>
      <c r="E37" s="16" t="s">
        <v>106</v>
      </c>
      <c r="F37" s="14" t="s">
        <v>101</v>
      </c>
      <c r="G37" s="14" t="s">
        <v>102</v>
      </c>
      <c r="H37" s="14" t="s">
        <v>107</v>
      </c>
      <c r="I37" s="17"/>
      <c r="J37" s="17"/>
      <c r="K37" s="17"/>
      <c r="L37" s="17"/>
      <c r="M37" s="17"/>
      <c r="N37" s="17"/>
      <c r="O37" s="17"/>
      <c r="P37" s="18" t="s">
        <v>45</v>
      </c>
    </row>
    <row r="38" customFormat="false" ht="45" hidden="false" customHeight="true" outlineLevel="0" collapsed="false">
      <c r="A38" s="13" t="n">
        <v>36</v>
      </c>
      <c r="B38" s="14" t="s">
        <v>98</v>
      </c>
      <c r="C38" s="15" t="n">
        <v>46376</v>
      </c>
      <c r="D38" s="13" t="str">
        <f aca="false">CHOOSE(WEEKDAY(C38),"日","月","火","水","木","金","土")</f>
        <v>日</v>
      </c>
      <c r="E38" s="16" t="s">
        <v>48</v>
      </c>
      <c r="F38" s="14" t="s">
        <v>36</v>
      </c>
      <c r="G38" s="14" t="s">
        <v>108</v>
      </c>
      <c r="H38" s="14" t="s">
        <v>109</v>
      </c>
      <c r="I38" s="17"/>
      <c r="J38" s="17"/>
      <c r="K38" s="17"/>
      <c r="L38" s="17"/>
      <c r="M38" s="17"/>
      <c r="N38" s="17"/>
      <c r="O38" s="17"/>
      <c r="P38" s="18" t="s">
        <v>45</v>
      </c>
    </row>
    <row r="39" customFormat="false" ht="45" hidden="false" customHeight="true" outlineLevel="0" collapsed="false">
      <c r="A39" s="13" t="n">
        <v>37</v>
      </c>
      <c r="B39" s="14" t="s">
        <v>98</v>
      </c>
      <c r="C39" s="15" t="n">
        <v>46376</v>
      </c>
      <c r="D39" s="13" t="str">
        <f aca="false">CHOOSE(WEEKDAY(C39),"日","月","火","水","木","金","土")</f>
        <v>日</v>
      </c>
      <c r="E39" s="16" t="s">
        <v>86</v>
      </c>
      <c r="F39" s="14" t="s">
        <v>70</v>
      </c>
      <c r="G39" s="14" t="s">
        <v>46</v>
      </c>
      <c r="H39" s="14" t="s">
        <v>110</v>
      </c>
      <c r="I39" s="17"/>
      <c r="J39" s="17"/>
      <c r="K39" s="17"/>
      <c r="L39" s="17"/>
      <c r="M39" s="17"/>
      <c r="N39" s="17"/>
      <c r="O39" s="17"/>
      <c r="P39" s="18" t="s">
        <v>45</v>
      </c>
    </row>
    <row r="40" customFormat="false" ht="45" hidden="false" customHeight="true" outlineLevel="0" collapsed="false">
      <c r="A40" s="13" t="n">
        <v>38</v>
      </c>
      <c r="B40" s="14" t="s">
        <v>98</v>
      </c>
      <c r="C40" s="15" t="n">
        <v>46376</v>
      </c>
      <c r="D40" s="13" t="str">
        <f aca="false">CHOOSE(WEEKDAY(C40),"日","月","火","水","木","金","土")</f>
        <v>日</v>
      </c>
      <c r="E40" s="16" t="s">
        <v>35</v>
      </c>
      <c r="F40" s="14" t="s">
        <v>70</v>
      </c>
      <c r="G40" s="14" t="s">
        <v>55</v>
      </c>
      <c r="H40" s="14" t="s">
        <v>111</v>
      </c>
      <c r="I40" s="17"/>
      <c r="J40" s="17"/>
      <c r="K40" s="17"/>
      <c r="L40" s="17"/>
      <c r="M40" s="17"/>
      <c r="N40" s="17"/>
      <c r="O40" s="17"/>
      <c r="P40" s="18" t="s">
        <v>45</v>
      </c>
    </row>
    <row r="41" customFormat="false" ht="45" hidden="false" customHeight="true" outlineLevel="0" collapsed="false">
      <c r="A41" s="13" t="n">
        <v>39</v>
      </c>
      <c r="B41" s="14" t="s">
        <v>98</v>
      </c>
      <c r="C41" s="15" t="n">
        <v>46377</v>
      </c>
      <c r="D41" s="13" t="str">
        <f aca="false">CHOOSE(WEEKDAY(C41),"日","月","火","水","木","金","土")</f>
        <v>月</v>
      </c>
      <c r="E41" s="16" t="s">
        <v>48</v>
      </c>
      <c r="F41" s="14" t="s">
        <v>36</v>
      </c>
      <c r="G41" s="14" t="s">
        <v>49</v>
      </c>
      <c r="H41" s="14" t="s">
        <v>112</v>
      </c>
      <c r="I41" s="17"/>
      <c r="J41" s="17"/>
      <c r="K41" s="17"/>
      <c r="L41" s="17"/>
      <c r="M41" s="17"/>
      <c r="N41" s="17"/>
      <c r="O41" s="17"/>
      <c r="P41" s="18" t="s">
        <v>45</v>
      </c>
    </row>
    <row r="42" customFormat="false" ht="45" hidden="false" customHeight="true" outlineLevel="0" collapsed="false">
      <c r="A42" s="13" t="n">
        <v>40</v>
      </c>
      <c r="B42" s="14" t="s">
        <v>98</v>
      </c>
      <c r="C42" s="15" t="n">
        <v>46377</v>
      </c>
      <c r="D42" s="13" t="str">
        <f aca="false">CHOOSE(WEEKDAY(C42),"日","月","火","水","木","金","土")</f>
        <v>月</v>
      </c>
      <c r="E42" s="16" t="s">
        <v>113</v>
      </c>
      <c r="F42" s="14" t="s">
        <v>114</v>
      </c>
      <c r="G42" s="14" t="s">
        <v>95</v>
      </c>
      <c r="H42" s="14" t="s">
        <v>115</v>
      </c>
      <c r="I42" s="17"/>
      <c r="J42" s="17"/>
      <c r="K42" s="17"/>
      <c r="L42" s="17"/>
      <c r="M42" s="17"/>
      <c r="N42" s="17"/>
      <c r="O42" s="17"/>
      <c r="P42" s="18" t="s">
        <v>45</v>
      </c>
    </row>
    <row r="43" customFormat="false" ht="45" hidden="false" customHeight="true" outlineLevel="0" collapsed="false">
      <c r="A43" s="13" t="n">
        <v>41</v>
      </c>
      <c r="B43" s="14" t="s">
        <v>98</v>
      </c>
      <c r="C43" s="15" t="n">
        <v>46377</v>
      </c>
      <c r="D43" s="13" t="str">
        <f aca="false">CHOOSE(WEEKDAY(C43),"日","月","火","水","木","金","土")</f>
        <v>月</v>
      </c>
      <c r="E43" s="16" t="s">
        <v>35</v>
      </c>
      <c r="F43" s="14" t="s">
        <v>36</v>
      </c>
      <c r="G43" s="14" t="s">
        <v>102</v>
      </c>
      <c r="H43" s="14" t="s">
        <v>116</v>
      </c>
      <c r="I43" s="17"/>
      <c r="J43" s="17"/>
      <c r="K43" s="17"/>
      <c r="L43" s="17"/>
      <c r="M43" s="17"/>
      <c r="N43" s="17"/>
      <c r="O43" s="17"/>
      <c r="P43" s="18" t="s">
        <v>45</v>
      </c>
    </row>
    <row r="44" customFormat="false" ht="45" hidden="false" customHeight="true" outlineLevel="0" collapsed="false">
      <c r="A44" s="13" t="n">
        <v>42</v>
      </c>
      <c r="B44" s="14" t="s">
        <v>98</v>
      </c>
      <c r="C44" s="15" t="n">
        <v>46377</v>
      </c>
      <c r="D44" s="13" t="str">
        <f aca="false">CHOOSE(WEEKDAY(C44),"日","月","火","水","木","金","土")</f>
        <v>月</v>
      </c>
      <c r="E44" s="16" t="s">
        <v>104</v>
      </c>
      <c r="F44" s="14" t="s">
        <v>36</v>
      </c>
      <c r="G44" s="14" t="s">
        <v>102</v>
      </c>
      <c r="H44" s="14" t="s">
        <v>117</v>
      </c>
      <c r="I44" s="17"/>
      <c r="J44" s="17"/>
      <c r="K44" s="17"/>
      <c r="L44" s="17"/>
      <c r="M44" s="17"/>
      <c r="N44" s="17"/>
      <c r="O44" s="17"/>
      <c r="P44" s="18" t="s">
        <v>45</v>
      </c>
    </row>
    <row r="45" customFormat="false" ht="45" hidden="false" customHeight="true" outlineLevel="0" collapsed="false">
      <c r="A45" s="13" t="n">
        <v>43</v>
      </c>
      <c r="B45" s="14" t="s">
        <v>98</v>
      </c>
      <c r="C45" s="15" t="n">
        <v>46377</v>
      </c>
      <c r="D45" s="13" t="str">
        <f aca="false">CHOOSE(WEEKDAY(C45),"日","月","火","水","木","金","土")</f>
        <v>月</v>
      </c>
      <c r="E45" s="16" t="s">
        <v>106</v>
      </c>
      <c r="F45" s="14" t="s">
        <v>36</v>
      </c>
      <c r="G45" s="14" t="s">
        <v>102</v>
      </c>
      <c r="H45" s="14" t="s">
        <v>118</v>
      </c>
      <c r="I45" s="17"/>
      <c r="J45" s="17"/>
      <c r="K45" s="17"/>
      <c r="L45" s="17"/>
      <c r="M45" s="17"/>
      <c r="N45" s="17"/>
      <c r="O45" s="17"/>
      <c r="P45" s="18" t="s">
        <v>45</v>
      </c>
    </row>
    <row r="46" customFormat="false" ht="45" hidden="false" customHeight="true" outlineLevel="0" collapsed="false">
      <c r="A46" s="13" t="n">
        <v>44</v>
      </c>
      <c r="B46" s="14" t="s">
        <v>119</v>
      </c>
      <c r="C46" s="15" t="n">
        <v>46378</v>
      </c>
      <c r="D46" s="13" t="str">
        <f aca="false">CHOOSE(WEEKDAY(C46),"日","月","火","水","木","金","土")</f>
        <v>火</v>
      </c>
      <c r="E46" s="16" t="s">
        <v>35</v>
      </c>
      <c r="F46" s="14" t="s">
        <v>36</v>
      </c>
      <c r="G46" s="14" t="s">
        <v>120</v>
      </c>
      <c r="H46" s="14" t="s">
        <v>121</v>
      </c>
      <c r="I46" s="17"/>
      <c r="J46" s="17"/>
      <c r="K46" s="17"/>
      <c r="L46" s="17"/>
      <c r="M46" s="17"/>
      <c r="N46" s="17"/>
      <c r="O46" s="17"/>
      <c r="P46" s="18" t="s">
        <v>45</v>
      </c>
    </row>
    <row r="47" customFormat="false" ht="45" hidden="false" customHeight="true" outlineLevel="0" collapsed="false">
      <c r="A47" s="13" t="n">
        <v>45</v>
      </c>
      <c r="B47" s="14" t="s">
        <v>119</v>
      </c>
      <c r="C47" s="15" t="n">
        <v>46379</v>
      </c>
      <c r="D47" s="13" t="str">
        <f aca="false">CHOOSE(WEEKDAY(C47),"日","月","火","水","木","金","土")</f>
        <v>水</v>
      </c>
      <c r="E47" s="16" t="s">
        <v>35</v>
      </c>
      <c r="F47" s="14" t="s">
        <v>122</v>
      </c>
      <c r="G47" s="14" t="s">
        <v>90</v>
      </c>
      <c r="H47" s="14" t="s">
        <v>123</v>
      </c>
      <c r="I47" s="17"/>
      <c r="J47" s="17"/>
      <c r="K47" s="17"/>
      <c r="L47" s="17"/>
      <c r="M47" s="17"/>
      <c r="N47" s="17"/>
      <c r="O47" s="17"/>
      <c r="P47" s="18" t="s">
        <v>45</v>
      </c>
    </row>
    <row r="48" customFormat="false" ht="45" hidden="false" customHeight="true" outlineLevel="0" collapsed="false">
      <c r="A48" s="13" t="n">
        <v>46</v>
      </c>
      <c r="B48" s="14" t="s">
        <v>119</v>
      </c>
      <c r="C48" s="15" t="n">
        <v>46379</v>
      </c>
      <c r="D48" s="13" t="str">
        <f aca="false">CHOOSE(WEEKDAY(C48),"日","月","火","水","木","金","土")</f>
        <v>水</v>
      </c>
      <c r="E48" s="16" t="s">
        <v>35</v>
      </c>
      <c r="F48" s="14" t="s">
        <v>114</v>
      </c>
      <c r="G48" s="14" t="s">
        <v>79</v>
      </c>
      <c r="H48" s="14" t="s">
        <v>124</v>
      </c>
      <c r="I48" s="17"/>
      <c r="J48" s="17"/>
      <c r="K48" s="17"/>
      <c r="L48" s="17"/>
      <c r="M48" s="17"/>
      <c r="N48" s="17"/>
      <c r="O48" s="17"/>
      <c r="P48" s="18" t="s">
        <v>45</v>
      </c>
    </row>
    <row r="49" customFormat="false" ht="45" hidden="false" customHeight="true" outlineLevel="0" collapsed="false">
      <c r="A49" s="13" t="n">
        <v>47</v>
      </c>
      <c r="B49" s="14" t="s">
        <v>119</v>
      </c>
      <c r="C49" s="15" t="n">
        <v>46384</v>
      </c>
      <c r="D49" s="13" t="str">
        <f aca="false">CHOOSE(WEEKDAY(C49),"日","月","火","水","木","金","土")</f>
        <v>月</v>
      </c>
      <c r="E49" s="16" t="s">
        <v>35</v>
      </c>
      <c r="F49" s="14" t="s">
        <v>36</v>
      </c>
      <c r="G49" s="14" t="s">
        <v>95</v>
      </c>
      <c r="H49" s="16" t="s">
        <v>125</v>
      </c>
      <c r="I49" s="17"/>
      <c r="J49" s="17"/>
      <c r="K49" s="17"/>
      <c r="L49" s="17"/>
      <c r="M49" s="17"/>
      <c r="N49" s="17"/>
      <c r="O49" s="17"/>
      <c r="P49" s="18" t="s">
        <v>45</v>
      </c>
    </row>
    <row r="50" customFormat="false" ht="15" hidden="false" customHeight="false" outlineLevel="0" collapsed="false">
      <c r="A50" s="13" t="n">
        <v>48</v>
      </c>
      <c r="B50" s="17"/>
      <c r="C50" s="19"/>
      <c r="D50" s="13" t="str">
        <f aca="false">IF(C50="","",CHOOSE(WEEKDAY(C50),"日","月","火","水","木","金","土"))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/>
    </row>
    <row r="51" customFormat="false" ht="15" hidden="false" customHeight="false" outlineLevel="0" collapsed="false">
      <c r="A51" s="13" t="n">
        <v>49</v>
      </c>
      <c r="B51" s="17"/>
      <c r="C51" s="19"/>
      <c r="D51" s="13" t="str">
        <f aca="false">IF(C51="","",CHOOSE(WEEKDAY(C51),"日","月","火","水","木","金","土"))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/>
    </row>
    <row r="52" customFormat="false" ht="15" hidden="false" customHeight="false" outlineLevel="0" collapsed="false">
      <c r="A52" s="13" t="n">
        <v>50</v>
      </c>
      <c r="B52" s="17"/>
      <c r="C52" s="19"/>
      <c r="D52" s="13" t="str">
        <f aca="false">IF(C52="","",CHOOSE(WEEKDAY(C52),"日","月","火","水","木","金","土"))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8"/>
    </row>
    <row r="53" customFormat="false" ht="15" hidden="false" customHeight="false" outlineLevel="0" collapsed="false">
      <c r="A53" s="13" t="n">
        <v>51</v>
      </c>
      <c r="B53" s="17"/>
      <c r="C53" s="19"/>
      <c r="D53" s="13" t="str">
        <f aca="false">IF(C53="","",CHOOSE(WEEKDAY(C53),"日","月","火","水","木","金","土"))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8"/>
    </row>
    <row r="54" customFormat="false" ht="15" hidden="false" customHeight="false" outlineLevel="0" collapsed="false">
      <c r="A54" s="13" t="n">
        <v>52</v>
      </c>
      <c r="B54" s="17"/>
      <c r="C54" s="19"/>
      <c r="D54" s="13" t="str">
        <f aca="false">IF(C54="","",CHOOSE(WEEKDAY(C54),"日","月","火","水","木","金","土"))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8"/>
    </row>
    <row r="55" customFormat="false" ht="15" hidden="false" customHeight="false" outlineLevel="0" collapsed="false">
      <c r="A55" s="13" t="n">
        <v>53</v>
      </c>
      <c r="B55" s="17"/>
      <c r="C55" s="19"/>
      <c r="D55" s="13" t="str">
        <f aca="false">IF(C55="","",CHOOSE(WEEKDAY(C55),"日","月","火","水","木","金","土"))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8"/>
    </row>
    <row r="56" customFormat="false" ht="15" hidden="false" customHeight="false" outlineLevel="0" collapsed="false">
      <c r="A56" s="13" t="n">
        <v>54</v>
      </c>
      <c r="B56" s="17"/>
      <c r="C56" s="19"/>
      <c r="D56" s="13" t="str">
        <f aca="false">IF(C56="","",CHOOSE(WEEKDAY(C56),"日","月","火","水","木","金","土"))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8"/>
    </row>
    <row r="57" customFormat="false" ht="15" hidden="false" customHeight="false" outlineLevel="0" collapsed="false">
      <c r="A57" s="13" t="n">
        <v>55</v>
      </c>
      <c r="B57" s="17"/>
      <c r="C57" s="19"/>
      <c r="D57" s="13" t="str">
        <f aca="false">IF(C57="","",CHOOSE(WEEKDAY(C57),"日","月","火","水","木","金","土"))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8"/>
    </row>
    <row r="58" customFormat="false" ht="15" hidden="false" customHeight="false" outlineLevel="0" collapsed="false">
      <c r="A58" s="13" t="n">
        <v>56</v>
      </c>
      <c r="B58" s="17"/>
      <c r="C58" s="19"/>
      <c r="D58" s="13" t="str">
        <f aca="false">IF(C58="","",CHOOSE(WEEKDAY(C58),"日","月","火","水","木","金","土"))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8"/>
    </row>
    <row r="59" customFormat="false" ht="15" hidden="false" customHeight="false" outlineLevel="0" collapsed="false">
      <c r="A59" s="13" t="n">
        <v>57</v>
      </c>
      <c r="B59" s="17"/>
      <c r="C59" s="19"/>
      <c r="D59" s="13" t="str">
        <f aca="false">IF(C59="","",CHOOSE(WEEKDAY(C59),"日","月","火","水","木","金","土"))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8"/>
    </row>
  </sheetData>
  <autoFilter ref="A1:P59"/>
  <dataValidations count="4">
    <dataValidation allowBlank="true" errorStyle="stop" operator="between" showDropDown="false" showErrorMessage="false" showInputMessage="false" sqref="G3:G59" type="list">
      <formula1>型の説明!$A$2:$A$17</formula1>
      <formula2>0</formula2>
    </dataValidation>
    <dataValidation allowBlank="true" errorStyle="stop" operator="between" showDropDown="false" showErrorMessage="false" showInputMessage="false" sqref="F3:F59" type="list">
      <formula1>"全員,未申込,申込済,申込済_12/19,申込済_12/21,先行特典受取,参加済,未参加"</formula1>
      <formula2>0</formula2>
    </dataValidation>
    <dataValidation allowBlank="true" errorStyle="stop" operator="between" showDropDown="false" showErrorMessage="false" showInputMessage="false" sqref="N3:N59" type="list">
      <formula1>"短,中,長"</formula1>
      <formula2>0</formula2>
    </dataValidation>
    <dataValidation allowBlank="true" errorStyle="stop" operator="between" showDropDown="false" showErrorMessage="false" showInputMessage="false" sqref="P3:P59" type="list">
      <formula1>"未記入,記入済,作成済,配信済,配信しない"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7" min="6" style="0" width="10"/>
    <col collapsed="false" customWidth="true" hidden="false" outlineLevel="0" max="8" min="8" style="0" width="40"/>
    <col collapsed="false" customWidth="true" hidden="false" outlineLevel="0" max="11" min="9" style="0" width="10"/>
    <col collapsed="false" customWidth="true" hidden="false" outlineLevel="0" max="12" min="12" style="0" width="9"/>
  </cols>
  <sheetData>
    <row r="1" customFormat="false" ht="26.85" hidden="false" customHeight="false" outlineLevel="0" collapsed="false">
      <c r="A1" s="8" t="s">
        <v>17</v>
      </c>
      <c r="B1" s="9" t="s">
        <v>126</v>
      </c>
      <c r="C1" s="9" t="s">
        <v>127</v>
      </c>
      <c r="D1" s="9" t="s">
        <v>128</v>
      </c>
      <c r="E1" s="9" t="s">
        <v>129</v>
      </c>
      <c r="F1" s="9" t="s">
        <v>130</v>
      </c>
      <c r="G1" s="9" t="s">
        <v>84</v>
      </c>
      <c r="H1" s="9" t="s">
        <v>131</v>
      </c>
      <c r="I1" s="9" t="s">
        <v>132</v>
      </c>
      <c r="J1" s="9" t="s">
        <v>32</v>
      </c>
      <c r="K1" s="9" t="s">
        <v>133</v>
      </c>
      <c r="L1" s="9" t="s">
        <v>134</v>
      </c>
    </row>
    <row r="2" customFormat="false" ht="31.5" hidden="false" customHeight="true" outlineLevel="0" collapsed="false">
      <c r="A2" s="13" t="n">
        <v>1</v>
      </c>
      <c r="B2" s="20" t="n">
        <f aca="false">G2-WEEKDAY(G2,3)</f>
        <v>46321</v>
      </c>
      <c r="C2" s="14" t="s">
        <v>135</v>
      </c>
      <c r="D2" s="21" t="s">
        <v>136</v>
      </c>
      <c r="E2" s="14" t="s">
        <v>137</v>
      </c>
      <c r="F2" s="15" t="n">
        <v>46356</v>
      </c>
      <c r="G2" s="15" t="n">
        <v>46325</v>
      </c>
      <c r="H2" s="18" t="s">
        <v>138</v>
      </c>
      <c r="I2" s="19"/>
      <c r="J2" s="18" t="s">
        <v>139</v>
      </c>
      <c r="K2" s="19"/>
      <c r="L2" s="13" t="n">
        <f aca="true">IF(J2="完了","",G2-TODAY())</f>
        <v>8</v>
      </c>
    </row>
    <row r="3" customFormat="false" ht="31.5" hidden="false" customHeight="true" outlineLevel="0" collapsed="false">
      <c r="A3" s="13" t="n">
        <v>2</v>
      </c>
      <c r="B3" s="20" t="n">
        <f aca="false">G3-WEEKDAY(G3,3)</f>
        <v>46321</v>
      </c>
      <c r="C3" s="14" t="s">
        <v>135</v>
      </c>
      <c r="D3" s="21" t="s">
        <v>140</v>
      </c>
      <c r="E3" s="16" t="s">
        <v>141</v>
      </c>
      <c r="F3" s="15" t="n">
        <v>46358</v>
      </c>
      <c r="G3" s="15" t="n">
        <v>46325</v>
      </c>
      <c r="H3" s="18" t="s">
        <v>142</v>
      </c>
      <c r="I3" s="19"/>
      <c r="J3" s="18" t="s">
        <v>139</v>
      </c>
      <c r="K3" s="19"/>
      <c r="L3" s="13" t="n">
        <f aca="true">IF(J3="完了","",G3-TODAY())</f>
        <v>8</v>
      </c>
    </row>
    <row r="4" customFormat="false" ht="31.5" hidden="false" customHeight="true" outlineLevel="0" collapsed="false">
      <c r="A4" s="13" t="n">
        <v>3</v>
      </c>
      <c r="B4" s="20" t="n">
        <f aca="false">G4-WEEKDAY(G4,3)</f>
        <v>46321</v>
      </c>
      <c r="C4" s="14" t="s">
        <v>135</v>
      </c>
      <c r="D4" s="21" t="s">
        <v>143</v>
      </c>
      <c r="E4" s="16" t="s">
        <v>144</v>
      </c>
      <c r="F4" s="15" t="n">
        <v>46358</v>
      </c>
      <c r="G4" s="15" t="n">
        <v>46325</v>
      </c>
      <c r="H4" s="18" t="s">
        <v>145</v>
      </c>
      <c r="I4" s="19"/>
      <c r="J4" s="18" t="s">
        <v>139</v>
      </c>
      <c r="K4" s="19"/>
      <c r="L4" s="13" t="n">
        <f aca="true">IF(J4="完了","",G4-TODAY())</f>
        <v>8</v>
      </c>
    </row>
    <row r="5" customFormat="false" ht="31.5" hidden="false" customHeight="true" outlineLevel="0" collapsed="false">
      <c r="A5" s="13" t="n">
        <v>4</v>
      </c>
      <c r="B5" s="20" t="n">
        <f aca="false">G5-WEEKDAY(G5,3)</f>
        <v>46321</v>
      </c>
      <c r="C5" s="14" t="s">
        <v>135</v>
      </c>
      <c r="D5" s="21" t="s">
        <v>146</v>
      </c>
      <c r="E5" s="16" t="s">
        <v>147</v>
      </c>
      <c r="F5" s="15" t="n">
        <v>46359</v>
      </c>
      <c r="G5" s="15" t="n">
        <v>46327</v>
      </c>
      <c r="H5" s="18" t="s">
        <v>148</v>
      </c>
      <c r="I5" s="19"/>
      <c r="J5" s="18" t="s">
        <v>139</v>
      </c>
      <c r="K5" s="19"/>
      <c r="L5" s="13" t="n">
        <f aca="true">IF(J5="完了","",G5-TODAY())</f>
        <v>10</v>
      </c>
    </row>
    <row r="6" customFormat="false" ht="31.5" hidden="false" customHeight="true" outlineLevel="0" collapsed="false">
      <c r="A6" s="13" t="n">
        <v>5</v>
      </c>
      <c r="B6" s="20" t="n">
        <f aca="false">G6-WEEKDAY(G6,3)</f>
        <v>46321</v>
      </c>
      <c r="C6" s="14" t="s">
        <v>135</v>
      </c>
      <c r="D6" s="21" t="s">
        <v>149</v>
      </c>
      <c r="E6" s="16" t="s">
        <v>150</v>
      </c>
      <c r="F6" s="15" t="n">
        <v>46356</v>
      </c>
      <c r="G6" s="15" t="n">
        <v>46327</v>
      </c>
      <c r="H6" s="18" t="s">
        <v>142</v>
      </c>
      <c r="I6" s="19"/>
      <c r="J6" s="18" t="s">
        <v>139</v>
      </c>
      <c r="K6" s="19"/>
      <c r="L6" s="13" t="n">
        <f aca="true">IF(J6="完了","",G6-TODAY())</f>
        <v>10</v>
      </c>
    </row>
    <row r="7" customFormat="false" ht="31.5" hidden="false" customHeight="true" outlineLevel="0" collapsed="false">
      <c r="A7" s="13" t="n">
        <v>6</v>
      </c>
      <c r="B7" s="20" t="n">
        <f aca="false">G7-WEEKDAY(G7,3)</f>
        <v>46321</v>
      </c>
      <c r="C7" s="14" t="s">
        <v>135</v>
      </c>
      <c r="D7" s="21" t="s">
        <v>151</v>
      </c>
      <c r="E7" s="16" t="s">
        <v>152</v>
      </c>
      <c r="F7" s="15" t="n">
        <v>46356</v>
      </c>
      <c r="G7" s="15" t="n">
        <v>46327</v>
      </c>
      <c r="H7" s="18" t="s">
        <v>153</v>
      </c>
      <c r="I7" s="19"/>
      <c r="J7" s="18" t="s">
        <v>139</v>
      </c>
      <c r="K7" s="19"/>
      <c r="L7" s="13" t="n">
        <f aca="true">IF(J7="完了","",G7-TODAY())</f>
        <v>10</v>
      </c>
    </row>
    <row r="8" customFormat="false" ht="31.5" hidden="false" customHeight="true" outlineLevel="0" collapsed="false">
      <c r="A8" s="13" t="n">
        <v>7</v>
      </c>
      <c r="B8" s="20" t="n">
        <f aca="false">G8-WEEKDAY(G8,3)</f>
        <v>46321</v>
      </c>
      <c r="C8" s="14" t="s">
        <v>135</v>
      </c>
      <c r="D8" s="21" t="s">
        <v>154</v>
      </c>
      <c r="E8" s="14" t="s">
        <v>155</v>
      </c>
      <c r="F8" s="15" t="n">
        <v>46356</v>
      </c>
      <c r="G8" s="15" t="n">
        <v>46327</v>
      </c>
      <c r="H8" s="18"/>
      <c r="I8" s="19"/>
      <c r="J8" s="18" t="s">
        <v>139</v>
      </c>
      <c r="K8" s="19"/>
      <c r="L8" s="13" t="n">
        <f aca="true">IF(J8="完了","",G8-TODAY())</f>
        <v>10</v>
      </c>
    </row>
    <row r="9" customFormat="false" ht="31.5" hidden="false" customHeight="true" outlineLevel="0" collapsed="false">
      <c r="A9" s="13" t="n">
        <v>8</v>
      </c>
      <c r="B9" s="20" t="n">
        <f aca="false">G9-WEEKDAY(G9,3)</f>
        <v>46328</v>
      </c>
      <c r="C9" s="14" t="s">
        <v>156</v>
      </c>
      <c r="D9" s="21" t="s">
        <v>157</v>
      </c>
      <c r="E9" s="16" t="s">
        <v>158</v>
      </c>
      <c r="F9" s="15" t="n">
        <v>46360</v>
      </c>
      <c r="G9" s="15" t="n">
        <v>46330</v>
      </c>
      <c r="H9" s="18" t="s">
        <v>159</v>
      </c>
      <c r="I9" s="19"/>
      <c r="J9" s="18" t="s">
        <v>139</v>
      </c>
      <c r="K9" s="19"/>
      <c r="L9" s="13" t="n">
        <f aca="true">IF(J9="完了","",G9-TODAY())</f>
        <v>13</v>
      </c>
    </row>
    <row r="10" customFormat="false" ht="31.5" hidden="false" customHeight="true" outlineLevel="0" collapsed="false">
      <c r="A10" s="13" t="n">
        <v>9</v>
      </c>
      <c r="B10" s="20" t="n">
        <f aca="false">G10-WEEKDAY(G10,3)</f>
        <v>46328</v>
      </c>
      <c r="C10" s="14" t="s">
        <v>156</v>
      </c>
      <c r="D10" s="21" t="s">
        <v>160</v>
      </c>
      <c r="E10" s="16" t="s">
        <v>158</v>
      </c>
      <c r="F10" s="15" t="n">
        <v>46360</v>
      </c>
      <c r="G10" s="15" t="n">
        <v>46330</v>
      </c>
      <c r="H10" s="18" t="s">
        <v>161</v>
      </c>
      <c r="I10" s="19"/>
      <c r="J10" s="18" t="s">
        <v>139</v>
      </c>
      <c r="K10" s="19"/>
      <c r="L10" s="13" t="n">
        <f aca="true">IF(J10="完了","",G10-TODAY())</f>
        <v>13</v>
      </c>
    </row>
    <row r="11" customFormat="false" ht="31.5" hidden="false" customHeight="true" outlineLevel="0" collapsed="false">
      <c r="A11" s="13" t="n">
        <v>10</v>
      </c>
      <c r="B11" s="20" t="n">
        <f aca="false">G11-WEEKDAY(G11,3)</f>
        <v>46328</v>
      </c>
      <c r="C11" s="14" t="s">
        <v>156</v>
      </c>
      <c r="D11" s="21" t="s">
        <v>162</v>
      </c>
      <c r="E11" s="14" t="s">
        <v>163</v>
      </c>
      <c r="F11" s="15" t="n">
        <v>46375</v>
      </c>
      <c r="G11" s="15" t="n">
        <v>46332</v>
      </c>
      <c r="H11" s="18"/>
      <c r="I11" s="19"/>
      <c r="J11" s="18" t="s">
        <v>139</v>
      </c>
      <c r="K11" s="19"/>
      <c r="L11" s="13" t="n">
        <f aca="true">IF(J11="完了","",G11-TODAY())</f>
        <v>15</v>
      </c>
    </row>
    <row r="12" customFormat="false" ht="31.5" hidden="false" customHeight="true" outlineLevel="0" collapsed="false">
      <c r="A12" s="13" t="n">
        <v>11</v>
      </c>
      <c r="B12" s="20" t="n">
        <f aca="false">G12-WEEKDAY(G12,3)</f>
        <v>46328</v>
      </c>
      <c r="C12" s="14" t="s">
        <v>156</v>
      </c>
      <c r="D12" s="22" t="s">
        <v>164</v>
      </c>
      <c r="E12" s="16" t="s">
        <v>158</v>
      </c>
      <c r="F12" s="15" t="n">
        <v>46360</v>
      </c>
      <c r="G12" s="15" t="n">
        <v>46332</v>
      </c>
      <c r="H12" s="18" t="s">
        <v>165</v>
      </c>
      <c r="I12" s="19"/>
      <c r="J12" s="18" t="s">
        <v>139</v>
      </c>
      <c r="K12" s="19"/>
      <c r="L12" s="13" t="n">
        <f aca="true">IF(J12="完了","",G12-TODAY())</f>
        <v>15</v>
      </c>
    </row>
    <row r="13" customFormat="false" ht="31.5" hidden="false" customHeight="true" outlineLevel="0" collapsed="false">
      <c r="A13" s="13" t="n">
        <v>12</v>
      </c>
      <c r="B13" s="20" t="n">
        <f aca="false">G13-WEEKDAY(G13,3)</f>
        <v>46328</v>
      </c>
      <c r="C13" s="14" t="s">
        <v>156</v>
      </c>
      <c r="D13" s="21" t="s">
        <v>166</v>
      </c>
      <c r="E13" s="16" t="s">
        <v>167</v>
      </c>
      <c r="F13" s="15" t="n">
        <v>46367</v>
      </c>
      <c r="G13" s="15" t="n">
        <v>46334</v>
      </c>
      <c r="H13" s="18" t="s">
        <v>168</v>
      </c>
      <c r="I13" s="19"/>
      <c r="J13" s="18" t="s">
        <v>139</v>
      </c>
      <c r="K13" s="19"/>
      <c r="L13" s="13" t="n">
        <f aca="true">IF(J13="完了","",G13-TODAY())</f>
        <v>17</v>
      </c>
    </row>
    <row r="14" customFormat="false" ht="31.5" hidden="false" customHeight="true" outlineLevel="0" collapsed="false">
      <c r="A14" s="13" t="n">
        <v>13</v>
      </c>
      <c r="B14" s="20" t="n">
        <f aca="false">G14-WEEKDAY(G14,3)</f>
        <v>46328</v>
      </c>
      <c r="C14" s="14" t="s">
        <v>169</v>
      </c>
      <c r="D14" s="21" t="s">
        <v>170</v>
      </c>
      <c r="E14" s="16" t="s">
        <v>171</v>
      </c>
      <c r="F14" s="15" t="n">
        <v>46364</v>
      </c>
      <c r="G14" s="15" t="n">
        <v>46334</v>
      </c>
      <c r="H14" s="18" t="s">
        <v>172</v>
      </c>
      <c r="I14" s="19"/>
      <c r="J14" s="18" t="s">
        <v>139</v>
      </c>
      <c r="K14" s="19"/>
      <c r="L14" s="13" t="n">
        <f aca="true">IF(J14="完了","",G14-TODAY())</f>
        <v>17</v>
      </c>
    </row>
    <row r="15" customFormat="false" ht="31.5" hidden="false" customHeight="true" outlineLevel="0" collapsed="false">
      <c r="A15" s="13" t="n">
        <v>14</v>
      </c>
      <c r="B15" s="20" t="n">
        <f aca="false">G15-WEEKDAY(G15,3)</f>
        <v>46335</v>
      </c>
      <c r="C15" s="14" t="s">
        <v>169</v>
      </c>
      <c r="D15" s="22" t="s">
        <v>173</v>
      </c>
      <c r="E15" s="16" t="s">
        <v>174</v>
      </c>
      <c r="F15" s="15" t="n">
        <v>46360</v>
      </c>
      <c r="G15" s="15" t="n">
        <v>46339</v>
      </c>
      <c r="H15" s="17" t="s">
        <v>175</v>
      </c>
      <c r="I15" s="19"/>
      <c r="J15" s="18" t="s">
        <v>139</v>
      </c>
      <c r="K15" s="19"/>
      <c r="L15" s="13" t="n">
        <f aca="true">IF(J15="完了","",G15-TODAY())</f>
        <v>22</v>
      </c>
    </row>
    <row r="16" customFormat="false" ht="31.5" hidden="false" customHeight="true" outlineLevel="0" collapsed="false">
      <c r="A16" s="13" t="n">
        <v>15</v>
      </c>
      <c r="B16" s="20" t="n">
        <f aca="false">G16-WEEKDAY(G16,3)</f>
        <v>46335</v>
      </c>
      <c r="C16" s="14" t="s">
        <v>169</v>
      </c>
      <c r="D16" s="22" t="s">
        <v>176</v>
      </c>
      <c r="E16" s="16" t="s">
        <v>174</v>
      </c>
      <c r="F16" s="15" t="n">
        <v>46360</v>
      </c>
      <c r="G16" s="15" t="n">
        <v>46341</v>
      </c>
      <c r="H16" s="18" t="s">
        <v>177</v>
      </c>
      <c r="I16" s="19"/>
      <c r="J16" s="18" t="s">
        <v>139</v>
      </c>
      <c r="K16" s="19"/>
      <c r="L16" s="13" t="n">
        <f aca="true">IF(J16="完了","",G16-TODAY())</f>
        <v>24</v>
      </c>
    </row>
    <row r="17" customFormat="false" ht="31.5" hidden="false" customHeight="true" outlineLevel="0" collapsed="false">
      <c r="A17" s="13" t="n">
        <v>16</v>
      </c>
      <c r="B17" s="20" t="n">
        <f aca="false">G17-WEEKDAY(G17,3)</f>
        <v>46335</v>
      </c>
      <c r="C17" s="14" t="s">
        <v>169</v>
      </c>
      <c r="D17" s="21" t="s">
        <v>178</v>
      </c>
      <c r="E17" s="16" t="s">
        <v>179</v>
      </c>
      <c r="F17" s="15" t="n">
        <v>46362</v>
      </c>
      <c r="G17" s="15" t="n">
        <v>46341</v>
      </c>
      <c r="H17" s="18" t="s">
        <v>177</v>
      </c>
      <c r="I17" s="19"/>
      <c r="J17" s="18" t="s">
        <v>139</v>
      </c>
      <c r="K17" s="19"/>
      <c r="L17" s="13" t="n">
        <f aca="true">IF(J17="完了","",G17-TODAY())</f>
        <v>24</v>
      </c>
    </row>
    <row r="18" customFormat="false" ht="31.5" hidden="false" customHeight="true" outlineLevel="0" collapsed="false">
      <c r="A18" s="13" t="n">
        <v>17</v>
      </c>
      <c r="B18" s="20" t="n">
        <f aca="false">G18-WEEKDAY(G18,3)</f>
        <v>46335</v>
      </c>
      <c r="C18" s="14" t="s">
        <v>169</v>
      </c>
      <c r="D18" s="21" t="s">
        <v>180</v>
      </c>
      <c r="E18" s="16" t="s">
        <v>181</v>
      </c>
      <c r="F18" s="15" t="n">
        <v>46364</v>
      </c>
      <c r="G18" s="15" t="n">
        <v>46341</v>
      </c>
      <c r="H18" s="17"/>
      <c r="I18" s="19"/>
      <c r="J18" s="18" t="s">
        <v>139</v>
      </c>
      <c r="K18" s="19"/>
      <c r="L18" s="13" t="n">
        <f aca="true">IF(J18="完了","",G18-TODAY())</f>
        <v>24</v>
      </c>
    </row>
    <row r="19" customFormat="false" ht="31.5" hidden="false" customHeight="true" outlineLevel="0" collapsed="false">
      <c r="A19" s="13" t="n">
        <v>18</v>
      </c>
      <c r="B19" s="20" t="n">
        <f aca="false">G19-WEEKDAY(G19,3)</f>
        <v>46335</v>
      </c>
      <c r="C19" s="14" t="s">
        <v>169</v>
      </c>
      <c r="D19" s="21" t="s">
        <v>182</v>
      </c>
      <c r="E19" s="16" t="s">
        <v>183</v>
      </c>
      <c r="F19" s="15" t="n">
        <v>46365</v>
      </c>
      <c r="G19" s="15" t="n">
        <v>46341</v>
      </c>
      <c r="H19" s="17"/>
      <c r="I19" s="19"/>
      <c r="J19" s="18" t="s">
        <v>139</v>
      </c>
      <c r="K19" s="19"/>
      <c r="L19" s="13" t="n">
        <f aca="true">IF(J19="完了","",G19-TODAY())</f>
        <v>24</v>
      </c>
    </row>
    <row r="20" customFormat="false" ht="31.5" hidden="false" customHeight="true" outlineLevel="0" collapsed="false">
      <c r="A20" s="13" t="n">
        <v>19</v>
      </c>
      <c r="B20" s="20" t="n">
        <f aca="false">G20-WEEKDAY(G20,3)</f>
        <v>46342</v>
      </c>
      <c r="C20" s="14" t="s">
        <v>169</v>
      </c>
      <c r="D20" s="21" t="s">
        <v>184</v>
      </c>
      <c r="E20" s="16" t="s">
        <v>185</v>
      </c>
      <c r="F20" s="15" t="n">
        <v>46368</v>
      </c>
      <c r="G20" s="15" t="n">
        <v>46346</v>
      </c>
      <c r="H20" s="17"/>
      <c r="I20" s="19"/>
      <c r="J20" s="18" t="s">
        <v>139</v>
      </c>
      <c r="K20" s="19"/>
      <c r="L20" s="13" t="n">
        <f aca="true">IF(J20="完了","",G20-TODAY())</f>
        <v>29</v>
      </c>
    </row>
    <row r="21" customFormat="false" ht="31.5" hidden="false" customHeight="true" outlineLevel="0" collapsed="false">
      <c r="A21" s="13" t="n">
        <v>20</v>
      </c>
      <c r="B21" s="20" t="n">
        <f aca="false">G21-WEEKDAY(G21,3)</f>
        <v>46342</v>
      </c>
      <c r="C21" s="14" t="s">
        <v>169</v>
      </c>
      <c r="D21" s="21" t="s">
        <v>186</v>
      </c>
      <c r="E21" s="16" t="s">
        <v>187</v>
      </c>
      <c r="F21" s="15" t="n">
        <v>46358</v>
      </c>
      <c r="G21" s="15" t="n">
        <v>46348</v>
      </c>
      <c r="H21" s="17"/>
      <c r="I21" s="19"/>
      <c r="J21" s="18" t="s">
        <v>139</v>
      </c>
      <c r="K21" s="19"/>
      <c r="L21" s="13" t="n">
        <f aca="true">IF(J21="完了","",G21-TODAY())</f>
        <v>31</v>
      </c>
    </row>
    <row r="22" customFormat="false" ht="31.5" hidden="false" customHeight="true" outlineLevel="0" collapsed="false">
      <c r="A22" s="13" t="n">
        <v>21</v>
      </c>
      <c r="B22" s="20" t="n">
        <f aca="false">G22-WEEKDAY(G22,3)</f>
        <v>46342</v>
      </c>
      <c r="C22" s="14" t="s">
        <v>169</v>
      </c>
      <c r="D22" s="22" t="s">
        <v>188</v>
      </c>
      <c r="E22" s="16" t="s">
        <v>189</v>
      </c>
      <c r="F22" s="15" t="n">
        <v>46369</v>
      </c>
      <c r="G22" s="15" t="n">
        <v>46348</v>
      </c>
      <c r="H22" s="17"/>
      <c r="I22" s="19"/>
      <c r="J22" s="18" t="s">
        <v>139</v>
      </c>
      <c r="K22" s="19"/>
      <c r="L22" s="13" t="n">
        <f aca="true">IF(J22="完了","",G22-TODAY())</f>
        <v>31</v>
      </c>
    </row>
    <row r="23" customFormat="false" ht="31.5" hidden="false" customHeight="true" outlineLevel="0" collapsed="false">
      <c r="A23" s="13" t="n">
        <v>22</v>
      </c>
      <c r="B23" s="20" t="n">
        <f aca="false">G23-WEEKDAY(G23,3)</f>
        <v>46342</v>
      </c>
      <c r="C23" s="14" t="s">
        <v>169</v>
      </c>
      <c r="D23" s="22" t="s">
        <v>190</v>
      </c>
      <c r="E23" s="16" t="s">
        <v>191</v>
      </c>
      <c r="F23" s="15" t="n">
        <v>46372</v>
      </c>
      <c r="G23" s="15" t="n">
        <v>46348</v>
      </c>
      <c r="H23" s="18" t="s">
        <v>192</v>
      </c>
      <c r="I23" s="19"/>
      <c r="J23" s="18" t="s">
        <v>139</v>
      </c>
      <c r="K23" s="19"/>
      <c r="L23" s="13" t="n">
        <f aca="true">IF(J23="完了","",G23-TODAY())</f>
        <v>31</v>
      </c>
    </row>
    <row r="24" customFormat="false" ht="31.5" hidden="false" customHeight="true" outlineLevel="0" collapsed="false">
      <c r="A24" s="13" t="n">
        <v>23</v>
      </c>
      <c r="B24" s="20" t="n">
        <f aca="false">G24-WEEKDAY(G24,3)</f>
        <v>46342</v>
      </c>
      <c r="C24" s="14" t="s">
        <v>169</v>
      </c>
      <c r="D24" s="21" t="s">
        <v>193</v>
      </c>
      <c r="E24" s="16" t="s">
        <v>194</v>
      </c>
      <c r="F24" s="15" t="n">
        <v>46367</v>
      </c>
      <c r="G24" s="15" t="n">
        <v>46348</v>
      </c>
      <c r="H24" s="17"/>
      <c r="I24" s="19"/>
      <c r="J24" s="18" t="s">
        <v>139</v>
      </c>
      <c r="K24" s="19"/>
      <c r="L24" s="13" t="n">
        <f aca="true">IF(J24="完了","",G24-TODAY())</f>
        <v>31</v>
      </c>
    </row>
    <row r="25" customFormat="false" ht="31.5" hidden="false" customHeight="true" outlineLevel="0" collapsed="false">
      <c r="A25" s="13" t="n">
        <v>24</v>
      </c>
      <c r="B25" s="20" t="n">
        <f aca="false">G25-WEEKDAY(G25,3)</f>
        <v>46342</v>
      </c>
      <c r="C25" s="14" t="s">
        <v>169</v>
      </c>
      <c r="D25" s="21" t="s">
        <v>195</v>
      </c>
      <c r="E25" s="16" t="s">
        <v>167</v>
      </c>
      <c r="F25" s="15" t="n">
        <v>46367</v>
      </c>
      <c r="G25" s="15" t="n">
        <v>46348</v>
      </c>
      <c r="H25" s="17"/>
      <c r="I25" s="19"/>
      <c r="J25" s="18" t="s">
        <v>139</v>
      </c>
      <c r="K25" s="19"/>
      <c r="L25" s="13" t="n">
        <f aca="true">IF(J25="完了","",G25-TODAY())</f>
        <v>31</v>
      </c>
    </row>
    <row r="26" customFormat="false" ht="31.5" hidden="false" customHeight="true" outlineLevel="0" collapsed="false">
      <c r="A26" s="13" t="n">
        <v>25</v>
      </c>
      <c r="B26" s="20" t="n">
        <f aca="false">G26-WEEKDAY(G26,3)</f>
        <v>46349</v>
      </c>
      <c r="C26" s="14" t="s">
        <v>196</v>
      </c>
      <c r="D26" s="22" t="s">
        <v>197</v>
      </c>
      <c r="E26" s="14" t="s">
        <v>198</v>
      </c>
      <c r="F26" s="15" t="n">
        <v>46365</v>
      </c>
      <c r="G26" s="15" t="n">
        <v>46351</v>
      </c>
      <c r="H26" s="17"/>
      <c r="I26" s="19"/>
      <c r="J26" s="18" t="s">
        <v>139</v>
      </c>
      <c r="K26" s="19"/>
      <c r="L26" s="13" t="n">
        <f aca="true">IF(J26="完了","",G26-TODAY())</f>
        <v>34</v>
      </c>
    </row>
    <row r="27" customFormat="false" ht="31.5" hidden="false" customHeight="true" outlineLevel="0" collapsed="false">
      <c r="A27" s="13" t="n">
        <v>26</v>
      </c>
      <c r="B27" s="20" t="n">
        <f aca="false">G27-WEEKDAY(G27,3)</f>
        <v>46349</v>
      </c>
      <c r="C27" s="14" t="s">
        <v>169</v>
      </c>
      <c r="D27" s="21" t="s">
        <v>199</v>
      </c>
      <c r="E27" s="16" t="s">
        <v>200</v>
      </c>
      <c r="F27" s="15" t="n">
        <v>46371</v>
      </c>
      <c r="G27" s="15" t="n">
        <v>46353</v>
      </c>
      <c r="H27" s="17"/>
      <c r="I27" s="19"/>
      <c r="J27" s="18" t="s">
        <v>139</v>
      </c>
      <c r="K27" s="19"/>
      <c r="L27" s="13" t="n">
        <f aca="true">IF(J27="完了","",G27-TODAY())</f>
        <v>36</v>
      </c>
    </row>
    <row r="28" customFormat="false" ht="31.5" hidden="false" customHeight="true" outlineLevel="0" collapsed="false">
      <c r="A28" s="13" t="n">
        <v>27</v>
      </c>
      <c r="B28" s="20" t="n">
        <f aca="false">G28-WEEKDAY(G28,3)</f>
        <v>46349</v>
      </c>
      <c r="C28" s="14" t="s">
        <v>196</v>
      </c>
      <c r="D28" s="21" t="s">
        <v>201</v>
      </c>
      <c r="E28" s="16" t="s">
        <v>183</v>
      </c>
      <c r="F28" s="15" t="n">
        <v>46365</v>
      </c>
      <c r="G28" s="15" t="n">
        <v>46353</v>
      </c>
      <c r="H28" s="17"/>
      <c r="I28" s="19"/>
      <c r="J28" s="18" t="s">
        <v>139</v>
      </c>
      <c r="K28" s="19"/>
      <c r="L28" s="13" t="n">
        <f aca="true">IF(J28="完了","",G28-TODAY())</f>
        <v>36</v>
      </c>
    </row>
    <row r="29" customFormat="false" ht="31.5" hidden="false" customHeight="true" outlineLevel="0" collapsed="false">
      <c r="A29" s="13" t="n">
        <v>28</v>
      </c>
      <c r="B29" s="20" t="n">
        <f aca="false">G29-WEEKDAY(G29,3)</f>
        <v>46349</v>
      </c>
      <c r="C29" s="14" t="s">
        <v>196</v>
      </c>
      <c r="D29" s="22" t="s">
        <v>202</v>
      </c>
      <c r="E29" s="16" t="s">
        <v>203</v>
      </c>
      <c r="F29" s="15" t="n">
        <v>46375</v>
      </c>
      <c r="G29" s="15" t="n">
        <v>46353</v>
      </c>
      <c r="H29" s="18" t="s">
        <v>204</v>
      </c>
      <c r="I29" s="19"/>
      <c r="J29" s="18" t="s">
        <v>139</v>
      </c>
      <c r="K29" s="19"/>
      <c r="L29" s="13" t="n">
        <f aca="true">IF(J29="完了","",G29-TODAY())</f>
        <v>36</v>
      </c>
    </row>
    <row r="30" customFormat="false" ht="31.5" hidden="false" customHeight="true" outlineLevel="0" collapsed="false">
      <c r="A30" s="13" t="n">
        <v>29</v>
      </c>
      <c r="B30" s="20" t="n">
        <f aca="false">G30-WEEKDAY(G30,3)</f>
        <v>46349</v>
      </c>
      <c r="C30" s="14" t="s">
        <v>196</v>
      </c>
      <c r="D30" s="21" t="s">
        <v>205</v>
      </c>
      <c r="E30" s="14" t="s">
        <v>206</v>
      </c>
      <c r="F30" s="15" t="n">
        <v>46365</v>
      </c>
      <c r="G30" s="15" t="n">
        <v>46353</v>
      </c>
      <c r="H30" s="17"/>
      <c r="I30" s="19"/>
      <c r="J30" s="18" t="s">
        <v>139</v>
      </c>
      <c r="K30" s="19"/>
      <c r="L30" s="13" t="n">
        <f aca="true">IF(J30="完了","",G30-TODAY())</f>
        <v>36</v>
      </c>
    </row>
    <row r="31" customFormat="false" ht="31.5" hidden="false" customHeight="true" outlineLevel="0" collapsed="false">
      <c r="A31" s="13" t="n">
        <v>30</v>
      </c>
      <c r="B31" s="20" t="n">
        <f aca="false">G31-WEEKDAY(G31,3)</f>
        <v>46349</v>
      </c>
      <c r="C31" s="14" t="s">
        <v>207</v>
      </c>
      <c r="D31" s="21" t="s">
        <v>208</v>
      </c>
      <c r="E31" s="16" t="s">
        <v>209</v>
      </c>
      <c r="F31" s="15" t="n">
        <v>46356</v>
      </c>
      <c r="G31" s="15" t="n">
        <v>46353</v>
      </c>
      <c r="H31" s="18" t="s">
        <v>210</v>
      </c>
      <c r="I31" s="19"/>
      <c r="J31" s="18" t="s">
        <v>139</v>
      </c>
      <c r="K31" s="19"/>
      <c r="L31" s="13" t="n">
        <f aca="true">IF(J31="完了","",G31-TODAY())</f>
        <v>36</v>
      </c>
    </row>
    <row r="32" customFormat="false" ht="31.5" hidden="false" customHeight="true" outlineLevel="0" collapsed="false">
      <c r="A32" s="13" t="n">
        <v>31</v>
      </c>
      <c r="B32" s="20" t="n">
        <f aca="false">G32-WEEKDAY(G32,3)</f>
        <v>46349</v>
      </c>
      <c r="C32" s="14" t="s">
        <v>207</v>
      </c>
      <c r="D32" s="22" t="s">
        <v>211</v>
      </c>
      <c r="E32" s="16" t="s">
        <v>212</v>
      </c>
      <c r="F32" s="15" t="n">
        <v>46356</v>
      </c>
      <c r="G32" s="15" t="n">
        <v>46355</v>
      </c>
      <c r="H32" s="17"/>
      <c r="I32" s="19"/>
      <c r="J32" s="18" t="s">
        <v>139</v>
      </c>
      <c r="K32" s="19"/>
      <c r="L32" s="13" t="n">
        <f aca="true">IF(J32="完了","",G32-TODAY())</f>
        <v>38</v>
      </c>
    </row>
    <row r="33" customFormat="false" ht="31.5" hidden="false" customHeight="true" outlineLevel="0" collapsed="false">
      <c r="A33" s="13" t="n">
        <v>32</v>
      </c>
      <c r="B33" s="20" t="n">
        <f aca="false">G33-WEEKDAY(G33,3)</f>
        <v>46356</v>
      </c>
      <c r="C33" s="16" t="s">
        <v>213</v>
      </c>
      <c r="D33" s="22" t="s">
        <v>214</v>
      </c>
      <c r="E33" s="16" t="s">
        <v>215</v>
      </c>
      <c r="F33" s="15" t="n">
        <v>46365</v>
      </c>
      <c r="G33" s="15" t="n">
        <v>46362</v>
      </c>
      <c r="H33" s="17"/>
      <c r="I33" s="19"/>
      <c r="J33" s="18" t="s">
        <v>139</v>
      </c>
      <c r="K33" s="19"/>
      <c r="L33" s="13" t="n">
        <f aca="true">IF(J33="完了","",G33-TODAY())</f>
        <v>45</v>
      </c>
    </row>
    <row r="34" customFormat="false" ht="31.5" hidden="false" customHeight="true" outlineLevel="0" collapsed="false">
      <c r="A34" s="13" t="n">
        <v>33</v>
      </c>
      <c r="B34" s="20" t="n">
        <f aca="false">G34-WEEKDAY(G34,3)</f>
        <v>46363</v>
      </c>
      <c r="C34" s="16" t="s">
        <v>213</v>
      </c>
      <c r="D34" s="21" t="s">
        <v>216</v>
      </c>
      <c r="E34" s="16" t="s">
        <v>217</v>
      </c>
      <c r="F34" s="15" t="n">
        <v>46375</v>
      </c>
      <c r="G34" s="15" t="n">
        <v>46368</v>
      </c>
      <c r="H34" s="17"/>
      <c r="I34" s="19"/>
      <c r="J34" s="18" t="s">
        <v>139</v>
      </c>
      <c r="K34" s="19"/>
      <c r="L34" s="13" t="n">
        <f aca="true">IF(J34="完了","",G34-TODAY())</f>
        <v>51</v>
      </c>
    </row>
    <row r="35" customFormat="false" ht="31.5" hidden="false" customHeight="true" outlineLevel="0" collapsed="false">
      <c r="A35" s="13" t="n">
        <v>34</v>
      </c>
      <c r="B35" s="20" t="n">
        <f aca="false">G35-WEEKDAY(G35,3)</f>
        <v>46370</v>
      </c>
      <c r="C35" s="16" t="s">
        <v>213</v>
      </c>
      <c r="D35" s="22" t="s">
        <v>218</v>
      </c>
      <c r="E35" s="14" t="s">
        <v>219</v>
      </c>
      <c r="F35" s="15" t="n">
        <v>46375</v>
      </c>
      <c r="G35" s="15" t="n">
        <v>46372</v>
      </c>
      <c r="H35" s="17"/>
      <c r="I35" s="19"/>
      <c r="J35" s="18" t="s">
        <v>139</v>
      </c>
      <c r="K35" s="19"/>
      <c r="L35" s="13" t="n">
        <f aca="true">IF(J35="完了","",G35-TODAY())</f>
        <v>55</v>
      </c>
    </row>
    <row r="36" customFormat="false" ht="31.5" hidden="false" customHeight="true" outlineLevel="0" collapsed="false">
      <c r="A36" s="13" t="n">
        <v>35</v>
      </c>
      <c r="B36" s="20" t="n">
        <f aca="false">G36-WEEKDAY(G36,3)</f>
        <v>46370</v>
      </c>
      <c r="C36" s="16" t="s">
        <v>213</v>
      </c>
      <c r="D36" s="21" t="s">
        <v>220</v>
      </c>
      <c r="E36" s="16" t="s">
        <v>221</v>
      </c>
      <c r="F36" s="15" t="n">
        <v>46375</v>
      </c>
      <c r="G36" s="15" t="n">
        <v>46372</v>
      </c>
      <c r="H36" s="17"/>
      <c r="I36" s="19"/>
      <c r="J36" s="18" t="s">
        <v>139</v>
      </c>
      <c r="K36" s="19"/>
      <c r="L36" s="13" t="n">
        <f aca="true">IF(J36="完了","",G36-TODAY())</f>
        <v>55</v>
      </c>
    </row>
    <row r="37" customFormat="false" ht="31.5" hidden="false" customHeight="true" outlineLevel="0" collapsed="false">
      <c r="A37" s="13" t="n">
        <v>36</v>
      </c>
      <c r="B37" s="20" t="n">
        <f aca="false">G37-WEEKDAY(G37,3)</f>
        <v>46370</v>
      </c>
      <c r="C37" s="16" t="s">
        <v>213</v>
      </c>
      <c r="D37" s="22" t="s">
        <v>222</v>
      </c>
      <c r="E37" s="16" t="s">
        <v>223</v>
      </c>
      <c r="F37" s="15" t="n">
        <v>46375</v>
      </c>
      <c r="G37" s="15" t="n">
        <v>46372</v>
      </c>
      <c r="H37" s="17"/>
      <c r="I37" s="19"/>
      <c r="J37" s="18" t="s">
        <v>139</v>
      </c>
      <c r="K37" s="19"/>
      <c r="L37" s="13" t="n">
        <f aca="true">IF(J37="完了","",G37-TODAY())</f>
        <v>55</v>
      </c>
    </row>
    <row r="38" customFormat="false" ht="31.5" hidden="false" customHeight="true" outlineLevel="0" collapsed="false">
      <c r="A38" s="13" t="n">
        <v>37</v>
      </c>
      <c r="B38" s="20" t="n">
        <f aca="false">G38-WEEKDAY(G38,3)</f>
        <v>46370</v>
      </c>
      <c r="C38" s="16" t="s">
        <v>213</v>
      </c>
      <c r="D38" s="21" t="s">
        <v>224</v>
      </c>
      <c r="E38" s="16" t="s">
        <v>217</v>
      </c>
      <c r="F38" s="15" t="n">
        <v>46375</v>
      </c>
      <c r="G38" s="15" t="n">
        <v>46373</v>
      </c>
      <c r="H38" s="17" t="s">
        <v>225</v>
      </c>
      <c r="I38" s="19"/>
      <c r="J38" s="18" t="s">
        <v>139</v>
      </c>
      <c r="K38" s="19"/>
      <c r="L38" s="13" t="n">
        <f aca="true">IF(J38="完了","",G38-TODAY())</f>
        <v>56</v>
      </c>
    </row>
  </sheetData>
  <autoFilter ref="A1:L38"/>
  <conditionalFormatting sqref="A2:L38">
    <cfRule type="expression" priority="2" aboveAverage="0" equalAverage="0" bottom="0" percent="0" rank="0" text="" dxfId="6">
      <formula>$J2="完了"</formula>
    </cfRule>
    <cfRule type="expression" priority="3" aboveAverage="0" equalAverage="0" bottom="0" percent="0" rank="0" text="" dxfId="7">
      <formula>AND($J2&lt;&gt;"完了",$G2&lt;TODAY())</formula>
    </cfRule>
    <cfRule type="expression" priority="4" aboveAverage="0" equalAverage="0" bottom="0" percent="0" rank="0" text="" dxfId="8">
      <formula>AND($J2&lt;&gt;"完了",$G2-TODAY()&lt;=3,$G2&gt;=TODAY())</formula>
    </cfRule>
  </conditionalFormatting>
  <dataValidations count="1">
    <dataValidation allowBlank="true" errorStyle="stop" operator="between" showDropDown="false" showErrorMessage="false" showInputMessage="false" sqref="J2:J38" type="list">
      <formula1>"未着手,進行中,完了,保留"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9" t="s">
        <v>23</v>
      </c>
      <c r="B1" s="9" t="s">
        <v>226</v>
      </c>
      <c r="C1" s="9" t="s">
        <v>227</v>
      </c>
      <c r="D1" s="9" t="s">
        <v>228</v>
      </c>
    </row>
    <row r="2" customFormat="false" ht="26.85" hidden="false" customHeight="false" outlineLevel="0" collapsed="false">
      <c r="A2" s="23" t="s">
        <v>37</v>
      </c>
      <c r="B2" s="24" t="s">
        <v>229</v>
      </c>
      <c r="C2" s="24" t="s">
        <v>230</v>
      </c>
      <c r="D2" s="13" t="s">
        <v>231</v>
      </c>
    </row>
    <row r="3" customFormat="false" ht="26.85" hidden="false" customHeight="false" outlineLevel="0" collapsed="false">
      <c r="A3" s="23" t="s">
        <v>46</v>
      </c>
      <c r="B3" s="24" t="s">
        <v>232</v>
      </c>
      <c r="C3" s="24" t="s">
        <v>233</v>
      </c>
      <c r="D3" s="13" t="s">
        <v>234</v>
      </c>
    </row>
    <row r="4" customFormat="false" ht="15" hidden="false" customHeight="false" outlineLevel="0" collapsed="false">
      <c r="A4" s="23" t="s">
        <v>51</v>
      </c>
      <c r="B4" s="24" t="s">
        <v>235</v>
      </c>
      <c r="C4" s="24" t="s">
        <v>236</v>
      </c>
      <c r="D4" s="24" t="s">
        <v>237</v>
      </c>
    </row>
    <row r="5" customFormat="false" ht="26.85" hidden="false" customHeight="false" outlineLevel="0" collapsed="false">
      <c r="A5" s="23" t="s">
        <v>53</v>
      </c>
      <c r="B5" s="24" t="s">
        <v>238</v>
      </c>
      <c r="C5" s="24" t="s">
        <v>239</v>
      </c>
      <c r="D5" s="24" t="s">
        <v>54</v>
      </c>
    </row>
    <row r="6" customFormat="false" ht="26.85" hidden="false" customHeight="false" outlineLevel="0" collapsed="false">
      <c r="A6" s="23" t="s">
        <v>55</v>
      </c>
      <c r="B6" s="24" t="s">
        <v>240</v>
      </c>
      <c r="C6" s="24" t="s">
        <v>241</v>
      </c>
      <c r="D6" s="24" t="s">
        <v>242</v>
      </c>
    </row>
    <row r="7" customFormat="false" ht="26.85" hidden="false" customHeight="false" outlineLevel="0" collapsed="false">
      <c r="A7" s="23" t="s">
        <v>58</v>
      </c>
      <c r="B7" s="24" t="s">
        <v>243</v>
      </c>
      <c r="C7" s="24" t="s">
        <v>244</v>
      </c>
      <c r="D7" s="13" t="s">
        <v>245</v>
      </c>
    </row>
    <row r="8" customFormat="false" ht="26.85" hidden="false" customHeight="false" outlineLevel="0" collapsed="false">
      <c r="A8" s="23" t="s">
        <v>61</v>
      </c>
      <c r="B8" s="24" t="s">
        <v>246</v>
      </c>
      <c r="C8" s="24" t="s">
        <v>247</v>
      </c>
      <c r="D8" s="13" t="s">
        <v>248</v>
      </c>
    </row>
    <row r="9" customFormat="false" ht="26.85" hidden="false" customHeight="false" outlineLevel="0" collapsed="false">
      <c r="A9" s="23" t="s">
        <v>49</v>
      </c>
      <c r="B9" s="24" t="s">
        <v>249</v>
      </c>
      <c r="C9" s="24" t="s">
        <v>250</v>
      </c>
      <c r="D9" s="24" t="s">
        <v>251</v>
      </c>
    </row>
    <row r="10" customFormat="false" ht="26.85" hidden="false" customHeight="false" outlineLevel="0" collapsed="false">
      <c r="A10" s="23" t="s">
        <v>67</v>
      </c>
      <c r="B10" s="24" t="s">
        <v>252</v>
      </c>
      <c r="C10" s="24" t="s">
        <v>253</v>
      </c>
      <c r="D10" s="24" t="s">
        <v>254</v>
      </c>
    </row>
    <row r="11" customFormat="false" ht="15" hidden="false" customHeight="false" outlineLevel="0" collapsed="false">
      <c r="A11" s="23" t="s">
        <v>84</v>
      </c>
      <c r="B11" s="24" t="s">
        <v>255</v>
      </c>
      <c r="C11" s="24" t="s">
        <v>256</v>
      </c>
      <c r="D11" s="24" t="s">
        <v>257</v>
      </c>
    </row>
    <row r="12" customFormat="false" ht="15" hidden="false" customHeight="false" outlineLevel="0" collapsed="false">
      <c r="A12" s="23" t="s">
        <v>79</v>
      </c>
      <c r="B12" s="24" t="s">
        <v>258</v>
      </c>
      <c r="C12" s="24" t="s">
        <v>259</v>
      </c>
      <c r="D12" s="24" t="s">
        <v>260</v>
      </c>
    </row>
    <row r="13" customFormat="false" ht="26.85" hidden="false" customHeight="false" outlineLevel="0" collapsed="false">
      <c r="A13" s="23" t="s">
        <v>90</v>
      </c>
      <c r="B13" s="24" t="s">
        <v>261</v>
      </c>
      <c r="C13" s="24" t="s">
        <v>262</v>
      </c>
      <c r="D13" s="13" t="s">
        <v>263</v>
      </c>
    </row>
    <row r="14" customFormat="false" ht="26.85" hidden="false" customHeight="false" outlineLevel="0" collapsed="false">
      <c r="A14" s="23" t="s">
        <v>95</v>
      </c>
      <c r="B14" s="24" t="s">
        <v>264</v>
      </c>
      <c r="C14" s="24" t="s">
        <v>265</v>
      </c>
      <c r="D14" s="24" t="s">
        <v>266</v>
      </c>
    </row>
    <row r="15" customFormat="false" ht="15" hidden="false" customHeight="false" outlineLevel="0" collapsed="false">
      <c r="A15" s="23" t="s">
        <v>102</v>
      </c>
      <c r="B15" s="13" t="s">
        <v>267</v>
      </c>
      <c r="C15" s="24" t="s">
        <v>268</v>
      </c>
      <c r="D15" s="13" t="s">
        <v>105</v>
      </c>
    </row>
    <row r="16" customFormat="false" ht="26.85" hidden="false" customHeight="false" outlineLevel="0" collapsed="false">
      <c r="A16" s="23" t="s">
        <v>108</v>
      </c>
      <c r="B16" s="24" t="s">
        <v>269</v>
      </c>
      <c r="C16" s="24" t="s">
        <v>270</v>
      </c>
      <c r="D16" s="24" t="s">
        <v>271</v>
      </c>
    </row>
    <row r="17" customFormat="false" ht="26.85" hidden="false" customHeight="false" outlineLevel="0" collapsed="false">
      <c r="A17" s="23" t="s">
        <v>120</v>
      </c>
      <c r="B17" s="24" t="s">
        <v>272</v>
      </c>
      <c r="C17" s="24" t="s">
        <v>273</v>
      </c>
      <c r="D17" s="24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50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9" t="s">
        <v>275</v>
      </c>
      <c r="B1" s="9" t="s">
        <v>276</v>
      </c>
      <c r="C1" s="9" t="s">
        <v>277</v>
      </c>
      <c r="D1" s="9" t="s">
        <v>44</v>
      </c>
      <c r="E1" s="9" t="s">
        <v>278</v>
      </c>
    </row>
    <row r="2" customFormat="false" ht="15" hidden="false" customHeight="false" outlineLevel="0" collapsed="false">
      <c r="A2" s="24" t="s">
        <v>279</v>
      </c>
      <c r="B2" s="23" t="s">
        <v>280</v>
      </c>
      <c r="C2" s="17"/>
      <c r="D2" s="12" t="s">
        <v>281</v>
      </c>
      <c r="E2" s="13" t="s">
        <v>282</v>
      </c>
    </row>
    <row r="3" customFormat="false" ht="15" hidden="false" customHeight="false" outlineLevel="0" collapsed="false">
      <c r="A3" s="24" t="s">
        <v>279</v>
      </c>
      <c r="B3" s="23" t="s">
        <v>283</v>
      </c>
      <c r="C3" s="17"/>
      <c r="D3" s="10" t="s">
        <v>284</v>
      </c>
      <c r="E3" s="24" t="s">
        <v>285</v>
      </c>
    </row>
    <row r="4" customFormat="false" ht="26.85" hidden="false" customHeight="false" outlineLevel="0" collapsed="false">
      <c r="A4" s="24" t="s">
        <v>279</v>
      </c>
      <c r="B4" s="23" t="s">
        <v>286</v>
      </c>
      <c r="C4" s="17"/>
      <c r="D4" s="10" t="s">
        <v>287</v>
      </c>
      <c r="E4" s="24" t="s">
        <v>288</v>
      </c>
    </row>
    <row r="5" customFormat="false" ht="15" hidden="false" customHeight="false" outlineLevel="0" collapsed="false">
      <c r="A5" s="24" t="s">
        <v>279</v>
      </c>
      <c r="B5" s="23" t="s">
        <v>289</v>
      </c>
      <c r="C5" s="17"/>
      <c r="D5" s="10" t="s">
        <v>290</v>
      </c>
      <c r="E5" s="24" t="s">
        <v>291</v>
      </c>
    </row>
    <row r="6" customFormat="false" ht="15" hidden="false" customHeight="false" outlineLevel="0" collapsed="false">
      <c r="A6" s="24" t="s">
        <v>279</v>
      </c>
      <c r="B6" s="23" t="s">
        <v>292</v>
      </c>
      <c r="C6" s="17"/>
      <c r="D6" s="10" t="s">
        <v>293</v>
      </c>
      <c r="E6" s="24" t="s">
        <v>294</v>
      </c>
    </row>
    <row r="7" customFormat="false" ht="26.85" hidden="false" customHeight="false" outlineLevel="0" collapsed="false">
      <c r="A7" s="24" t="s">
        <v>295</v>
      </c>
      <c r="B7" s="23" t="s">
        <v>296</v>
      </c>
      <c r="C7" s="17"/>
      <c r="D7" s="12" t="s">
        <v>297</v>
      </c>
      <c r="E7" s="13"/>
    </row>
    <row r="8" customFormat="false" ht="15" hidden="false" customHeight="false" outlineLevel="0" collapsed="false">
      <c r="A8" s="24" t="s">
        <v>295</v>
      </c>
      <c r="B8" s="23" t="s">
        <v>298</v>
      </c>
      <c r="C8" s="17" t="s">
        <v>299</v>
      </c>
      <c r="D8" s="12" t="s">
        <v>299</v>
      </c>
      <c r="E8" s="13"/>
    </row>
    <row r="9" customFormat="false" ht="15" hidden="false" customHeight="false" outlineLevel="0" collapsed="false">
      <c r="A9" s="24" t="s">
        <v>295</v>
      </c>
      <c r="B9" s="23" t="s">
        <v>300</v>
      </c>
      <c r="C9" s="17" t="s">
        <v>301</v>
      </c>
      <c r="D9" s="12" t="s">
        <v>301</v>
      </c>
      <c r="E9" s="13"/>
    </row>
    <row r="10" customFormat="false" ht="15" hidden="false" customHeight="false" outlineLevel="0" collapsed="false">
      <c r="A10" s="24" t="s">
        <v>295</v>
      </c>
      <c r="B10" s="23" t="s">
        <v>302</v>
      </c>
      <c r="C10" s="17"/>
      <c r="D10" s="10" t="s">
        <v>303</v>
      </c>
      <c r="E10" s="13"/>
    </row>
    <row r="11" customFormat="false" ht="15" hidden="false" customHeight="false" outlineLevel="0" collapsed="false">
      <c r="A11" s="24" t="s">
        <v>295</v>
      </c>
      <c r="B11" s="23" t="s">
        <v>304</v>
      </c>
      <c r="C11" s="17"/>
      <c r="D11" s="12" t="s">
        <v>305</v>
      </c>
      <c r="E11" s="13"/>
    </row>
    <row r="12" customFormat="false" ht="26.85" hidden="false" customHeight="false" outlineLevel="0" collapsed="false">
      <c r="A12" s="24" t="s">
        <v>295</v>
      </c>
      <c r="B12" s="23" t="s">
        <v>306</v>
      </c>
      <c r="C12" s="17"/>
      <c r="D12" s="10" t="s">
        <v>307</v>
      </c>
      <c r="E12" s="24" t="s">
        <v>308</v>
      </c>
    </row>
    <row r="13" customFormat="false" ht="77.6" hidden="false" customHeight="false" outlineLevel="0" collapsed="false">
      <c r="A13" s="24" t="s">
        <v>295</v>
      </c>
      <c r="B13" s="23" t="s">
        <v>309</v>
      </c>
      <c r="C13" s="17"/>
      <c r="D13" s="10" t="s">
        <v>310</v>
      </c>
      <c r="E13" s="13" t="s">
        <v>311</v>
      </c>
    </row>
    <row r="14" customFormat="false" ht="52.2" hidden="false" customHeight="false" outlineLevel="0" collapsed="false">
      <c r="A14" s="24" t="s">
        <v>295</v>
      </c>
      <c r="B14" s="23" t="s">
        <v>312</v>
      </c>
      <c r="C14" s="17"/>
      <c r="D14" s="10" t="s">
        <v>313</v>
      </c>
      <c r="E14" s="13"/>
    </row>
    <row r="15" customFormat="false" ht="15" hidden="false" customHeight="false" outlineLevel="0" collapsed="false">
      <c r="A15" s="24" t="s">
        <v>295</v>
      </c>
      <c r="B15" s="23" t="s">
        <v>314</v>
      </c>
      <c r="C15" s="17"/>
      <c r="D15" s="12"/>
      <c r="E15" s="24" t="s">
        <v>315</v>
      </c>
    </row>
    <row r="16" customFormat="false" ht="15" hidden="false" customHeight="false" outlineLevel="0" collapsed="false">
      <c r="A16" s="24" t="s">
        <v>295</v>
      </c>
      <c r="B16" s="23" t="s">
        <v>316</v>
      </c>
      <c r="C16" s="17"/>
      <c r="D16" s="10" t="s">
        <v>317</v>
      </c>
      <c r="E16" s="24" t="s">
        <v>318</v>
      </c>
    </row>
    <row r="17" customFormat="false" ht="15" hidden="false" customHeight="false" outlineLevel="0" collapsed="false">
      <c r="A17" s="24" t="s">
        <v>319</v>
      </c>
      <c r="B17" s="23" t="s">
        <v>320</v>
      </c>
      <c r="C17" s="17" t="s">
        <v>321</v>
      </c>
      <c r="D17" s="12" t="s">
        <v>321</v>
      </c>
      <c r="E17" s="13"/>
    </row>
    <row r="18" customFormat="false" ht="15" hidden="false" customHeight="false" outlineLevel="0" collapsed="false">
      <c r="A18" s="24" t="s">
        <v>319</v>
      </c>
      <c r="B18" s="23" t="s">
        <v>322</v>
      </c>
      <c r="C18" s="17" t="s">
        <v>323</v>
      </c>
      <c r="D18" s="12" t="s">
        <v>323</v>
      </c>
      <c r="E18" s="13"/>
    </row>
    <row r="19" customFormat="false" ht="15" hidden="false" customHeight="false" outlineLevel="0" collapsed="false">
      <c r="A19" s="24" t="s">
        <v>319</v>
      </c>
      <c r="B19" s="23" t="s">
        <v>324</v>
      </c>
      <c r="C19" s="17" t="s">
        <v>325</v>
      </c>
      <c r="D19" s="12" t="s">
        <v>325</v>
      </c>
      <c r="E19" s="13"/>
    </row>
    <row r="20" customFormat="false" ht="15" hidden="false" customHeight="false" outlineLevel="0" collapsed="false">
      <c r="A20" s="24" t="s">
        <v>326</v>
      </c>
      <c r="B20" s="23" t="s">
        <v>327</v>
      </c>
      <c r="C20" s="17"/>
      <c r="D20" s="12" t="s">
        <v>328</v>
      </c>
      <c r="E20" s="13"/>
    </row>
    <row r="21" customFormat="false" ht="15" hidden="false" customHeight="false" outlineLevel="0" collapsed="false">
      <c r="A21" s="24" t="s">
        <v>326</v>
      </c>
      <c r="B21" s="23" t="s">
        <v>329</v>
      </c>
      <c r="C21" s="17"/>
      <c r="D21" s="12" t="s">
        <v>330</v>
      </c>
      <c r="E21" s="13"/>
    </row>
    <row r="22" customFormat="false" ht="15" hidden="false" customHeight="false" outlineLevel="0" collapsed="false">
      <c r="A22" s="24" t="s">
        <v>326</v>
      </c>
      <c r="B22" s="23" t="s">
        <v>331</v>
      </c>
      <c r="C22" s="17"/>
      <c r="D22" s="12" t="s">
        <v>328</v>
      </c>
      <c r="E22" s="13"/>
    </row>
    <row r="23" customFormat="false" ht="15" hidden="false" customHeight="false" outlineLevel="0" collapsed="false">
      <c r="A23" s="24" t="s">
        <v>326</v>
      </c>
      <c r="B23" s="23" t="s">
        <v>332</v>
      </c>
      <c r="C23" s="17"/>
      <c r="D23" s="12" t="s">
        <v>328</v>
      </c>
      <c r="E23" s="13"/>
    </row>
    <row r="24" customFormat="false" ht="15" hidden="false" customHeight="false" outlineLevel="0" collapsed="false">
      <c r="A24" s="24" t="s">
        <v>326</v>
      </c>
      <c r="B24" s="25" t="s">
        <v>333</v>
      </c>
      <c r="C24" s="17"/>
      <c r="D24" s="12" t="s">
        <v>328</v>
      </c>
      <c r="E24" s="13"/>
    </row>
    <row r="25" customFormat="false" ht="15" hidden="false" customHeight="false" outlineLevel="0" collapsed="false">
      <c r="A25" s="24" t="s">
        <v>326</v>
      </c>
      <c r="B25" s="25" t="s">
        <v>334</v>
      </c>
      <c r="C25" s="17"/>
      <c r="D25" s="12" t="s">
        <v>328</v>
      </c>
      <c r="E25" s="13"/>
    </row>
    <row r="26" customFormat="false" ht="15" hidden="false" customHeight="false" outlineLevel="0" collapsed="false">
      <c r="A26" s="24" t="s">
        <v>335</v>
      </c>
      <c r="B26" s="23" t="s">
        <v>336</v>
      </c>
      <c r="C26" s="17"/>
      <c r="D26" s="10" t="s">
        <v>337</v>
      </c>
      <c r="E26" s="24" t="s">
        <v>338</v>
      </c>
    </row>
    <row r="27" customFormat="false" ht="15" hidden="false" customHeight="false" outlineLevel="0" collapsed="false">
      <c r="A27" s="24" t="s">
        <v>335</v>
      </c>
      <c r="B27" s="23" t="s">
        <v>339</v>
      </c>
      <c r="C27" s="17"/>
      <c r="D27" s="12"/>
      <c r="E2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9" t="s">
        <v>340</v>
      </c>
      <c r="B1" s="8" t="s">
        <v>17</v>
      </c>
      <c r="C1" s="9" t="s">
        <v>341</v>
      </c>
      <c r="D1" s="9" t="s">
        <v>342</v>
      </c>
      <c r="E1" s="9" t="s">
        <v>343</v>
      </c>
      <c r="F1" s="9" t="s">
        <v>344</v>
      </c>
      <c r="G1" s="9" t="s">
        <v>345</v>
      </c>
    </row>
    <row r="2" customFormat="false" ht="15" hidden="false" customHeight="false" outlineLevel="0" collapsed="false">
      <c r="A2" s="10" t="s">
        <v>33</v>
      </c>
      <c r="B2" s="10" t="s">
        <v>33</v>
      </c>
      <c r="C2" s="12" t="s">
        <v>346</v>
      </c>
      <c r="D2" s="12" t="s">
        <v>347</v>
      </c>
      <c r="E2" s="12" t="s">
        <v>348</v>
      </c>
      <c r="F2" s="12"/>
      <c r="G2" s="12"/>
    </row>
    <row r="3" customFormat="false" ht="26.85" hidden="false" customHeight="false" outlineLevel="0" collapsed="false">
      <c r="A3" s="14" t="s">
        <v>349</v>
      </c>
      <c r="B3" s="16" t="n">
        <v>1</v>
      </c>
      <c r="C3" s="14" t="s">
        <v>350</v>
      </c>
      <c r="D3" s="18" t="s">
        <v>351</v>
      </c>
      <c r="E3" s="14" t="s">
        <v>352</v>
      </c>
      <c r="F3" s="16" t="s">
        <v>353</v>
      </c>
      <c r="G3" s="17"/>
    </row>
    <row r="4" customFormat="false" ht="26.85" hidden="false" customHeight="false" outlineLevel="0" collapsed="false">
      <c r="A4" s="14" t="s">
        <v>349</v>
      </c>
      <c r="B4" s="16" t="n">
        <v>2</v>
      </c>
      <c r="C4" s="14" t="s">
        <v>354</v>
      </c>
      <c r="D4" s="18" t="s">
        <v>355</v>
      </c>
      <c r="E4" s="14" t="s">
        <v>352</v>
      </c>
      <c r="F4" s="16" t="s">
        <v>356</v>
      </c>
      <c r="G4" s="17"/>
    </row>
    <row r="5" customFormat="false" ht="26.85" hidden="false" customHeight="false" outlineLevel="0" collapsed="false">
      <c r="A5" s="14" t="s">
        <v>349</v>
      </c>
      <c r="B5" s="16" t="n">
        <v>3</v>
      </c>
      <c r="C5" s="14" t="s">
        <v>357</v>
      </c>
      <c r="D5" s="18" t="s">
        <v>358</v>
      </c>
      <c r="E5" s="14" t="s">
        <v>352</v>
      </c>
      <c r="F5" s="16" t="s">
        <v>359</v>
      </c>
      <c r="G5" s="17"/>
    </row>
    <row r="6" customFormat="false" ht="26.85" hidden="false" customHeight="false" outlineLevel="0" collapsed="false">
      <c r="A6" s="14" t="s">
        <v>349</v>
      </c>
      <c r="B6" s="16" t="n">
        <v>4</v>
      </c>
      <c r="C6" s="14" t="s">
        <v>360</v>
      </c>
      <c r="D6" s="18" t="s">
        <v>361</v>
      </c>
      <c r="E6" s="14" t="s">
        <v>352</v>
      </c>
      <c r="F6" s="16" t="s">
        <v>362</v>
      </c>
      <c r="G6" s="17"/>
    </row>
    <row r="7" customFormat="false" ht="26.85" hidden="false" customHeight="false" outlineLevel="0" collapsed="false">
      <c r="A7" s="14" t="s">
        <v>349</v>
      </c>
      <c r="B7" s="16" t="n">
        <v>5</v>
      </c>
      <c r="C7" s="14" t="s">
        <v>363</v>
      </c>
      <c r="D7" s="18" t="s">
        <v>364</v>
      </c>
      <c r="E7" s="14" t="s">
        <v>352</v>
      </c>
      <c r="F7" s="16" t="s">
        <v>362</v>
      </c>
      <c r="G7" s="17"/>
    </row>
    <row r="8" customFormat="false" ht="15" hidden="false" customHeight="false" outlineLevel="0" collapsed="false">
      <c r="A8" s="14" t="s">
        <v>349</v>
      </c>
      <c r="B8" s="16" t="n">
        <v>6</v>
      </c>
      <c r="C8" s="14" t="s">
        <v>365</v>
      </c>
      <c r="D8" s="18" t="s">
        <v>366</v>
      </c>
      <c r="E8" s="14" t="s">
        <v>352</v>
      </c>
      <c r="F8" s="16" t="s">
        <v>362</v>
      </c>
      <c r="G8" s="17"/>
    </row>
    <row r="9" customFormat="false" ht="39.55" hidden="false" customHeight="false" outlineLevel="0" collapsed="false">
      <c r="A9" s="14" t="s">
        <v>367</v>
      </c>
      <c r="B9" s="16" t="n">
        <v>1</v>
      </c>
      <c r="C9" s="17" t="s">
        <v>368</v>
      </c>
      <c r="D9" s="18" t="s">
        <v>369</v>
      </c>
      <c r="E9" s="18" t="s">
        <v>370</v>
      </c>
      <c r="F9" s="13" t="s">
        <v>371</v>
      </c>
      <c r="G9" s="17"/>
    </row>
    <row r="10" customFormat="false" ht="39.55" hidden="false" customHeight="false" outlineLevel="0" collapsed="false">
      <c r="A10" s="14" t="s">
        <v>367</v>
      </c>
      <c r="B10" s="16" t="n">
        <v>2</v>
      </c>
      <c r="C10" s="18" t="s">
        <v>372</v>
      </c>
      <c r="D10" s="18" t="s">
        <v>373</v>
      </c>
      <c r="E10" s="18" t="s">
        <v>370</v>
      </c>
      <c r="F10" s="13" t="s">
        <v>371</v>
      </c>
      <c r="G10" s="17"/>
    </row>
    <row r="11" customFormat="false" ht="26.85" hidden="false" customHeight="false" outlineLevel="0" collapsed="false">
      <c r="A11" s="14" t="s">
        <v>367</v>
      </c>
      <c r="B11" s="16" t="n">
        <v>3</v>
      </c>
      <c r="C11" s="18" t="s">
        <v>374</v>
      </c>
      <c r="D11" s="18" t="s">
        <v>375</v>
      </c>
      <c r="E11" s="17" t="s">
        <v>348</v>
      </c>
      <c r="F11" s="13" t="s">
        <v>371</v>
      </c>
      <c r="G11" s="17"/>
    </row>
    <row r="12" customFormat="false" ht="26.85" hidden="false" customHeight="false" outlineLevel="0" collapsed="false">
      <c r="A12" s="14" t="s">
        <v>367</v>
      </c>
      <c r="B12" s="16" t="n">
        <v>4</v>
      </c>
      <c r="C12" s="18" t="s">
        <v>376</v>
      </c>
      <c r="D12" s="18" t="s">
        <v>377</v>
      </c>
      <c r="E12" s="17" t="s">
        <v>348</v>
      </c>
      <c r="F12" s="13" t="s">
        <v>371</v>
      </c>
      <c r="G12" s="17"/>
    </row>
    <row r="13" customFormat="false" ht="26.85" hidden="false" customHeight="false" outlineLevel="0" collapsed="false">
      <c r="A13" s="14" t="s">
        <v>367</v>
      </c>
      <c r="B13" s="16" t="n">
        <v>5</v>
      </c>
      <c r="C13" s="18" t="s">
        <v>378</v>
      </c>
      <c r="D13" s="18" t="s">
        <v>379</v>
      </c>
      <c r="E13" s="18" t="s">
        <v>370</v>
      </c>
      <c r="F13" s="13" t="s">
        <v>371</v>
      </c>
      <c r="G13" s="17"/>
    </row>
    <row r="14" customFormat="false" ht="39.55" hidden="false" customHeight="false" outlineLevel="0" collapsed="false">
      <c r="A14" s="14" t="s">
        <v>367</v>
      </c>
      <c r="B14" s="16" t="n">
        <v>6</v>
      </c>
      <c r="C14" s="18" t="s">
        <v>380</v>
      </c>
      <c r="D14" s="18" t="s">
        <v>381</v>
      </c>
      <c r="E14" s="18" t="s">
        <v>370</v>
      </c>
      <c r="F14" s="13" t="s">
        <v>371</v>
      </c>
      <c r="G14" s="17"/>
    </row>
    <row r="15" customFormat="false" ht="39.55" hidden="false" customHeight="false" outlineLevel="0" collapsed="false">
      <c r="A15" s="14" t="s">
        <v>367</v>
      </c>
      <c r="B15" s="16" t="n">
        <v>7</v>
      </c>
      <c r="C15" s="18" t="s">
        <v>382</v>
      </c>
      <c r="D15" s="18" t="s">
        <v>383</v>
      </c>
      <c r="E15" s="17" t="s">
        <v>348</v>
      </c>
      <c r="F15" s="13" t="s">
        <v>371</v>
      </c>
      <c r="G15" s="17"/>
    </row>
    <row r="16" customFormat="false" ht="26.85" hidden="false" customHeight="false" outlineLevel="0" collapsed="false">
      <c r="A16" s="14" t="s">
        <v>367</v>
      </c>
      <c r="B16" s="16" t="n">
        <v>8</v>
      </c>
      <c r="C16" s="18" t="s">
        <v>384</v>
      </c>
      <c r="D16" s="18" t="s">
        <v>385</v>
      </c>
      <c r="E16" s="18" t="s">
        <v>370</v>
      </c>
      <c r="F16" s="13" t="s">
        <v>371</v>
      </c>
      <c r="G16" s="17"/>
    </row>
    <row r="17" customFormat="false" ht="26.85" hidden="false" customHeight="false" outlineLevel="0" collapsed="false">
      <c r="A17" s="14" t="s">
        <v>367</v>
      </c>
      <c r="B17" s="16" t="n">
        <v>9</v>
      </c>
      <c r="C17" s="18" t="s">
        <v>386</v>
      </c>
      <c r="D17" s="18" t="s">
        <v>387</v>
      </c>
      <c r="E17" s="18" t="s">
        <v>370</v>
      </c>
      <c r="F17" s="13" t="s">
        <v>371</v>
      </c>
      <c r="G17" s="17"/>
    </row>
    <row r="18" customFormat="false" ht="39.55" hidden="false" customHeight="false" outlineLevel="0" collapsed="false">
      <c r="A18" s="14" t="s">
        <v>367</v>
      </c>
      <c r="B18" s="16" t="n">
        <v>10</v>
      </c>
      <c r="C18" s="18" t="s">
        <v>388</v>
      </c>
      <c r="D18" s="18" t="s">
        <v>389</v>
      </c>
      <c r="E18" s="18" t="s">
        <v>370</v>
      </c>
      <c r="F18" s="13" t="s">
        <v>371</v>
      </c>
      <c r="G18" s="17"/>
    </row>
    <row r="19" customFormat="false" ht="26.85" hidden="false" customHeight="false" outlineLevel="0" collapsed="false">
      <c r="A19" s="14" t="s">
        <v>367</v>
      </c>
      <c r="B19" s="16" t="n">
        <v>11</v>
      </c>
      <c r="C19" s="18" t="s">
        <v>390</v>
      </c>
      <c r="D19" s="18" t="s">
        <v>391</v>
      </c>
      <c r="E19" s="17" t="s">
        <v>348</v>
      </c>
      <c r="F19" s="13" t="s">
        <v>371</v>
      </c>
      <c r="G19" s="17"/>
    </row>
    <row r="20" customFormat="false" ht="26.85" hidden="false" customHeight="false" outlineLevel="0" collapsed="false">
      <c r="A20" s="14" t="s">
        <v>367</v>
      </c>
      <c r="B20" s="16" t="n">
        <v>12</v>
      </c>
      <c r="C20" s="18" t="s">
        <v>392</v>
      </c>
      <c r="D20" s="18" t="s">
        <v>393</v>
      </c>
      <c r="E20" s="17" t="s">
        <v>348</v>
      </c>
      <c r="F20" s="13" t="s">
        <v>371</v>
      </c>
      <c r="G20" s="17"/>
    </row>
    <row r="21" customFormat="false" ht="26.85" hidden="false" customHeight="false" outlineLevel="0" collapsed="false">
      <c r="A21" s="14" t="s">
        <v>367</v>
      </c>
      <c r="B21" s="16" t="n">
        <v>13</v>
      </c>
      <c r="C21" s="18" t="s">
        <v>394</v>
      </c>
      <c r="D21" s="18" t="s">
        <v>395</v>
      </c>
      <c r="E21" s="18" t="s">
        <v>370</v>
      </c>
      <c r="F21" s="13" t="s">
        <v>371</v>
      </c>
      <c r="G21" s="17"/>
    </row>
    <row r="22" customFormat="false" ht="26.85" hidden="false" customHeight="false" outlineLevel="0" collapsed="false">
      <c r="A22" s="14" t="s">
        <v>367</v>
      </c>
      <c r="B22" s="16" t="n">
        <v>14</v>
      </c>
      <c r="C22" s="17" t="s">
        <v>396</v>
      </c>
      <c r="D22" s="18" t="s">
        <v>397</v>
      </c>
      <c r="E22" s="17" t="s">
        <v>348</v>
      </c>
      <c r="F22" s="13" t="s">
        <v>371</v>
      </c>
      <c r="G22" s="17"/>
    </row>
    <row r="23" customFormat="false" ht="26.85" hidden="false" customHeight="false" outlineLevel="0" collapsed="false">
      <c r="A23" s="14" t="s">
        <v>367</v>
      </c>
      <c r="B23" s="16" t="n">
        <v>15</v>
      </c>
      <c r="C23" s="17" t="s">
        <v>398</v>
      </c>
      <c r="D23" s="18" t="s">
        <v>399</v>
      </c>
      <c r="E23" s="17" t="s">
        <v>348</v>
      </c>
      <c r="F23" s="13" t="s">
        <v>371</v>
      </c>
      <c r="G23" s="17"/>
    </row>
    <row r="24" customFormat="false" ht="26.85" hidden="false" customHeight="false" outlineLevel="0" collapsed="false">
      <c r="A24" s="14" t="s">
        <v>367</v>
      </c>
      <c r="B24" s="16" t="n">
        <v>16</v>
      </c>
      <c r="C24" s="18" t="s">
        <v>400</v>
      </c>
      <c r="D24" s="18" t="s">
        <v>401</v>
      </c>
      <c r="E24" s="17" t="s">
        <v>348</v>
      </c>
      <c r="F24" s="13" t="s">
        <v>371</v>
      </c>
      <c r="G24" s="17"/>
    </row>
    <row r="25" customFormat="false" ht="26.85" hidden="false" customHeight="false" outlineLevel="0" collapsed="false">
      <c r="A25" s="14" t="s">
        <v>367</v>
      </c>
      <c r="B25" s="16" t="n">
        <v>17</v>
      </c>
      <c r="C25" s="17" t="s">
        <v>402</v>
      </c>
      <c r="D25" s="18" t="s">
        <v>403</v>
      </c>
      <c r="E25" s="17" t="s">
        <v>348</v>
      </c>
      <c r="F25" s="13" t="s">
        <v>371</v>
      </c>
      <c r="G25" s="17"/>
    </row>
    <row r="26" customFormat="false" ht="26.85" hidden="false" customHeight="false" outlineLevel="0" collapsed="false">
      <c r="A26" s="14" t="s">
        <v>367</v>
      </c>
      <c r="B26" s="16" t="n">
        <v>18</v>
      </c>
      <c r="C26" s="18" t="s">
        <v>404</v>
      </c>
      <c r="D26" s="18" t="s">
        <v>405</v>
      </c>
      <c r="E26" s="17" t="s">
        <v>348</v>
      </c>
      <c r="F26" s="13" t="s">
        <v>371</v>
      </c>
      <c r="G26" s="17"/>
    </row>
    <row r="27" customFormat="false" ht="39.55" hidden="false" customHeight="false" outlineLevel="0" collapsed="false">
      <c r="A27" s="14" t="s">
        <v>367</v>
      </c>
      <c r="B27" s="16" t="n">
        <v>19</v>
      </c>
      <c r="C27" s="18" t="s">
        <v>406</v>
      </c>
      <c r="D27" s="18" t="s">
        <v>407</v>
      </c>
      <c r="E27" s="18" t="s">
        <v>370</v>
      </c>
      <c r="F27" s="13" t="s">
        <v>371</v>
      </c>
      <c r="G27" s="17"/>
    </row>
    <row r="28" customFormat="false" ht="26.85" hidden="false" customHeight="false" outlineLevel="0" collapsed="false">
      <c r="A28" s="14" t="s">
        <v>367</v>
      </c>
      <c r="B28" s="16" t="n">
        <v>20</v>
      </c>
      <c r="C28" s="18" t="s">
        <v>408</v>
      </c>
      <c r="D28" s="18" t="s">
        <v>409</v>
      </c>
      <c r="E28" s="17" t="s">
        <v>348</v>
      </c>
      <c r="F28" s="13" t="s">
        <v>371</v>
      </c>
      <c r="G28" s="17"/>
    </row>
    <row r="29" customFormat="false" ht="39.55" hidden="false" customHeight="false" outlineLevel="0" collapsed="false">
      <c r="A29" s="14" t="s">
        <v>367</v>
      </c>
      <c r="B29" s="16" t="n">
        <v>21</v>
      </c>
      <c r="C29" s="18" t="s">
        <v>410</v>
      </c>
      <c r="D29" s="18" t="s">
        <v>411</v>
      </c>
      <c r="E29" s="17" t="s">
        <v>348</v>
      </c>
      <c r="F29" s="13" t="s">
        <v>371</v>
      </c>
      <c r="G29" s="17"/>
    </row>
    <row r="30" customFormat="false" ht="26.85" hidden="false" customHeight="false" outlineLevel="0" collapsed="false">
      <c r="A30" s="14" t="s">
        <v>367</v>
      </c>
      <c r="B30" s="16" t="n">
        <v>22</v>
      </c>
      <c r="C30" s="17" t="s">
        <v>412</v>
      </c>
      <c r="D30" s="18" t="s">
        <v>413</v>
      </c>
      <c r="E30" s="17" t="s">
        <v>348</v>
      </c>
      <c r="F30" s="13" t="s">
        <v>371</v>
      </c>
      <c r="G30" s="17"/>
    </row>
    <row r="31" customFormat="false" ht="26.85" hidden="false" customHeight="false" outlineLevel="0" collapsed="false">
      <c r="A31" s="14" t="s">
        <v>367</v>
      </c>
      <c r="B31" s="16" t="n">
        <v>23</v>
      </c>
      <c r="C31" s="18" t="s">
        <v>414</v>
      </c>
      <c r="D31" s="18" t="s">
        <v>415</v>
      </c>
      <c r="E31" s="18" t="s">
        <v>370</v>
      </c>
      <c r="F31" s="13" t="s">
        <v>371</v>
      </c>
      <c r="G31" s="17"/>
    </row>
    <row r="32" customFormat="false" ht="26.85" hidden="false" customHeight="false" outlineLevel="0" collapsed="false">
      <c r="A32" s="14" t="s">
        <v>367</v>
      </c>
      <c r="B32" s="16" t="n">
        <v>24</v>
      </c>
      <c r="C32" s="17" t="s">
        <v>416</v>
      </c>
      <c r="D32" s="18" t="s">
        <v>417</v>
      </c>
      <c r="E32" s="17" t="s">
        <v>348</v>
      </c>
      <c r="F32" s="13" t="s">
        <v>371</v>
      </c>
      <c r="G32" s="17"/>
    </row>
    <row r="33" customFormat="false" ht="26.85" hidden="false" customHeight="false" outlineLevel="0" collapsed="false">
      <c r="A33" s="14" t="s">
        <v>367</v>
      </c>
      <c r="B33" s="16" t="n">
        <v>25</v>
      </c>
      <c r="C33" s="17" t="s">
        <v>418</v>
      </c>
      <c r="D33" s="18" t="s">
        <v>419</v>
      </c>
      <c r="E33" s="17" t="s">
        <v>348</v>
      </c>
      <c r="F33" s="13" t="s">
        <v>371</v>
      </c>
      <c r="G33" s="17"/>
    </row>
    <row r="34" customFormat="false" ht="39.55" hidden="false" customHeight="false" outlineLevel="0" collapsed="false">
      <c r="A34" s="14" t="s">
        <v>367</v>
      </c>
      <c r="B34" s="16" t="n">
        <v>26</v>
      </c>
      <c r="C34" s="17" t="s">
        <v>420</v>
      </c>
      <c r="D34" s="18" t="s">
        <v>421</v>
      </c>
      <c r="E34" s="17" t="s">
        <v>348</v>
      </c>
      <c r="F34" s="13" t="s">
        <v>371</v>
      </c>
      <c r="G34" s="17"/>
    </row>
    <row r="35" customFormat="false" ht="26.85" hidden="false" customHeight="false" outlineLevel="0" collapsed="false">
      <c r="A35" s="14" t="s">
        <v>367</v>
      </c>
      <c r="B35" s="16" t="n">
        <v>27</v>
      </c>
      <c r="C35" s="17" t="s">
        <v>422</v>
      </c>
      <c r="D35" s="18" t="s">
        <v>423</v>
      </c>
      <c r="E35" s="17" t="s">
        <v>348</v>
      </c>
      <c r="F35" s="13" t="s">
        <v>371</v>
      </c>
      <c r="G35" s="17"/>
    </row>
    <row r="36" customFormat="false" ht="26.85" hidden="false" customHeight="false" outlineLevel="0" collapsed="false">
      <c r="A36" s="14" t="s">
        <v>367</v>
      </c>
      <c r="B36" s="16" t="n">
        <v>28</v>
      </c>
      <c r="C36" s="18" t="s">
        <v>424</v>
      </c>
      <c r="D36" s="18" t="s">
        <v>425</v>
      </c>
      <c r="E36" s="17" t="s">
        <v>348</v>
      </c>
      <c r="F36" s="13" t="s">
        <v>371</v>
      </c>
      <c r="G36" s="17"/>
    </row>
    <row r="37" customFormat="false" ht="26.85" hidden="false" customHeight="false" outlineLevel="0" collapsed="false">
      <c r="A37" s="14" t="s">
        <v>367</v>
      </c>
      <c r="B37" s="16" t="n">
        <v>29</v>
      </c>
      <c r="C37" s="17" t="s">
        <v>426</v>
      </c>
      <c r="D37" s="18" t="s">
        <v>427</v>
      </c>
      <c r="E37" s="18" t="s">
        <v>428</v>
      </c>
      <c r="F37" s="13" t="s">
        <v>371</v>
      </c>
      <c r="G37" s="17"/>
    </row>
    <row r="38" customFormat="false" ht="26.85" hidden="false" customHeight="false" outlineLevel="0" collapsed="false">
      <c r="A38" s="14" t="s">
        <v>367</v>
      </c>
      <c r="B38" s="16" t="n">
        <v>30</v>
      </c>
      <c r="C38" s="18" t="s">
        <v>429</v>
      </c>
      <c r="D38" s="18" t="s">
        <v>430</v>
      </c>
      <c r="E38" s="18" t="s">
        <v>428</v>
      </c>
      <c r="F38" s="13" t="s">
        <v>371</v>
      </c>
      <c r="G38" s="17"/>
    </row>
    <row r="40" customFormat="false" ht="15" hidden="false" customHeight="false" outlineLevel="0" collapsed="false">
      <c r="C40" s="23" t="s">
        <v>431</v>
      </c>
      <c r="D40" s="13" t="n">
        <f aca="false">COUNTIFS(A3:A38,"参加特典",C3:C38,"&lt;&gt;")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32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26.85" hidden="false" customHeight="false" outlineLevel="0" collapsed="false">
      <c r="A1" s="9" t="s">
        <v>432</v>
      </c>
      <c r="B1" s="9" t="s">
        <v>433</v>
      </c>
      <c r="C1" s="9" t="s">
        <v>434</v>
      </c>
      <c r="D1" s="8" t="s">
        <v>435</v>
      </c>
      <c r="E1" s="8" t="s">
        <v>436</v>
      </c>
      <c r="F1" s="9" t="s">
        <v>437</v>
      </c>
      <c r="G1" s="9" t="s">
        <v>438</v>
      </c>
      <c r="H1" s="9" t="s">
        <v>439</v>
      </c>
      <c r="I1" s="9" t="s">
        <v>440</v>
      </c>
      <c r="J1" s="9" t="s">
        <v>441</v>
      </c>
    </row>
    <row r="2" customFormat="false" ht="26.85" hidden="false" customHeight="false" outlineLevel="0" collapsed="false">
      <c r="A2" s="10" t="s">
        <v>33</v>
      </c>
      <c r="B2" s="12" t="s">
        <v>442</v>
      </c>
      <c r="C2" s="12" t="s">
        <v>443</v>
      </c>
      <c r="D2" s="10" t="s">
        <v>444</v>
      </c>
      <c r="E2" s="12" t="s">
        <v>445</v>
      </c>
      <c r="F2" s="12" t="s">
        <v>446</v>
      </c>
      <c r="G2" s="10" t="s">
        <v>447</v>
      </c>
      <c r="H2" s="10" t="s">
        <v>448</v>
      </c>
      <c r="I2" s="12" t="s">
        <v>449</v>
      </c>
      <c r="J2" s="10" t="s">
        <v>450</v>
      </c>
    </row>
    <row r="3" customFormat="false" ht="15" hidden="false" customHeight="false" outlineLevel="0" collapsed="false">
      <c r="A3" s="16" t="s">
        <v>451</v>
      </c>
      <c r="B3" s="17"/>
      <c r="C3" s="17"/>
      <c r="D3" s="17"/>
      <c r="E3" s="17"/>
      <c r="F3" s="17"/>
      <c r="G3" s="17"/>
      <c r="H3" s="17"/>
      <c r="I3" s="17"/>
      <c r="J3" s="17"/>
    </row>
    <row r="4" customFormat="false" ht="15" hidden="false" customHeight="false" outlineLevel="0" collapsed="false">
      <c r="A4" s="16" t="s">
        <v>452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16" t="s">
        <v>453</v>
      </c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16" t="s">
        <v>454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6" t="s">
        <v>455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6" t="s">
        <v>456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16" t="s">
        <v>457</v>
      </c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false" outlineLevel="0" collapsed="false">
      <c r="A10" s="16" t="s">
        <v>458</v>
      </c>
      <c r="B10" s="17"/>
      <c r="C10" s="17"/>
      <c r="D10" s="17"/>
      <c r="E10" s="17"/>
      <c r="F10" s="17"/>
      <c r="G10" s="17"/>
      <c r="H10" s="17"/>
      <c r="I10" s="17"/>
      <c r="J10" s="17"/>
    </row>
  </sheetData>
  <dataValidations count="1">
    <dataValidation allowBlank="true" errorStyle="stop" operator="between" showDropDown="false" showErrorMessage="false" showInputMessage="false" sqref="J3:J10" type="list">
      <formula1>"済,未,確認中"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3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9" t="s">
        <v>459</v>
      </c>
      <c r="B1" s="9" t="s">
        <v>460</v>
      </c>
      <c r="C1" s="9" t="s">
        <v>461</v>
      </c>
      <c r="D1" s="9" t="s">
        <v>462</v>
      </c>
      <c r="E1" s="9" t="s">
        <v>463</v>
      </c>
      <c r="F1" s="8" t="s">
        <v>464</v>
      </c>
      <c r="G1" s="9" t="s">
        <v>465</v>
      </c>
    </row>
    <row r="2" customFormat="false" ht="15" hidden="false" customHeight="false" outlineLevel="0" collapsed="false">
      <c r="A2" s="10" t="s">
        <v>33</v>
      </c>
      <c r="B2" s="10" t="s">
        <v>466</v>
      </c>
      <c r="C2" s="12" t="s">
        <v>467</v>
      </c>
      <c r="D2" s="12" t="s">
        <v>468</v>
      </c>
      <c r="E2" s="12" t="s">
        <v>469</v>
      </c>
      <c r="F2" s="12" t="s">
        <v>328</v>
      </c>
      <c r="G2" s="12" t="s">
        <v>470</v>
      </c>
    </row>
    <row r="3" customFormat="false" ht="15" hidden="false" customHeight="false" outlineLevel="0" collapsed="false">
      <c r="A3" s="16" t="s">
        <v>471</v>
      </c>
      <c r="B3" s="17"/>
      <c r="C3" s="17"/>
      <c r="D3" s="17"/>
      <c r="E3" s="17"/>
      <c r="F3" s="17"/>
      <c r="G3" s="17"/>
    </row>
    <row r="4" customFormat="false" ht="15" hidden="false" customHeight="false" outlineLevel="0" collapsed="false">
      <c r="A4" s="16" t="s">
        <v>472</v>
      </c>
      <c r="B4" s="17"/>
      <c r="C4" s="17"/>
      <c r="D4" s="17"/>
      <c r="E4" s="17"/>
      <c r="F4" s="17"/>
      <c r="G4" s="17"/>
    </row>
    <row r="5" customFormat="false" ht="15" hidden="false" customHeight="false" outlineLevel="0" collapsed="false">
      <c r="A5" s="16" t="s">
        <v>473</v>
      </c>
      <c r="B5" s="17"/>
      <c r="C5" s="17"/>
      <c r="D5" s="17"/>
      <c r="E5" s="17"/>
      <c r="F5" s="17"/>
      <c r="G5" s="17"/>
    </row>
    <row r="6" customFormat="false" ht="15" hidden="false" customHeight="false" outlineLevel="0" collapsed="false">
      <c r="A6" s="16" t="s">
        <v>474</v>
      </c>
      <c r="B6" s="17"/>
      <c r="C6" s="17"/>
      <c r="D6" s="17"/>
      <c r="E6" s="17"/>
      <c r="F6" s="17"/>
      <c r="G6" s="17"/>
    </row>
    <row r="7" customFormat="false" ht="15" hidden="false" customHeight="false" outlineLevel="0" collapsed="false">
      <c r="A7" s="16" t="s">
        <v>475</v>
      </c>
      <c r="B7" s="17"/>
      <c r="C7" s="17"/>
      <c r="D7" s="17"/>
      <c r="E7" s="17"/>
      <c r="F7" s="17"/>
      <c r="G7" s="17"/>
    </row>
    <row r="8" customFormat="false" ht="15" hidden="false" customHeight="false" outlineLevel="0" collapsed="false">
      <c r="A8" s="16" t="s">
        <v>476</v>
      </c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A9" s="16" t="s">
        <v>477</v>
      </c>
      <c r="B9" s="17"/>
      <c r="C9" s="17"/>
      <c r="D9" s="17"/>
      <c r="E9" s="17"/>
      <c r="F9" s="17"/>
      <c r="G9" s="17"/>
    </row>
    <row r="10" customFormat="false" ht="15" hidden="false" customHeight="false" outlineLevel="0" collapsed="false">
      <c r="A10" s="16" t="s">
        <v>478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16" t="s">
        <v>479</v>
      </c>
      <c r="B11" s="17"/>
      <c r="C11" s="17"/>
      <c r="D11" s="17"/>
      <c r="E11" s="17"/>
      <c r="F11" s="17"/>
      <c r="G11" s="17"/>
    </row>
    <row r="12" customFormat="false" ht="15" hidden="false" customHeight="false" outlineLevel="0" collapsed="false">
      <c r="A12" s="16" t="s">
        <v>480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16" t="s">
        <v>481</v>
      </c>
      <c r="B13" s="17"/>
      <c r="C13" s="17"/>
      <c r="D13" s="17"/>
      <c r="E13" s="17"/>
      <c r="F13" s="17"/>
      <c r="G13" s="17"/>
    </row>
    <row r="14" customFormat="false" ht="15" hidden="false" customHeight="false" outlineLevel="0" collapsed="false">
      <c r="A14" s="16" t="s">
        <v>482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16" t="s">
        <v>483</v>
      </c>
      <c r="B15" s="17"/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16" t="s">
        <v>484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16" t="s">
        <v>485</v>
      </c>
      <c r="B17" s="17"/>
      <c r="C17" s="17"/>
      <c r="D17" s="17"/>
      <c r="E17" s="17"/>
      <c r="F17" s="17"/>
      <c r="G17" s="17"/>
    </row>
    <row r="18" customFormat="false" ht="15" hidden="false" customHeight="false" outlineLevel="0" collapsed="false">
      <c r="A18" s="16" t="s">
        <v>486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16" t="s">
        <v>487</v>
      </c>
      <c r="B19" s="17"/>
      <c r="C19" s="17"/>
      <c r="D19" s="17"/>
      <c r="E19" s="17"/>
      <c r="F19" s="17"/>
      <c r="G19" s="17"/>
    </row>
    <row r="20" customFormat="false" ht="15" hidden="false" customHeight="false" outlineLevel="0" collapsed="false">
      <c r="A20" s="16" t="s">
        <v>488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16" t="s">
        <v>489</v>
      </c>
      <c r="B21" s="17"/>
      <c r="C21" s="17"/>
      <c r="D21" s="17"/>
      <c r="E21" s="17"/>
      <c r="F21" s="17"/>
      <c r="G21" s="17"/>
    </row>
    <row r="22" customFormat="false" ht="15" hidden="false" customHeight="false" outlineLevel="0" collapsed="false">
      <c r="A22" s="16" t="s">
        <v>490</v>
      </c>
      <c r="B22" s="17"/>
      <c r="C22" s="17"/>
      <c r="D22" s="17"/>
      <c r="E22" s="17"/>
      <c r="F22" s="17"/>
      <c r="G22" s="17"/>
    </row>
  </sheetData>
  <dataValidations count="1">
    <dataValidation allowBlank="true" errorStyle="stop" operator="between" showDropDown="false" showErrorMessage="false" showInputMessage="false" sqref="B3:B22" type="list">
      <formula1>"動画,音声,画像,PDF,LP"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2026-10-22T05:06:53Z</dcterms:created>
  <dc:creator>openpyxl</dc:creator>
  <dc:description/>
  <dc:language>en-US</dc:language>
  <cp:lastModifiedBy/>
  <dcterms:modified xsi:type="dcterms:W3CDTF">2026-10-22T05:06:53Z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