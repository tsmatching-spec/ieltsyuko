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ピーキング進捗" sheetId="1" state="visible" r:id="rId1"/>
    <sheet name="サマリー" sheetId="2" state="visible" r:id="rId2"/>
    <sheet name="ミスパターン" sheetId="3" state="visible" r:id="rId3"/>
    <sheet name="月別振り返り" sheetId="4" state="visible" r:id="rId4"/>
    <sheet name="記入ガイ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9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color rgb="00000000"/>
      <sz val="10"/>
    </font>
    <font>
      <name val="Meiryo"/>
      <b val="1"/>
      <color rgb="00FFFFFF"/>
      <sz val="14"/>
    </font>
    <font>
      <name val="Meiryo"/>
      <b val="1"/>
      <color rgb="00FFFFFF"/>
      <sz val="11"/>
    </font>
    <font>
      <name val="Meiryo"/>
      <b val="1"/>
      <color rgb="00000000"/>
      <sz val="10"/>
    </font>
    <font>
      <name val="Meiryo"/>
      <b val="1"/>
      <color rgb="00D35400"/>
      <sz val="10"/>
    </font>
    <font>
      <name val="Meiryo"/>
      <b val="1"/>
      <color rgb="00000000"/>
      <sz val="12"/>
    </font>
    <font>
      <name val="Meiryo"/>
      <sz val="10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86AB"/>
        <bgColor rgb="002E86AB"/>
      </patternFill>
    </fill>
    <fill>
      <patternFill patternType="solid">
        <fgColor rgb="001E8449"/>
        <bgColor rgb="001E8449"/>
      </patternFill>
    </fill>
    <fill>
      <patternFill patternType="solid">
        <fgColor rgb="006C3483"/>
        <bgColor rgb="006C3483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AE5D3"/>
        <bgColor rgb="00FAE5D3"/>
      </patternFill>
    </fill>
    <fill>
      <patternFill patternType="solid">
        <fgColor rgb="00D5F5E3"/>
        <bgColor rgb="00D5F5E3"/>
      </patternFill>
    </fill>
    <fill>
      <patternFill patternType="solid">
        <fgColor rgb="00E8DAEF"/>
        <bgColor rgb="00E8DAEF"/>
      </patternFill>
    </fill>
    <fill>
      <patternFill patternType="solid">
        <fgColor rgb="00D35400"/>
        <bgColor rgb="00D35400"/>
      </patternFill>
    </fill>
    <fill>
      <patternFill patternType="solid">
        <fgColor rgb="00555555"/>
        <bgColor rgb="00555555"/>
      </patternFill>
    </fill>
    <fill>
      <patternFill patternType="solid">
        <fgColor rgb="00145A32"/>
        <bgColor rgb="00145A3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9" fontId="2" fillId="10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4" customWidth="1" min="4" max="4"/>
    <col width="26" customWidth="1" min="5" max="5"/>
    <col width="30" customWidth="1" min="6" max="6"/>
    <col width="30" customWidth="1" min="7" max="7"/>
    <col width="30" customWidth="1" min="8" max="8"/>
    <col width="24" customWidth="1" min="9" max="9"/>
    <col width="28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22" customWidth="1" min="16" max="16"/>
    <col width="22" customWidth="1" min="17" max="17"/>
    <col width="13" customWidth="1" min="18" max="18"/>
    <col width="10" customWidth="1" min="19" max="19"/>
  </cols>
  <sheetData>
    <row r="1" ht="40" customHeight="1">
      <c r="A1" s="1" t="inlineStr">
        <is>
          <t>番号</t>
        </is>
      </c>
      <c r="B1" s="1" t="inlineStr">
        <is>
          <t>1回目
提出日</t>
        </is>
      </c>
      <c r="C1" s="1" t="inlineStr">
        <is>
          <t>再提出日</t>
        </is>
      </c>
      <c r="D1" s="1" t="inlineStr">
        <is>
          <t>タスク種別</t>
        </is>
      </c>
      <c r="E1" s="1" t="inlineStr">
        <is>
          <t>試験形式</t>
        </is>
      </c>
      <c r="F1" s="1" t="inlineStr">
        <is>
          <t>トピック</t>
        </is>
      </c>
      <c r="G1" s="2" t="inlineStr">
        <is>
          <t>意識した点</t>
        </is>
      </c>
      <c r="H1" s="2" t="inlineStr">
        <is>
          <t>前回からの改善点</t>
        </is>
      </c>
      <c r="I1" s="2" t="inlineStr">
        <is>
          <t>振り返り</t>
        </is>
      </c>
      <c r="J1" s="2" t="inlineStr">
        <is>
          <t>繰り返しミス</t>
        </is>
      </c>
      <c r="K1" s="2" t="inlineStr">
        <is>
          <t>次回の課題</t>
        </is>
      </c>
      <c r="L1" s="3" t="inlineStr">
        <is>
          <t>自己評価
(1-5)</t>
        </is>
      </c>
      <c r="M1" s="3" t="inlineStr">
        <is>
          <t>Fluency
(1-9)</t>
        </is>
      </c>
      <c r="N1" s="3" t="inlineStr">
        <is>
          <t>Vocabulary
(1-9)</t>
        </is>
      </c>
      <c r="O1" s="3" t="inlineStr">
        <is>
          <t>Grammar
(1-9)</t>
        </is>
      </c>
      <c r="P1" s="3" t="inlineStr">
        <is>
          <t>Pronunciation
(1-9)</t>
        </is>
      </c>
      <c r="Q1" s="4" t="inlineStr">
        <is>
          <t>録音リンク</t>
        </is>
      </c>
      <c r="R1" s="4" t="inlineStr">
        <is>
          <t>FBリンク</t>
        </is>
      </c>
      <c r="S1" s="22" t="inlineStr">
        <is>
          <t>復習予定日
(自動)</t>
        </is>
      </c>
      <c r="T1" s="4" t="inlineStr">
        <is>
          <t>復習済み</t>
        </is>
      </c>
    </row>
    <row r="2" ht="52" customHeight="1">
      <c r="A2" s="5" t="n">
        <v>1</v>
      </c>
      <c r="B2" s="30" t="n"/>
      <c r="C2" s="30" t="n"/>
      <c r="D2" s="5" t="n"/>
      <c r="E2" s="5" t="n"/>
      <c r="F2" s="6" t="n"/>
      <c r="G2" s="6" t="n"/>
      <c r="H2" s="6" t="n"/>
      <c r="I2" s="6" t="n"/>
      <c r="J2" s="6" t="n"/>
      <c r="K2" s="6" t="n"/>
      <c r="L2" s="5" t="n"/>
      <c r="M2" s="5" t="n"/>
      <c r="N2" s="5" t="n"/>
      <c r="O2" s="5" t="n"/>
      <c r="P2" s="5" t="n"/>
      <c r="Q2" s="6" t="n"/>
      <c r="R2" s="6" t="n"/>
      <c r="S2" s="31">
        <f>IF(B2&lt;&gt;"",B2+14,"")</f>
        <v/>
      </c>
      <c r="T2" s="5" t="n"/>
    </row>
    <row r="3" ht="52" customHeight="1">
      <c r="A3" s="7" t="n">
        <v>2</v>
      </c>
      <c r="B3" s="32" t="n"/>
      <c r="C3" s="32" t="n"/>
      <c r="D3" s="7" t="n"/>
      <c r="E3" s="7" t="n"/>
      <c r="F3" s="8" t="n"/>
      <c r="G3" s="8" t="n"/>
      <c r="H3" s="8" t="n"/>
      <c r="I3" s="8" t="n"/>
      <c r="J3" s="8" t="n"/>
      <c r="K3" s="8" t="n"/>
      <c r="L3" s="7" t="n"/>
      <c r="M3" s="7" t="n"/>
      <c r="N3" s="7" t="n"/>
      <c r="O3" s="7" t="n"/>
      <c r="P3" s="7" t="n"/>
      <c r="Q3" s="8" t="n"/>
      <c r="R3" s="8" t="n"/>
      <c r="S3" s="31">
        <f>IF(B3&lt;&gt;"",B3+14,"")</f>
        <v/>
      </c>
      <c r="T3" s="7" t="n"/>
    </row>
    <row r="4" ht="52" customHeight="1">
      <c r="A4" s="5" t="n">
        <v>3</v>
      </c>
      <c r="B4" s="30" t="n"/>
      <c r="C4" s="30" t="n"/>
      <c r="D4" s="5" t="n"/>
      <c r="E4" s="5" t="n"/>
      <c r="F4" s="6" t="n"/>
      <c r="G4" s="6" t="n"/>
      <c r="H4" s="6" t="n"/>
      <c r="I4" s="6" t="n"/>
      <c r="J4" s="6" t="n"/>
      <c r="K4" s="6" t="n"/>
      <c r="L4" s="5" t="n"/>
      <c r="M4" s="5" t="n"/>
      <c r="N4" s="5" t="n"/>
      <c r="O4" s="5" t="n"/>
      <c r="P4" s="5" t="n"/>
      <c r="Q4" s="6" t="n"/>
      <c r="R4" s="6" t="n"/>
      <c r="S4" s="31">
        <f>IF(B4&lt;&gt;"",B4+14,"")</f>
        <v/>
      </c>
      <c r="T4" s="5" t="n"/>
    </row>
    <row r="5" ht="52" customHeight="1">
      <c r="A5" s="7" t="n">
        <v>4</v>
      </c>
      <c r="B5" s="32" t="n"/>
      <c r="C5" s="32" t="n"/>
      <c r="D5" s="7" t="n"/>
      <c r="E5" s="7" t="n"/>
      <c r="F5" s="8" t="n"/>
      <c r="G5" s="8" t="n"/>
      <c r="H5" s="8" t="n"/>
      <c r="I5" s="8" t="n"/>
      <c r="J5" s="8" t="n"/>
      <c r="K5" s="8" t="n"/>
      <c r="L5" s="7" t="n"/>
      <c r="M5" s="7" t="n"/>
      <c r="N5" s="7" t="n"/>
      <c r="O5" s="7" t="n"/>
      <c r="P5" s="7" t="n"/>
      <c r="Q5" s="8" t="n"/>
      <c r="R5" s="8" t="n"/>
      <c r="S5" s="31">
        <f>IF(B5&lt;&gt;"",B5+14,"")</f>
        <v/>
      </c>
      <c r="T5" s="7" t="n"/>
    </row>
    <row r="6" ht="52" customHeight="1">
      <c r="A6" s="5" t="n">
        <v>5</v>
      </c>
      <c r="B6" s="30" t="n"/>
      <c r="C6" s="30" t="n"/>
      <c r="D6" s="5" t="n"/>
      <c r="E6" s="5" t="n"/>
      <c r="F6" s="6" t="n"/>
      <c r="G6" s="6" t="n"/>
      <c r="H6" s="6" t="n"/>
      <c r="I6" s="6" t="n"/>
      <c r="J6" s="6" t="n"/>
      <c r="K6" s="6" t="n"/>
      <c r="L6" s="5" t="n"/>
      <c r="M6" s="5" t="n"/>
      <c r="N6" s="5" t="n"/>
      <c r="O6" s="5" t="n"/>
      <c r="P6" s="5" t="n"/>
      <c r="Q6" s="6" t="n"/>
      <c r="R6" s="6" t="n"/>
      <c r="S6" s="31">
        <f>IF(B6&lt;&gt;"",B6+14,"")</f>
        <v/>
      </c>
      <c r="T6" s="5" t="n"/>
    </row>
    <row r="7" ht="52" customHeight="1">
      <c r="A7" s="7" t="n">
        <v>6</v>
      </c>
      <c r="B7" s="32" t="n"/>
      <c r="C7" s="32" t="n"/>
      <c r="D7" s="7" t="n"/>
      <c r="E7" s="7" t="n"/>
      <c r="F7" s="8" t="n"/>
      <c r="G7" s="8" t="n"/>
      <c r="H7" s="8" t="n"/>
      <c r="I7" s="8" t="n"/>
      <c r="J7" s="8" t="n"/>
      <c r="K7" s="8" t="n"/>
      <c r="L7" s="7" t="n"/>
      <c r="M7" s="7" t="n"/>
      <c r="N7" s="7" t="n"/>
      <c r="O7" s="7" t="n"/>
      <c r="P7" s="7" t="n"/>
      <c r="Q7" s="8" t="n"/>
      <c r="R7" s="8" t="n"/>
      <c r="S7" s="31">
        <f>IF(B7&lt;&gt;"",B7+14,"")</f>
        <v/>
      </c>
      <c r="T7" s="7" t="n"/>
    </row>
    <row r="8" ht="52" customHeight="1">
      <c r="A8" s="5" t="n">
        <v>7</v>
      </c>
      <c r="B8" s="30" t="n"/>
      <c r="C8" s="30" t="n"/>
      <c r="D8" s="5" t="n"/>
      <c r="E8" s="5" t="n"/>
      <c r="F8" s="6" t="n"/>
      <c r="G8" s="6" t="n"/>
      <c r="H8" s="6" t="n"/>
      <c r="I8" s="6" t="n"/>
      <c r="J8" s="6" t="n"/>
      <c r="K8" s="6" t="n"/>
      <c r="L8" s="5" t="n"/>
      <c r="M8" s="5" t="n"/>
      <c r="N8" s="5" t="n"/>
      <c r="O8" s="5" t="n"/>
      <c r="P8" s="5" t="n"/>
      <c r="Q8" s="6" t="n"/>
      <c r="R8" s="6" t="n"/>
      <c r="S8" s="31">
        <f>IF(B8&lt;&gt;"",B8+14,"")</f>
        <v/>
      </c>
      <c r="T8" s="5" t="n"/>
    </row>
    <row r="9" ht="52" customHeight="1">
      <c r="A9" s="7" t="n">
        <v>8</v>
      </c>
      <c r="B9" s="32" t="n"/>
      <c r="C9" s="32" t="n"/>
      <c r="D9" s="7" t="n"/>
      <c r="E9" s="7" t="n"/>
      <c r="F9" s="8" t="n"/>
      <c r="G9" s="8" t="n"/>
      <c r="H9" s="8" t="n"/>
      <c r="I9" s="8" t="n"/>
      <c r="J9" s="8" t="n"/>
      <c r="K9" s="8" t="n"/>
      <c r="L9" s="7" t="n"/>
      <c r="M9" s="7" t="n"/>
      <c r="N9" s="7" t="n"/>
      <c r="O9" s="7" t="n"/>
      <c r="P9" s="7" t="n"/>
      <c r="Q9" s="8" t="n"/>
      <c r="R9" s="8" t="n"/>
      <c r="S9" s="31">
        <f>IF(B9&lt;&gt;"",B9+14,"")</f>
        <v/>
      </c>
      <c r="T9" s="7" t="n"/>
    </row>
    <row r="10" ht="52" customHeight="1">
      <c r="A10" s="5" t="n">
        <v>9</v>
      </c>
      <c r="B10" s="30" t="n"/>
      <c r="C10" s="30" t="n"/>
      <c r="D10" s="5" t="n"/>
      <c r="E10" s="5" t="n"/>
      <c r="F10" s="6" t="n"/>
      <c r="G10" s="6" t="n"/>
      <c r="H10" s="6" t="n"/>
      <c r="I10" s="6" t="n"/>
      <c r="J10" s="6" t="n"/>
      <c r="K10" s="6" t="n"/>
      <c r="L10" s="5" t="n"/>
      <c r="M10" s="5" t="n"/>
      <c r="N10" s="5" t="n"/>
      <c r="O10" s="5" t="n"/>
      <c r="P10" s="5" t="n"/>
      <c r="Q10" s="6" t="n"/>
      <c r="R10" s="6" t="n"/>
      <c r="S10" s="31">
        <f>IF(B10&lt;&gt;"",B10+14,"")</f>
        <v/>
      </c>
      <c r="T10" s="5" t="n"/>
    </row>
    <row r="11" ht="52" customHeight="1">
      <c r="A11" s="7" t="n">
        <v>10</v>
      </c>
      <c r="B11" s="32" t="n"/>
      <c r="C11" s="32" t="n"/>
      <c r="D11" s="7" t="n"/>
      <c r="E11" s="7" t="n"/>
      <c r="F11" s="8" t="n"/>
      <c r="G11" s="8" t="n"/>
      <c r="H11" s="8" t="n"/>
      <c r="I11" s="8" t="n"/>
      <c r="J11" s="8" t="n"/>
      <c r="K11" s="8" t="n"/>
      <c r="L11" s="7" t="n"/>
      <c r="M11" s="7" t="n"/>
      <c r="N11" s="7" t="n"/>
      <c r="O11" s="7" t="n"/>
      <c r="P11" s="7" t="n"/>
      <c r="Q11" s="8" t="n"/>
      <c r="R11" s="8" t="n"/>
      <c r="S11" s="31">
        <f>IF(B11&lt;&gt;"",B11+14,"")</f>
        <v/>
      </c>
      <c r="T11" s="7" t="n"/>
    </row>
    <row r="12" ht="52" customHeight="1">
      <c r="A12" s="5" t="n">
        <v>11</v>
      </c>
      <c r="B12" s="30" t="n"/>
      <c r="C12" s="30" t="n"/>
      <c r="D12" s="5" t="n"/>
      <c r="E12" s="5" t="n"/>
      <c r="F12" s="6" t="n"/>
      <c r="G12" s="6" t="n"/>
      <c r="H12" s="6" t="n"/>
      <c r="I12" s="6" t="n"/>
      <c r="J12" s="6" t="n"/>
      <c r="K12" s="6" t="n"/>
      <c r="L12" s="5" t="n"/>
      <c r="M12" s="5" t="n"/>
      <c r="N12" s="5" t="n"/>
      <c r="O12" s="5" t="n"/>
      <c r="P12" s="5" t="n"/>
      <c r="Q12" s="6" t="n"/>
      <c r="R12" s="6" t="n"/>
      <c r="S12" s="31">
        <f>IF(B12&lt;&gt;"",B12+14,"")</f>
        <v/>
      </c>
      <c r="T12" s="5" t="n"/>
    </row>
    <row r="13" ht="52" customHeight="1">
      <c r="A13" s="7" t="n">
        <v>12</v>
      </c>
      <c r="B13" s="32" t="n"/>
      <c r="C13" s="32" t="n"/>
      <c r="D13" s="7" t="n"/>
      <c r="E13" s="7" t="n"/>
      <c r="F13" s="8" t="n"/>
      <c r="G13" s="8" t="n"/>
      <c r="H13" s="8" t="n"/>
      <c r="I13" s="8" t="n"/>
      <c r="J13" s="8" t="n"/>
      <c r="K13" s="8" t="n"/>
      <c r="L13" s="7" t="n"/>
      <c r="M13" s="7" t="n"/>
      <c r="N13" s="7" t="n"/>
      <c r="O13" s="7" t="n"/>
      <c r="P13" s="7" t="n"/>
      <c r="Q13" s="8" t="n"/>
      <c r="R13" s="8" t="n"/>
      <c r="S13" s="31">
        <f>IF(B13&lt;&gt;"",B13+14,"")</f>
        <v/>
      </c>
      <c r="T13" s="7" t="n"/>
    </row>
    <row r="14" ht="52" customHeight="1">
      <c r="A14" s="5" t="n">
        <v>13</v>
      </c>
      <c r="B14" s="30" t="n"/>
      <c r="C14" s="30" t="n"/>
      <c r="D14" s="5" t="n"/>
      <c r="E14" s="5" t="n"/>
      <c r="F14" s="6" t="n"/>
      <c r="G14" s="6" t="n"/>
      <c r="H14" s="6" t="n"/>
      <c r="I14" s="6" t="n"/>
      <c r="J14" s="6" t="n"/>
      <c r="K14" s="6" t="n"/>
      <c r="L14" s="5" t="n"/>
      <c r="M14" s="5" t="n"/>
      <c r="N14" s="5" t="n"/>
      <c r="O14" s="5" t="n"/>
      <c r="P14" s="5" t="n"/>
      <c r="Q14" s="6" t="n"/>
      <c r="R14" s="6" t="n"/>
      <c r="S14" s="31">
        <f>IF(B14&lt;&gt;"",B14+14,"")</f>
        <v/>
      </c>
      <c r="T14" s="5" t="n"/>
    </row>
    <row r="15" ht="52" customHeight="1">
      <c r="A15" s="7" t="n">
        <v>14</v>
      </c>
      <c r="B15" s="32" t="n"/>
      <c r="C15" s="32" t="n"/>
      <c r="D15" s="7" t="n"/>
      <c r="E15" s="7" t="n"/>
      <c r="F15" s="8" t="n"/>
      <c r="G15" s="8" t="n"/>
      <c r="H15" s="8" t="n"/>
      <c r="I15" s="8" t="n"/>
      <c r="J15" s="8" t="n"/>
      <c r="K15" s="8" t="n"/>
      <c r="L15" s="7" t="n"/>
      <c r="M15" s="7" t="n"/>
      <c r="N15" s="7" t="n"/>
      <c r="O15" s="7" t="n"/>
      <c r="P15" s="7" t="n"/>
      <c r="Q15" s="8" t="n"/>
      <c r="R15" s="8" t="n"/>
      <c r="S15" s="31">
        <f>IF(B15&lt;&gt;"",B15+14,"")</f>
        <v/>
      </c>
      <c r="T15" s="7" t="n"/>
    </row>
    <row r="16" ht="52" customHeight="1">
      <c r="A16" s="5" t="n">
        <v>15</v>
      </c>
      <c r="B16" s="30" t="n"/>
      <c r="C16" s="30" t="n"/>
      <c r="D16" s="5" t="n"/>
      <c r="E16" s="5" t="n"/>
      <c r="F16" s="6" t="n"/>
      <c r="G16" s="6" t="n"/>
      <c r="H16" s="6" t="n"/>
      <c r="I16" s="6" t="n"/>
      <c r="J16" s="6" t="n"/>
      <c r="K16" s="6" t="n"/>
      <c r="L16" s="5" t="n"/>
      <c r="M16" s="5" t="n"/>
      <c r="N16" s="5" t="n"/>
      <c r="O16" s="5" t="n"/>
      <c r="P16" s="5" t="n"/>
      <c r="Q16" s="6" t="n"/>
      <c r="R16" s="6" t="n"/>
      <c r="S16" s="31">
        <f>IF(B16&lt;&gt;"",B16+14,"")</f>
        <v/>
      </c>
      <c r="T16" s="5" t="n"/>
    </row>
    <row r="17" ht="52" customHeight="1">
      <c r="A17" s="7" t="n">
        <v>16</v>
      </c>
      <c r="B17" s="32" t="n"/>
      <c r="C17" s="32" t="n"/>
      <c r="D17" s="7" t="n"/>
      <c r="E17" s="7" t="n"/>
      <c r="F17" s="8" t="n"/>
      <c r="G17" s="8" t="n"/>
      <c r="H17" s="8" t="n"/>
      <c r="I17" s="8" t="n"/>
      <c r="J17" s="8" t="n"/>
      <c r="K17" s="8" t="n"/>
      <c r="L17" s="7" t="n"/>
      <c r="M17" s="7" t="n"/>
      <c r="N17" s="7" t="n"/>
      <c r="O17" s="7" t="n"/>
      <c r="P17" s="7" t="n"/>
      <c r="Q17" s="8" t="n"/>
      <c r="R17" s="8" t="n"/>
      <c r="S17" s="31">
        <f>IF(B17&lt;&gt;"",B17+14,"")</f>
        <v/>
      </c>
      <c r="T17" s="7" t="n"/>
    </row>
    <row r="18" ht="52" customHeight="1">
      <c r="A18" s="5" t="n">
        <v>17</v>
      </c>
      <c r="B18" s="30" t="n"/>
      <c r="C18" s="30" t="n"/>
      <c r="D18" s="5" t="n"/>
      <c r="E18" s="5" t="n"/>
      <c r="F18" s="6" t="n"/>
      <c r="G18" s="6" t="n"/>
      <c r="H18" s="6" t="n"/>
      <c r="I18" s="6" t="n"/>
      <c r="J18" s="6" t="n"/>
      <c r="K18" s="6" t="n"/>
      <c r="L18" s="5" t="n"/>
      <c r="M18" s="5" t="n"/>
      <c r="N18" s="5" t="n"/>
      <c r="O18" s="5" t="n"/>
      <c r="P18" s="5" t="n"/>
      <c r="Q18" s="6" t="n"/>
      <c r="R18" s="6" t="n"/>
      <c r="S18" s="31">
        <f>IF(B18&lt;&gt;"",B18+14,"")</f>
        <v/>
      </c>
      <c r="T18" s="5" t="n"/>
    </row>
    <row r="19" ht="52" customHeight="1">
      <c r="A19" s="7" t="n">
        <v>18</v>
      </c>
      <c r="B19" s="32" t="n"/>
      <c r="C19" s="32" t="n"/>
      <c r="D19" s="7" t="n"/>
      <c r="E19" s="7" t="n"/>
      <c r="F19" s="8" t="n"/>
      <c r="G19" s="8" t="n"/>
      <c r="H19" s="8" t="n"/>
      <c r="I19" s="8" t="n"/>
      <c r="J19" s="8" t="n"/>
      <c r="K19" s="8" t="n"/>
      <c r="L19" s="7" t="n"/>
      <c r="M19" s="7" t="n"/>
      <c r="N19" s="7" t="n"/>
      <c r="O19" s="7" t="n"/>
      <c r="P19" s="7" t="n"/>
      <c r="Q19" s="8" t="n"/>
      <c r="R19" s="8" t="n"/>
      <c r="S19" s="31">
        <f>IF(B19&lt;&gt;"",B19+14,"")</f>
        <v/>
      </c>
      <c r="T19" s="7" t="n"/>
    </row>
    <row r="20" ht="52" customHeight="1">
      <c r="A20" s="5" t="n">
        <v>19</v>
      </c>
      <c r="B20" s="30" t="n"/>
      <c r="C20" s="30" t="n"/>
      <c r="D20" s="5" t="n"/>
      <c r="E20" s="5" t="n"/>
      <c r="F20" s="6" t="n"/>
      <c r="G20" s="6" t="n"/>
      <c r="H20" s="6" t="n"/>
      <c r="I20" s="6" t="n"/>
      <c r="J20" s="6" t="n"/>
      <c r="K20" s="6" t="n"/>
      <c r="L20" s="5" t="n"/>
      <c r="M20" s="5" t="n"/>
      <c r="N20" s="5" t="n"/>
      <c r="O20" s="5" t="n"/>
      <c r="P20" s="5" t="n"/>
      <c r="Q20" s="6" t="n"/>
      <c r="R20" s="6" t="n"/>
      <c r="S20" s="31">
        <f>IF(B20&lt;&gt;"",B20+14,"")</f>
        <v/>
      </c>
      <c r="T20" s="5" t="n"/>
    </row>
    <row r="21" ht="52" customHeight="1">
      <c r="A21" s="7" t="n">
        <v>20</v>
      </c>
      <c r="B21" s="32" t="n"/>
      <c r="C21" s="32" t="n"/>
      <c r="D21" s="7" t="n"/>
      <c r="E21" s="7" t="n"/>
      <c r="F21" s="8" t="n"/>
      <c r="G21" s="8" t="n"/>
      <c r="H21" s="8" t="n"/>
      <c r="I21" s="8" t="n"/>
      <c r="J21" s="8" t="n"/>
      <c r="K21" s="8" t="n"/>
      <c r="L21" s="7" t="n"/>
      <c r="M21" s="7" t="n"/>
      <c r="N21" s="7" t="n"/>
      <c r="O21" s="7" t="n"/>
      <c r="P21" s="7" t="n"/>
      <c r="Q21" s="8" t="n"/>
      <c r="R21" s="8" t="n"/>
      <c r="S21" s="31">
        <f>IF(B21&lt;&gt;"",B21+14,"")</f>
        <v/>
      </c>
      <c r="T21" s="7" t="n"/>
    </row>
    <row r="22" ht="52" customHeight="1">
      <c r="A22" s="5" t="n">
        <v>21</v>
      </c>
      <c r="B22" s="30" t="n"/>
      <c r="C22" s="30" t="n"/>
      <c r="D22" s="5" t="n"/>
      <c r="E22" s="5" t="n"/>
      <c r="F22" s="6" t="n"/>
      <c r="G22" s="6" t="n"/>
      <c r="H22" s="6" t="n"/>
      <c r="I22" s="6" t="n"/>
      <c r="J22" s="6" t="n"/>
      <c r="K22" s="6" t="n"/>
      <c r="L22" s="5" t="n"/>
      <c r="M22" s="5" t="n"/>
      <c r="N22" s="5" t="n"/>
      <c r="O22" s="5" t="n"/>
      <c r="P22" s="5" t="n"/>
      <c r="Q22" s="6" t="n"/>
      <c r="R22" s="6" t="n"/>
      <c r="S22" s="31">
        <f>IF(B22&lt;&gt;"",B22+14,"")</f>
        <v/>
      </c>
      <c r="T22" s="5" t="n"/>
    </row>
    <row r="23" ht="52" customHeight="1">
      <c r="A23" s="7" t="n">
        <v>22</v>
      </c>
      <c r="B23" s="32" t="n"/>
      <c r="C23" s="32" t="n"/>
      <c r="D23" s="7" t="n"/>
      <c r="E23" s="7" t="n"/>
      <c r="F23" s="8" t="n"/>
      <c r="G23" s="8" t="n"/>
      <c r="H23" s="8" t="n"/>
      <c r="I23" s="8" t="n"/>
      <c r="J23" s="8" t="n"/>
      <c r="K23" s="8" t="n"/>
      <c r="L23" s="7" t="n"/>
      <c r="M23" s="7" t="n"/>
      <c r="N23" s="7" t="n"/>
      <c r="O23" s="7" t="n"/>
      <c r="P23" s="7" t="n"/>
      <c r="Q23" s="8" t="n"/>
      <c r="R23" s="8" t="n"/>
      <c r="S23" s="31">
        <f>IF(B23&lt;&gt;"",B23+14,"")</f>
        <v/>
      </c>
      <c r="T23" s="7" t="n"/>
    </row>
    <row r="24" ht="52" customHeight="1">
      <c r="A24" s="5" t="n">
        <v>23</v>
      </c>
      <c r="B24" s="30" t="n"/>
      <c r="C24" s="30" t="n"/>
      <c r="D24" s="5" t="n"/>
      <c r="E24" s="5" t="n"/>
      <c r="F24" s="6" t="n"/>
      <c r="G24" s="6" t="n"/>
      <c r="H24" s="6" t="n"/>
      <c r="I24" s="6" t="n"/>
      <c r="J24" s="6" t="n"/>
      <c r="K24" s="6" t="n"/>
      <c r="L24" s="5" t="n"/>
      <c r="M24" s="5" t="n"/>
      <c r="N24" s="5" t="n"/>
      <c r="O24" s="5" t="n"/>
      <c r="P24" s="5" t="n"/>
      <c r="Q24" s="6" t="n"/>
      <c r="R24" s="6" t="n"/>
      <c r="S24" s="31">
        <f>IF(B24&lt;&gt;"",B24+14,"")</f>
        <v/>
      </c>
      <c r="T24" s="5" t="n"/>
    </row>
    <row r="25" ht="52" customHeight="1">
      <c r="A25" s="7" t="n">
        <v>24</v>
      </c>
      <c r="B25" s="32" t="n"/>
      <c r="C25" s="32" t="n"/>
      <c r="D25" s="7" t="n"/>
      <c r="E25" s="7" t="n"/>
      <c r="F25" s="8" t="n"/>
      <c r="G25" s="8" t="n"/>
      <c r="H25" s="8" t="n"/>
      <c r="I25" s="8" t="n"/>
      <c r="J25" s="8" t="n"/>
      <c r="K25" s="8" t="n"/>
      <c r="L25" s="7" t="n"/>
      <c r="M25" s="7" t="n"/>
      <c r="N25" s="7" t="n"/>
      <c r="O25" s="7" t="n"/>
      <c r="P25" s="7" t="n"/>
      <c r="Q25" s="8" t="n"/>
      <c r="R25" s="8" t="n"/>
      <c r="S25" s="31">
        <f>IF(B25&lt;&gt;"",B25+14,"")</f>
        <v/>
      </c>
      <c r="T25" s="7" t="n"/>
    </row>
    <row r="26" ht="52" customHeight="1">
      <c r="A26" s="5" t="n">
        <v>25</v>
      </c>
      <c r="B26" s="30" t="n"/>
      <c r="C26" s="30" t="n"/>
      <c r="D26" s="5" t="n"/>
      <c r="E26" s="5" t="n"/>
      <c r="F26" s="6" t="n"/>
      <c r="G26" s="6" t="n"/>
      <c r="H26" s="6" t="n"/>
      <c r="I26" s="6" t="n"/>
      <c r="J26" s="6" t="n"/>
      <c r="K26" s="6" t="n"/>
      <c r="L26" s="5" t="n"/>
      <c r="M26" s="5" t="n"/>
      <c r="N26" s="5" t="n"/>
      <c r="O26" s="5" t="n"/>
      <c r="P26" s="5" t="n"/>
      <c r="Q26" s="6" t="n"/>
      <c r="R26" s="6" t="n"/>
      <c r="S26" s="31">
        <f>IF(B26&lt;&gt;"",B26+14,"")</f>
        <v/>
      </c>
      <c r="T26" s="5" t="n"/>
    </row>
    <row r="27" ht="52" customHeight="1">
      <c r="A27" s="7" t="n">
        <v>26</v>
      </c>
      <c r="B27" s="32" t="n"/>
      <c r="C27" s="32" t="n"/>
      <c r="D27" s="7" t="n"/>
      <c r="E27" s="7" t="n"/>
      <c r="F27" s="8" t="n"/>
      <c r="G27" s="8" t="n"/>
      <c r="H27" s="8" t="n"/>
      <c r="I27" s="8" t="n"/>
      <c r="J27" s="8" t="n"/>
      <c r="K27" s="8" t="n"/>
      <c r="L27" s="7" t="n"/>
      <c r="M27" s="7" t="n"/>
      <c r="N27" s="7" t="n"/>
      <c r="O27" s="7" t="n"/>
      <c r="P27" s="7" t="n"/>
      <c r="Q27" s="8" t="n"/>
      <c r="R27" s="8" t="n"/>
      <c r="S27" s="31">
        <f>IF(B27&lt;&gt;"",B27+14,"")</f>
        <v/>
      </c>
      <c r="T27" s="7" t="n"/>
    </row>
    <row r="28" ht="52" customHeight="1">
      <c r="A28" s="5" t="n">
        <v>27</v>
      </c>
      <c r="B28" s="30" t="n"/>
      <c r="C28" s="30" t="n"/>
      <c r="D28" s="5" t="n"/>
      <c r="E28" s="5" t="n"/>
      <c r="F28" s="6" t="n"/>
      <c r="G28" s="6" t="n"/>
      <c r="H28" s="6" t="n"/>
      <c r="I28" s="6" t="n"/>
      <c r="J28" s="6" t="n"/>
      <c r="K28" s="6" t="n"/>
      <c r="L28" s="5" t="n"/>
      <c r="M28" s="5" t="n"/>
      <c r="N28" s="5" t="n"/>
      <c r="O28" s="5" t="n"/>
      <c r="P28" s="5" t="n"/>
      <c r="Q28" s="6" t="n"/>
      <c r="R28" s="6" t="n"/>
      <c r="S28" s="31">
        <f>IF(B28&lt;&gt;"",B28+14,"")</f>
        <v/>
      </c>
      <c r="T28" s="5" t="n"/>
    </row>
    <row r="29" ht="52" customHeight="1">
      <c r="A29" s="7" t="n">
        <v>28</v>
      </c>
      <c r="B29" s="32" t="n"/>
      <c r="C29" s="32" t="n"/>
      <c r="D29" s="7" t="n"/>
      <c r="E29" s="7" t="n"/>
      <c r="F29" s="8" t="n"/>
      <c r="G29" s="8" t="n"/>
      <c r="H29" s="8" t="n"/>
      <c r="I29" s="8" t="n"/>
      <c r="J29" s="8" t="n"/>
      <c r="K29" s="8" t="n"/>
      <c r="L29" s="7" t="n"/>
      <c r="M29" s="7" t="n"/>
      <c r="N29" s="7" t="n"/>
      <c r="O29" s="7" t="n"/>
      <c r="P29" s="7" t="n"/>
      <c r="Q29" s="8" t="n"/>
      <c r="R29" s="8" t="n"/>
      <c r="S29" s="31">
        <f>IF(B29&lt;&gt;"",B29+14,"")</f>
        <v/>
      </c>
      <c r="T29" s="7" t="n"/>
    </row>
    <row r="30" ht="52" customHeight="1">
      <c r="A30" s="5" t="n">
        <v>29</v>
      </c>
      <c r="B30" s="30" t="n"/>
      <c r="C30" s="30" t="n"/>
      <c r="D30" s="5" t="n"/>
      <c r="E30" s="5" t="n"/>
      <c r="F30" s="6" t="n"/>
      <c r="G30" s="6" t="n"/>
      <c r="H30" s="6" t="n"/>
      <c r="I30" s="6" t="n"/>
      <c r="J30" s="6" t="n"/>
      <c r="K30" s="6" t="n"/>
      <c r="L30" s="5" t="n"/>
      <c r="M30" s="5" t="n"/>
      <c r="N30" s="5" t="n"/>
      <c r="O30" s="5" t="n"/>
      <c r="P30" s="5" t="n"/>
      <c r="Q30" s="6" t="n"/>
      <c r="R30" s="6" t="n"/>
      <c r="S30" s="31">
        <f>IF(B30&lt;&gt;"",B30+14,"")</f>
        <v/>
      </c>
      <c r="T30" s="5" t="n"/>
    </row>
    <row r="31" ht="52" customHeight="1">
      <c r="A31" s="7" t="n">
        <v>30</v>
      </c>
      <c r="B31" s="32" t="n"/>
      <c r="C31" s="32" t="n"/>
      <c r="D31" s="7" t="n"/>
      <c r="E31" s="7" t="n"/>
      <c r="F31" s="8" t="n"/>
      <c r="G31" s="8" t="n"/>
      <c r="H31" s="8" t="n"/>
      <c r="I31" s="8" t="n"/>
      <c r="J31" s="8" t="n"/>
      <c r="K31" s="8" t="n"/>
      <c r="L31" s="7" t="n"/>
      <c r="M31" s="7" t="n"/>
      <c r="N31" s="7" t="n"/>
      <c r="O31" s="7" t="n"/>
      <c r="P31" s="7" t="n"/>
      <c r="Q31" s="8" t="n"/>
      <c r="R31" s="8" t="n"/>
      <c r="S31" s="31">
        <f>IF(B31&lt;&gt;"",B31+14,"")</f>
        <v/>
      </c>
      <c r="T31" s="7" t="n"/>
    </row>
  </sheetData>
  <dataValidations count="5">
    <dataValidation sqref="C2:C31" showDropDown="0" showInputMessage="0" showErrorMessage="0" allowBlank="1" type="list">
      <formula1>"Part 1,Part 2,Part 3"</formula1>
    </dataValidation>
    <dataValidation sqref="D2:D31" showDropDown="0" showInputMessage="0" showErrorMessage="0" allowBlank="1" type="list">
      <formula1>"練習,模擬試験,コーチング,自主練習"</formula1>
    </dataValidation>
    <dataValidation sqref="K2:K31" showDropDown="0" showInputMessage="0" showErrorMessage="0" allowBlank="1" error="1〜5の整数を入力してください" type="whole" operator="between">
      <formula1>1</formula1>
      <formula2>5</formula2>
    </dataValidation>
    <dataValidation sqref="L2:O31" showDropDown="0" showInputMessage="0" showErrorMessage="0" allowBlank="1" error="1〜9の数値を入力してください" type="decimal" operator="between">
      <formula1>1</formula1>
      <formula2>9</formula2>
    </dataValidation>
    <dataValidation sqref="S2:S31" showDropDown="0" showInputMessage="0" showErrorMessage="0" allowBlank="1" type="list">
      <formula1>"✓,−"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6" customHeight="1">
      <c r="A1" s="9" t="inlineStr">
        <is>
          <t>スピーキング スコア サマリー</t>
        </is>
      </c>
    </row>
    <row r="3">
      <c r="A3" s="10" t="inlineStr">
        <is>
          <t>■ 評価基準別 平均スコア（最新10回）</t>
        </is>
      </c>
    </row>
    <row r="4" ht="28" customHeight="1">
      <c r="A4" s="2" t="inlineStr">
        <is>
          <t>評価基準</t>
        </is>
      </c>
      <c r="B4" s="2" t="inlineStr">
        <is>
          <t>全体平均</t>
        </is>
      </c>
      <c r="C4" s="2" t="inlineStr">
        <is>
          <t>最新5回平均</t>
        </is>
      </c>
      <c r="D4" s="2" t="inlineStr">
        <is>
          <t>最高</t>
        </is>
      </c>
      <c r="E4" s="2" t="inlineStr">
        <is>
          <t>最低</t>
        </is>
      </c>
      <c r="F4" s="2" t="inlineStr">
        <is>
          <t>前回</t>
        </is>
      </c>
      <c r="G4" s="2" t="inlineStr">
        <is>
          <t>目標</t>
        </is>
      </c>
      <c r="H4" s="2" t="inlineStr">
        <is>
          <t>達成状況</t>
        </is>
      </c>
    </row>
    <row r="5" ht="26" customHeight="1">
      <c r="A5" s="11" t="inlineStr">
        <is>
          <t>Fluency</t>
        </is>
      </c>
      <c r="B5" s="7">
        <f>IFERROR(AVERAGEIF(スピーキング進捗!L2:L31,"&lt;&gt;"，スピーキング進捗!L2:L31),"-")</f>
        <v/>
      </c>
      <c r="C5" s="7" t="inlineStr">
        <is>
          <t>-</t>
        </is>
      </c>
      <c r="D5" s="7">
        <f>IFERROR(MAX(スピーキング進捗!L2:L31),"-")</f>
        <v/>
      </c>
      <c r="E5" s="7">
        <f>IFERROR(MIN(IF(スピーキング進捗!L2:L31&lt;&gt;"",スピーキング進捗!L2:L31)),"-")</f>
        <v/>
      </c>
      <c r="F5" s="7" t="inlineStr">
        <is>
          <t>-</t>
        </is>
      </c>
      <c r="G5" s="12" t="n">
        <v>7</v>
      </c>
      <c r="H5" s="13" t="inlineStr">
        <is>
          <t>記録中</t>
        </is>
      </c>
    </row>
    <row r="6" ht="26" customHeight="1">
      <c r="A6" s="14" t="inlineStr">
        <is>
          <t>Vocabulary</t>
        </is>
      </c>
      <c r="B6" s="15">
        <f>IFERROR(AVERAGEIF(スピーキング進捗!M2:M31,"&lt;&gt;"，スピーキング進捗!M2:M31),"-")</f>
        <v/>
      </c>
      <c r="C6" s="15" t="inlineStr">
        <is>
          <t>-</t>
        </is>
      </c>
      <c r="D6" s="15">
        <f>IFERROR(MAX(スピーキング進捗!M2:M31),"-")</f>
        <v/>
      </c>
      <c r="E6" s="15">
        <f>IFERROR(MIN(IF(スピーキング進捗!M2:M31&lt;&gt;"",スピーキング進捗!M2:M31)),"-")</f>
        <v/>
      </c>
      <c r="F6" s="15" t="inlineStr">
        <is>
          <t>-</t>
        </is>
      </c>
      <c r="G6" s="12" t="n">
        <v>7</v>
      </c>
      <c r="H6" s="16" t="inlineStr">
        <is>
          <t>記録中</t>
        </is>
      </c>
    </row>
    <row r="7" ht="26" customHeight="1">
      <c r="A7" s="11" t="inlineStr">
        <is>
          <t>Grammar</t>
        </is>
      </c>
      <c r="B7" s="7">
        <f>IFERROR(AVERAGEIF(スピーキング進捗!N2:N31,"&lt;&gt;"，スピーキング進捗!N2:N31),"-")</f>
        <v/>
      </c>
      <c r="C7" s="7" t="inlineStr">
        <is>
          <t>-</t>
        </is>
      </c>
      <c r="D7" s="7">
        <f>IFERROR(MAX(スピーキング進捗!N2:N31),"-")</f>
        <v/>
      </c>
      <c r="E7" s="7">
        <f>IFERROR(MIN(IF(スピーキング進捗!N2:N31&lt;&gt;"",スピーキング進捗!N2:N31)),"-")</f>
        <v/>
      </c>
      <c r="F7" s="7" t="inlineStr">
        <is>
          <t>-</t>
        </is>
      </c>
      <c r="G7" s="12" t="n">
        <v>7</v>
      </c>
      <c r="H7" s="13" t="inlineStr">
        <is>
          <t>記録中</t>
        </is>
      </c>
    </row>
    <row r="8" ht="26" customHeight="1">
      <c r="A8" s="14" t="inlineStr">
        <is>
          <t>Pronunciation</t>
        </is>
      </c>
      <c r="B8" s="15">
        <f>IFERROR(AVERAGEIF(スピーキング進捗!O2:O31,"&lt;&gt;"，スピーキング進捗!O2:O31),"-")</f>
        <v/>
      </c>
      <c r="C8" s="15" t="inlineStr">
        <is>
          <t>-</t>
        </is>
      </c>
      <c r="D8" s="15">
        <f>IFERROR(MAX(スピーキング進捗!O2:O31),"-")</f>
        <v/>
      </c>
      <c r="E8" s="15">
        <f>IFERROR(MIN(IF(スピーキング進捗!O2:O31&lt;&gt;"",スピーキング進捗!O2:O31)),"-")</f>
        <v/>
      </c>
      <c r="F8" s="15" t="inlineStr">
        <is>
          <t>-</t>
        </is>
      </c>
      <c r="G8" s="12" t="n">
        <v>7</v>
      </c>
      <c r="H8" s="16" t="inlineStr">
        <is>
          <t>記録中</t>
        </is>
      </c>
    </row>
    <row r="10">
      <c r="A10" s="17" t="inlineStr">
        <is>
          <t>■ 学習サマリー</t>
        </is>
      </c>
    </row>
    <row r="11" ht="24" customHeight="1">
      <c r="A11" s="11" t="inlineStr">
        <is>
          <t>総提出回数</t>
        </is>
      </c>
      <c r="B11" s="7">
        <f>COUNTA(スピーキング進捗!B2:B31)</f>
        <v/>
      </c>
    </row>
    <row r="12" ht="24" customHeight="1">
      <c r="A12" s="18" t="inlineStr">
        <is>
          <t>Part 1 回数</t>
        </is>
      </c>
      <c r="B12" s="19">
        <f>COUNTIF(スピーキング進捗!C2:C31,"Part 1")</f>
        <v/>
      </c>
    </row>
    <row r="13" ht="24" customHeight="1">
      <c r="A13" s="11" t="inlineStr">
        <is>
          <t>Part 2 回数</t>
        </is>
      </c>
      <c r="B13" s="7">
        <f>COUNTIF(スピーキング進捗!C2:C31,"Part 2")</f>
        <v/>
      </c>
    </row>
    <row r="14" ht="24" customHeight="1">
      <c r="A14" s="18" t="inlineStr">
        <is>
          <t>Part 3 回数</t>
        </is>
      </c>
      <c r="B14" s="19">
        <f>COUNTIF(スピーキング進捗!C2:C31,"Part 3")</f>
        <v/>
      </c>
    </row>
    <row r="15" ht="24" customHeight="1">
      <c r="A15" s="11" t="inlineStr">
        <is>
          <t>復習済み数</t>
        </is>
      </c>
      <c r="B15" s="7">
        <f>COUNTIF(スピーキング進捗!S2:S31,"✓")</f>
        <v/>
      </c>
    </row>
    <row r="16" ht="24" customHeight="1">
      <c r="A16" s="18" t="inlineStr">
        <is>
          <t>復習率</t>
        </is>
      </c>
      <c r="B16" s="20">
        <f>IFERROR(COUNTIF(スピーキング進捗!S2:S31,"✓")/COUNTA(スピーキング進捗!B2:B31),0)</f>
        <v/>
      </c>
    </row>
  </sheetData>
  <mergeCells count="9">
    <mergeCell ref="C12:D12"/>
    <mergeCell ref="A3:H3"/>
    <mergeCell ref="C16:D16"/>
    <mergeCell ref="C15:D15"/>
    <mergeCell ref="C11:D11"/>
    <mergeCell ref="C14:D14"/>
    <mergeCell ref="C13:D13"/>
    <mergeCell ref="A1:H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21" t="inlineStr">
        <is>
          <t>繰り返しミス トラッカー</t>
        </is>
      </c>
    </row>
    <row r="2" ht="30" customHeight="1">
      <c r="A2" s="22" t="inlineStr">
        <is>
          <t>ミスの種類</t>
        </is>
      </c>
      <c r="B2" s="22" t="inlineStr">
        <is>
          <t>カテゴリ</t>
        </is>
      </c>
      <c r="C2" s="22" t="inlineStr">
        <is>
          <t>初出回数</t>
        </is>
      </c>
      <c r="D2" s="22" t="inlineStr">
        <is>
          <t>最終出現回数</t>
        </is>
      </c>
      <c r="E2" s="22" t="inlineStr">
        <is>
          <t>出現回数</t>
        </is>
      </c>
      <c r="F2" s="22" t="inlineStr">
        <is>
          <t>解決済み</t>
        </is>
      </c>
    </row>
    <row r="3" ht="30" customHeight="1">
      <c r="A3" s="8" t="n"/>
      <c r="B3" s="7" t="n"/>
      <c r="C3" s="7" t="n"/>
      <c r="D3" s="7" t="n"/>
      <c r="E3" s="7" t="n"/>
      <c r="F3" s="7" t="n"/>
    </row>
    <row r="4" ht="30" customHeight="1">
      <c r="A4" s="23" t="n"/>
      <c r="B4" s="24" t="n"/>
      <c r="C4" s="24" t="n"/>
      <c r="D4" s="24" t="n"/>
      <c r="E4" s="24" t="n"/>
      <c r="F4" s="24" t="n"/>
    </row>
    <row r="5" ht="30" customHeight="1">
      <c r="A5" s="8" t="n"/>
      <c r="B5" s="7" t="n"/>
      <c r="C5" s="7" t="n"/>
      <c r="D5" s="7" t="n"/>
      <c r="E5" s="7" t="n"/>
      <c r="F5" s="7" t="n"/>
    </row>
    <row r="6" ht="30" customHeight="1">
      <c r="A6" s="23" t="n"/>
      <c r="B6" s="24" t="n"/>
      <c r="C6" s="24" t="n"/>
      <c r="D6" s="24" t="n"/>
      <c r="E6" s="24" t="n"/>
      <c r="F6" s="24" t="n"/>
    </row>
    <row r="7" ht="30" customHeight="1">
      <c r="A7" s="8" t="n"/>
      <c r="B7" s="7" t="n"/>
      <c r="C7" s="7" t="n"/>
      <c r="D7" s="7" t="n"/>
      <c r="E7" s="7" t="n"/>
      <c r="F7" s="7" t="n"/>
    </row>
    <row r="8" ht="30" customHeight="1">
      <c r="A8" s="23" t="n"/>
      <c r="B8" s="24" t="n"/>
      <c r="C8" s="24" t="n"/>
      <c r="D8" s="24" t="n"/>
      <c r="E8" s="24" t="n"/>
      <c r="F8" s="24" t="n"/>
    </row>
    <row r="9" ht="30" customHeight="1">
      <c r="A9" s="8" t="n"/>
      <c r="B9" s="7" t="n"/>
      <c r="C9" s="7" t="n"/>
      <c r="D9" s="7" t="n"/>
      <c r="E9" s="7" t="n"/>
      <c r="F9" s="7" t="n"/>
    </row>
    <row r="10" ht="30" customHeight="1">
      <c r="A10" s="23" t="n"/>
      <c r="B10" s="24" t="n"/>
      <c r="C10" s="24" t="n"/>
      <c r="D10" s="24" t="n"/>
      <c r="E10" s="24" t="n"/>
      <c r="F10" s="24" t="n"/>
    </row>
    <row r="11" ht="30" customHeight="1">
      <c r="A11" s="8" t="n"/>
      <c r="B11" s="7" t="n"/>
      <c r="C11" s="7" t="n"/>
      <c r="D11" s="7" t="n"/>
      <c r="E11" s="7" t="n"/>
      <c r="F11" s="7" t="n"/>
    </row>
    <row r="12" ht="30" customHeight="1">
      <c r="A12" s="23" t="n"/>
      <c r="B12" s="24" t="n"/>
      <c r="C12" s="24" t="n"/>
      <c r="D12" s="24" t="n"/>
      <c r="E12" s="24" t="n"/>
      <c r="F12" s="24" t="n"/>
    </row>
    <row r="13" ht="30" customHeight="1">
      <c r="A13" s="8" t="n"/>
      <c r="B13" s="7" t="n"/>
      <c r="C13" s="7" t="n"/>
      <c r="D13" s="7" t="n"/>
      <c r="E13" s="7" t="n"/>
      <c r="F13" s="7" t="n"/>
    </row>
    <row r="14" ht="30" customHeight="1">
      <c r="A14" s="23" t="n"/>
      <c r="B14" s="24" t="n"/>
      <c r="C14" s="24" t="n"/>
      <c r="D14" s="24" t="n"/>
      <c r="E14" s="24" t="n"/>
      <c r="F14" s="24" t="n"/>
    </row>
    <row r="15" ht="30" customHeight="1">
      <c r="A15" s="8" t="n"/>
      <c r="B15" s="7" t="n"/>
      <c r="C15" s="7" t="n"/>
      <c r="D15" s="7" t="n"/>
      <c r="E15" s="7" t="n"/>
      <c r="F15" s="7" t="n"/>
    </row>
    <row r="16" ht="30" customHeight="1">
      <c r="A16" s="23" t="n"/>
      <c r="B16" s="24" t="n"/>
      <c r="C16" s="24" t="n"/>
      <c r="D16" s="24" t="n"/>
      <c r="E16" s="24" t="n"/>
      <c r="F16" s="24" t="n"/>
    </row>
    <row r="17" ht="30" customHeight="1">
      <c r="A17" s="8" t="n"/>
      <c r="B17" s="7" t="n"/>
      <c r="C17" s="7" t="n"/>
      <c r="D17" s="7" t="n"/>
      <c r="E17" s="7" t="n"/>
      <c r="F17" s="7" t="n"/>
    </row>
    <row r="18" ht="30" customHeight="1">
      <c r="A18" s="23" t="n"/>
      <c r="B18" s="24" t="n"/>
      <c r="C18" s="24" t="n"/>
      <c r="D18" s="24" t="n"/>
      <c r="E18" s="24" t="n"/>
      <c r="F18" s="24" t="n"/>
    </row>
    <row r="19" ht="30" customHeight="1">
      <c r="A19" s="8" t="n"/>
      <c r="B19" s="7" t="n"/>
      <c r="C19" s="7" t="n"/>
      <c r="D19" s="7" t="n"/>
      <c r="E19" s="7" t="n"/>
      <c r="F19" s="7" t="n"/>
    </row>
    <row r="20" ht="30" customHeight="1">
      <c r="A20" s="23" t="n"/>
      <c r="B20" s="24" t="n"/>
      <c r="C20" s="24" t="n"/>
      <c r="D20" s="24" t="n"/>
      <c r="E20" s="24" t="n"/>
      <c r="F20" s="24" t="n"/>
    </row>
    <row r="21" ht="30" customHeight="1">
      <c r="A21" s="8" t="n"/>
      <c r="B21" s="7" t="n"/>
      <c r="C21" s="7" t="n"/>
      <c r="D21" s="7" t="n"/>
      <c r="E21" s="7" t="n"/>
      <c r="F21" s="7" t="n"/>
    </row>
    <row r="22" ht="30" customHeight="1">
      <c r="A22" s="23" t="n"/>
      <c r="B22" s="24" t="n"/>
      <c r="C22" s="24" t="n"/>
      <c r="D22" s="24" t="n"/>
      <c r="E22" s="24" t="n"/>
      <c r="F22" s="24" t="n"/>
    </row>
    <row r="23" ht="30" customHeight="1">
      <c r="A23" s="8" t="n"/>
      <c r="B23" s="7" t="n"/>
      <c r="C23" s="7" t="n"/>
      <c r="D23" s="7" t="n"/>
      <c r="E23" s="7" t="n"/>
      <c r="F23" s="7" t="n"/>
    </row>
    <row r="24" ht="30" customHeight="1">
      <c r="A24" s="23" t="n"/>
      <c r="B24" s="24" t="n"/>
      <c r="C24" s="24" t="n"/>
      <c r="D24" s="24" t="n"/>
      <c r="E24" s="24" t="n"/>
      <c r="F24" s="24" t="n"/>
    </row>
    <row r="25" ht="30" customHeight="1">
      <c r="A25" s="8" t="n"/>
      <c r="B25" s="7" t="n"/>
      <c r="C25" s="7" t="n"/>
      <c r="D25" s="7" t="n"/>
      <c r="E25" s="7" t="n"/>
      <c r="F25" s="7" t="n"/>
    </row>
    <row r="26" ht="30" customHeight="1">
      <c r="A26" s="23" t="n"/>
      <c r="B26" s="24" t="n"/>
      <c r="C26" s="24" t="n"/>
      <c r="D26" s="24" t="n"/>
      <c r="E26" s="24" t="n"/>
      <c r="F26" s="24" t="n"/>
    </row>
    <row r="27" ht="30" customHeight="1">
      <c r="A27" s="8" t="n"/>
      <c r="B27" s="7" t="n"/>
      <c r="C27" s="7" t="n"/>
      <c r="D27" s="7" t="n"/>
      <c r="E27" s="7" t="n"/>
      <c r="F27" s="7" t="n"/>
    </row>
    <row r="29">
      <c r="A29" s="25" t="inlineStr">
        <is>
          <t>■ カテゴリ別 ミス数</t>
        </is>
      </c>
    </row>
    <row r="30" ht="28" customHeight="1">
      <c r="A30" s="22" t="inlineStr">
        <is>
          <t>文法</t>
        </is>
      </c>
      <c r="B30" s="22" t="inlineStr">
        <is>
          <t>語彙</t>
        </is>
      </c>
      <c r="C30" s="22" t="inlineStr">
        <is>
          <t>発音</t>
        </is>
      </c>
      <c r="D30" s="22" t="inlineStr">
        <is>
          <t>流れ・構成</t>
        </is>
      </c>
      <c r="E30" s="22" t="inlineStr">
        <is>
          <t>フィラー</t>
        </is>
      </c>
      <c r="F30" s="22" t="inlineStr">
        <is>
          <t>その他</t>
        </is>
      </c>
    </row>
    <row r="31" ht="32" customHeight="1">
      <c r="A31" s="26">
        <f>COUNTIF(B3:B27,"文法")</f>
        <v/>
      </c>
      <c r="B31" s="26">
        <f>COUNTIF(B3:B27,"語彙")</f>
        <v/>
      </c>
      <c r="C31" s="26">
        <f>COUNTIF(B3:B27,"発音")</f>
        <v/>
      </c>
      <c r="D31" s="26">
        <f>COUNTIF(B3:B27,"流れ・構成")</f>
        <v/>
      </c>
      <c r="E31" s="26">
        <f>COUNTIF(B3:B27,"フィラー")</f>
        <v/>
      </c>
      <c r="F31" s="26">
        <f>COUNTIF(B3:B27,"その他")</f>
        <v/>
      </c>
    </row>
  </sheetData>
  <mergeCells count="2">
    <mergeCell ref="A1:F1"/>
    <mergeCell ref="A29:F29"/>
  </mergeCells>
  <dataValidations count="2">
    <dataValidation sqref="B3:B27" showDropDown="0" showInputMessage="0" showErrorMessage="0" allowBlank="1" type="list">
      <formula1>"文法,語彙,発音,流れ・構成,フィラー,その他"</formula1>
    </dataValidation>
    <dataValidation sqref="F3:F27" showDropDown="0" showInputMessage="0" showErrorMessage="0" allowBlank="1" type="list">
      <formula1>"✓,取り組み中,−"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4" customWidth="1" min="6" max="6"/>
    <col width="18" customWidth="1" min="7" max="7"/>
    <col width="34" customWidth="1" min="8" max="8"/>
    <col width="34" customWidth="1" min="9" max="9"/>
    <col width="30" customWidth="1" min="10" max="10"/>
  </cols>
  <sheetData>
    <row r="1" ht="36" customHeight="1">
      <c r="A1" s="27" t="inlineStr">
        <is>
          <t>月別 スピーキング振り返り</t>
        </is>
      </c>
    </row>
    <row r="2" ht="32" customHeight="1">
      <c r="A2" s="28" t="inlineStr">
        <is>
          <t>年月</t>
        </is>
      </c>
      <c r="B2" s="28" t="inlineStr">
        <is>
          <t>提出回数</t>
        </is>
      </c>
      <c r="C2" s="28" t="inlineStr">
        <is>
          <t>平均自己評価</t>
        </is>
      </c>
      <c r="D2" s="28" t="inlineStr">
        <is>
          <t>Fluency平均</t>
        </is>
      </c>
      <c r="E2" s="28" t="inlineStr">
        <is>
          <t>Vocab平均</t>
        </is>
      </c>
      <c r="F2" s="28" t="inlineStr">
        <is>
          <t>Grammar平均</t>
        </is>
      </c>
      <c r="G2" s="28" t="inlineStr">
        <is>
          <t>Pronunciation平均</t>
        </is>
      </c>
      <c r="H2" s="28" t="inlineStr">
        <is>
          <t>今月の成長</t>
        </is>
      </c>
      <c r="I2" s="28" t="inlineStr">
        <is>
          <t>来月の目標</t>
        </is>
      </c>
      <c r="J2" s="28" t="inlineStr">
        <is>
          <t>メモ</t>
        </is>
      </c>
    </row>
    <row r="3" ht="60" customHeight="1">
      <c r="A3" s="7" t="n"/>
      <c r="B3" s="7" t="n"/>
      <c r="C3" s="7" t="n"/>
      <c r="D3" s="7" t="n"/>
      <c r="E3" s="7" t="n"/>
      <c r="F3" s="7" t="n"/>
      <c r="G3" s="7" t="n"/>
      <c r="H3" s="8" t="n"/>
      <c r="I3" s="8" t="n"/>
      <c r="J3" s="8" t="n"/>
    </row>
    <row r="4" ht="60" customHeight="1">
      <c r="A4" s="15" t="n"/>
      <c r="B4" s="15" t="n"/>
      <c r="C4" s="15" t="n"/>
      <c r="D4" s="15" t="n"/>
      <c r="E4" s="15" t="n"/>
      <c r="F4" s="15" t="n"/>
      <c r="G4" s="15" t="n"/>
      <c r="H4" s="29" t="n"/>
      <c r="I4" s="29" t="n"/>
      <c r="J4" s="29" t="n"/>
    </row>
    <row r="5" ht="60" customHeight="1">
      <c r="A5" s="7" t="n"/>
      <c r="B5" s="7" t="n"/>
      <c r="C5" s="7" t="n"/>
      <c r="D5" s="7" t="n"/>
      <c r="E5" s="7" t="n"/>
      <c r="F5" s="7" t="n"/>
      <c r="G5" s="7" t="n"/>
      <c r="H5" s="8" t="n"/>
      <c r="I5" s="8" t="n"/>
      <c r="J5" s="8" t="n"/>
    </row>
    <row r="6" ht="60" customHeight="1">
      <c r="A6" s="15" t="n"/>
      <c r="B6" s="15" t="n"/>
      <c r="C6" s="15" t="n"/>
      <c r="D6" s="15" t="n"/>
      <c r="E6" s="15" t="n"/>
      <c r="F6" s="15" t="n"/>
      <c r="G6" s="15" t="n"/>
      <c r="H6" s="29" t="n"/>
      <c r="I6" s="29" t="n"/>
      <c r="J6" s="29" t="n"/>
    </row>
    <row r="7" ht="60" customHeight="1">
      <c r="A7" s="7" t="n"/>
      <c r="B7" s="7" t="n"/>
      <c r="C7" s="7" t="n"/>
      <c r="D7" s="7" t="n"/>
      <c r="E7" s="7" t="n"/>
      <c r="F7" s="7" t="n"/>
      <c r="G7" s="7" t="n"/>
      <c r="H7" s="8" t="n"/>
      <c r="I7" s="8" t="n"/>
      <c r="J7" s="8" t="n"/>
    </row>
    <row r="8" ht="60" customHeight="1">
      <c r="A8" s="15" t="n"/>
      <c r="B8" s="15" t="n"/>
      <c r="C8" s="15" t="n"/>
      <c r="D8" s="15" t="n"/>
      <c r="E8" s="15" t="n"/>
      <c r="F8" s="15" t="n"/>
      <c r="G8" s="15" t="n"/>
      <c r="H8" s="29" t="n"/>
      <c r="I8" s="29" t="n"/>
      <c r="J8" s="29" t="n"/>
    </row>
    <row r="9" ht="60" customHeight="1">
      <c r="A9" s="7" t="n"/>
      <c r="B9" s="7" t="n"/>
      <c r="C9" s="7" t="n"/>
      <c r="D9" s="7" t="n"/>
      <c r="E9" s="7" t="n"/>
      <c r="F9" s="7" t="n"/>
      <c r="G9" s="7" t="n"/>
      <c r="H9" s="8" t="n"/>
      <c r="I9" s="8" t="n"/>
      <c r="J9" s="8" t="n"/>
    </row>
    <row r="10" ht="60" customHeight="1">
      <c r="A10" s="15" t="n"/>
      <c r="B10" s="15" t="n"/>
      <c r="C10" s="15" t="n"/>
      <c r="D10" s="15" t="n"/>
      <c r="E10" s="15" t="n"/>
      <c r="F10" s="15" t="n"/>
      <c r="G10" s="15" t="n"/>
      <c r="H10" s="29" t="n"/>
      <c r="I10" s="29" t="n"/>
      <c r="J10" s="29" t="n"/>
    </row>
    <row r="11" ht="60" customHeight="1">
      <c r="A11" s="7" t="n"/>
      <c r="B11" s="7" t="n"/>
      <c r="C11" s="7" t="n"/>
      <c r="D11" s="7" t="n"/>
      <c r="E11" s="7" t="n"/>
      <c r="F11" s="7" t="n"/>
      <c r="G11" s="7" t="n"/>
      <c r="H11" s="8" t="n"/>
      <c r="I11" s="8" t="n"/>
      <c r="J11" s="8" t="n"/>
    </row>
    <row r="12" ht="60" customHeight="1">
      <c r="A12" s="15" t="n"/>
      <c r="B12" s="15" t="n"/>
      <c r="C12" s="15" t="n"/>
      <c r="D12" s="15" t="n"/>
      <c r="E12" s="15" t="n"/>
      <c r="F12" s="15" t="n"/>
      <c r="G12" s="15" t="n"/>
      <c r="H12" s="29" t="n"/>
      <c r="I12" s="29" t="n"/>
      <c r="J12" s="29" t="n"/>
    </row>
    <row r="13" ht="60" customHeight="1">
      <c r="A13" s="7" t="n"/>
      <c r="B13" s="7" t="n"/>
      <c r="C13" s="7" t="n"/>
      <c r="D13" s="7" t="n"/>
      <c r="E13" s="7" t="n"/>
      <c r="F13" s="7" t="n"/>
      <c r="G13" s="7" t="n"/>
      <c r="H13" s="8" t="n"/>
      <c r="I13" s="8" t="n"/>
      <c r="J13" s="8" t="n"/>
    </row>
    <row r="14" ht="60" customHeight="1">
      <c r="A14" s="15" t="n"/>
      <c r="B14" s="15" t="n"/>
      <c r="C14" s="15" t="n"/>
      <c r="D14" s="15" t="n"/>
      <c r="E14" s="15" t="n"/>
      <c r="F14" s="15" t="n"/>
      <c r="G14" s="15" t="n"/>
      <c r="H14" s="29" t="n"/>
      <c r="I14" s="29" t="n"/>
      <c r="J14" s="29" t="n"/>
    </row>
    <row r="15" ht="60" customHeight="1">
      <c r="A15" s="7" t="n"/>
      <c r="B15" s="7" t="n"/>
      <c r="C15" s="7" t="n"/>
      <c r="D15" s="7" t="n"/>
      <c r="E15" s="7" t="n"/>
      <c r="F15" s="7" t="n"/>
      <c r="G15" s="7" t="n"/>
      <c r="H15" s="8" t="n"/>
      <c r="I15" s="8" t="n"/>
      <c r="J15" s="8" t="n"/>
    </row>
    <row r="16" ht="60" customHeight="1">
      <c r="A16" s="15" t="n"/>
      <c r="B16" s="15" t="n"/>
      <c r="C16" s="15" t="n"/>
      <c r="D16" s="15" t="n"/>
      <c r="E16" s="15" t="n"/>
      <c r="F16" s="15" t="n"/>
      <c r="G16" s="15" t="n"/>
      <c r="H16" s="29" t="n"/>
      <c r="I16" s="29" t="n"/>
      <c r="J16" s="29" t="n"/>
    </row>
    <row r="17" ht="60" customHeight="1">
      <c r="A17" s="7" t="n"/>
      <c r="B17" s="7" t="n"/>
      <c r="C17" s="7" t="n"/>
      <c r="D17" s="7" t="n"/>
      <c r="E17" s="7" t="n"/>
      <c r="F17" s="7" t="n"/>
      <c r="G17" s="7" t="n"/>
      <c r="H17" s="8" t="n"/>
      <c r="I17" s="8" t="n"/>
      <c r="J17" s="8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8" customWidth="1" min="3" max="3"/>
    <col width="40" customWidth="1" min="4" max="4"/>
  </cols>
  <sheetData>
    <row r="1" ht="36" customHeight="1">
      <c r="A1" s="9" t="inlineStr">
        <is>
          <t>📋 記入ガイド</t>
        </is>
      </c>
    </row>
    <row r="2" ht="28" customHeight="1">
      <c r="A2" s="1" t="inlineStr">
        <is>
          <t>項目</t>
        </is>
      </c>
      <c r="B2" s="1" t="inlineStr">
        <is>
          <t>シート</t>
        </is>
      </c>
      <c r="C2" s="1" t="inlineStr">
        <is>
          <t>記入内容</t>
        </is>
      </c>
      <c r="D2" s="1" t="inlineStr">
        <is>
          <t>例・注意</t>
        </is>
      </c>
    </row>
    <row r="3" ht="28" customHeight="1">
      <c r="A3" s="7" t="inlineStr">
        <is>
          <t>番号</t>
        </is>
      </c>
      <c r="B3" s="7" t="inlineStr">
        <is>
          <t>スピーキング進捗</t>
        </is>
      </c>
      <c r="C3" s="8" t="inlineStr">
        <is>
          <t>自動入力済み（変更不要）</t>
        </is>
      </c>
      <c r="D3" s="8" t="inlineStr">
        <is>
          <t>1, 2, 3…</t>
        </is>
      </c>
    </row>
    <row r="4" ht="28" customHeight="1">
      <c r="A4" s="5" t="inlineStr">
        <is>
          <t>提出日</t>
        </is>
      </c>
      <c r="B4" s="5" t="inlineStr">
        <is>
          <t>スピーキング進捗</t>
        </is>
      </c>
      <c r="C4" s="6" t="inlineStr">
        <is>
          <t>課題を提出した日付</t>
        </is>
      </c>
      <c r="D4" s="6" t="inlineStr">
        <is>
          <t>2025/06/05</t>
        </is>
      </c>
    </row>
    <row r="5" ht="28" customHeight="1">
      <c r="A5" s="33" t="inlineStr">
        <is>
          <t>再提出日</t>
        </is>
      </c>
      <c r="B5" s="33" t="inlineStr">
        <is>
          <t>スピーキング進捗</t>
        </is>
      </c>
      <c r="C5" s="34" t="inlineStr">
        <is>
          <t>コーチングFB後に再提出した日付</t>
        </is>
      </c>
      <c r="D5" s="34" t="inlineStr">
        <is>
          <t>2025/06/12</t>
        </is>
      </c>
    </row>
    <row r="6" ht="28" customHeight="1">
      <c r="A6" s="7" t="inlineStr">
        <is>
          <t>タスク種別</t>
        </is>
      </c>
      <c r="B6" s="7" t="inlineStr">
        <is>
          <t>スピーキング進捗</t>
        </is>
      </c>
      <c r="C6" s="8" t="inlineStr">
        <is>
          <t>ドロップダウンから選択</t>
        </is>
      </c>
      <c r="D6" s="8" t="inlineStr">
        <is>
          <t>Part 1 / Part 2 / Part 3</t>
        </is>
      </c>
    </row>
    <row r="7" ht="28" customHeight="1">
      <c r="A7" s="5" t="inlineStr">
        <is>
          <t>試験形式</t>
        </is>
      </c>
      <c r="B7" s="5" t="inlineStr">
        <is>
          <t>スピーキング進捗</t>
        </is>
      </c>
      <c r="C7" s="6" t="inlineStr">
        <is>
          <t>ドロップダウンから選択</t>
        </is>
      </c>
      <c r="D7" s="6" t="inlineStr">
        <is>
          <t>練習 / 模擬試験 / コーチング</t>
        </is>
      </c>
    </row>
    <row r="8" ht="28" customHeight="1">
      <c r="A8" s="7" t="inlineStr">
        <is>
          <t>トピック</t>
        </is>
      </c>
      <c r="B8" s="7" t="inlineStr">
        <is>
          <t>スピーキング進捗</t>
        </is>
      </c>
      <c r="C8" s="8" t="inlineStr">
        <is>
          <t>練習した質問・テーマ</t>
        </is>
      </c>
      <c r="D8" s="8" t="inlineStr">
        <is>
          <t>Describe a place you like to visit</t>
        </is>
      </c>
    </row>
    <row r="9" ht="28" customHeight="1">
      <c r="A9" s="5" t="inlineStr">
        <is>
          <t>意識した点</t>
        </is>
      </c>
      <c r="B9" s="5" t="inlineStr">
        <is>
          <t>スピーキング進捗</t>
        </is>
      </c>
      <c r="C9" s="6" t="inlineStr">
        <is>
          <t>その回で取り組んだこと</t>
        </is>
      </c>
      <c r="D9" s="6" t="inlineStr">
        <is>
          <t>Fluencyを意識してフィラーを減らす</t>
        </is>
      </c>
    </row>
    <row r="10" ht="28" customHeight="1">
      <c r="A10" s="7" t="inlineStr">
        <is>
          <t>前回からの改善点</t>
        </is>
      </c>
      <c r="B10" s="7" t="inlineStr">
        <is>
          <t>スピーキング進捗</t>
        </is>
      </c>
      <c r="C10" s="8" t="inlineStr">
        <is>
          <t>前回FBを受けて変えたこと</t>
        </is>
      </c>
      <c r="D10" s="8" t="inlineStr">
        <is>
          <t>前回指摘された接続詞を意識した</t>
        </is>
      </c>
    </row>
    <row r="11" ht="28" customHeight="1">
      <c r="A11" s="5" t="inlineStr">
        <is>
          <t>振り返り</t>
        </is>
      </c>
      <c r="B11" s="5" t="inlineStr">
        <is>
          <t>スピーキング進捗</t>
        </is>
      </c>
      <c r="C11" s="6" t="inlineStr">
        <is>
          <t>提出後の自己評価・気づき</t>
        </is>
      </c>
      <c r="D11" s="6" t="inlineStr">
        <is>
          <t>アイデアは出たが文法ミスが多かった</t>
        </is>
      </c>
    </row>
    <row r="12" ht="28" customHeight="1">
      <c r="A12" s="7" t="inlineStr">
        <is>
          <t>繰り返しミス</t>
        </is>
      </c>
      <c r="B12" s="7" t="inlineStr">
        <is>
          <t>スピーキング進捗</t>
        </is>
      </c>
      <c r="C12" s="8" t="inlineStr">
        <is>
          <t>また出たミスをメモ（ミスパターンシートと連動）</t>
        </is>
      </c>
      <c r="D12" s="8" t="inlineStr">
        <is>
          <t>三単現のs忘れ / フィラーが多い</t>
        </is>
      </c>
    </row>
    <row r="13" ht="28" customHeight="1">
      <c r="A13" s="5" t="inlineStr">
        <is>
          <t>次回の課題</t>
        </is>
      </c>
      <c r="B13" s="5" t="inlineStr">
        <is>
          <t>スピーキング進捗</t>
        </is>
      </c>
      <c r="C13" s="6" t="inlineStr">
        <is>
          <t>次回に持ち越す意識ポイント</t>
        </is>
      </c>
      <c r="D13" s="6" t="inlineStr">
        <is>
          <t>具体例を2つ以上出す練習をする</t>
        </is>
      </c>
    </row>
    <row r="14" ht="28" customHeight="1">
      <c r="A14" s="7" t="inlineStr">
        <is>
          <t>自己評価(1-5)</t>
        </is>
      </c>
      <c r="B14" s="7" t="inlineStr">
        <is>
          <t>スピーキング進捗</t>
        </is>
      </c>
      <c r="C14" s="8" t="inlineStr">
        <is>
          <t>全体の手応えを1〜5で入力</t>
        </is>
      </c>
      <c r="D14" s="8" t="inlineStr">
        <is>
          <t>5=とても良かった / 1=うまくいかなかった</t>
        </is>
      </c>
    </row>
    <row r="15" ht="28" customHeight="1">
      <c r="A15" s="5" t="inlineStr">
        <is>
          <t>Fluency〜Pronunciation</t>
        </is>
      </c>
      <c r="B15" s="5" t="inlineStr">
        <is>
          <t>スピーキング進捗</t>
        </is>
      </c>
      <c r="C15" s="6" t="inlineStr">
        <is>
          <t>FBをもとに1〜9で入力（半スコアOK）</t>
        </is>
      </c>
      <c r="D15" s="6" t="inlineStr">
        <is>
          <t>6.5, 7.0 など</t>
        </is>
      </c>
    </row>
    <row r="16" ht="28" customHeight="1">
      <c r="A16" s="7" t="inlineStr">
        <is>
          <t>録音リンク</t>
        </is>
      </c>
      <c r="B16" s="7" t="inlineStr">
        <is>
          <t>スピーキング進捗</t>
        </is>
      </c>
      <c r="C16" s="8" t="inlineStr">
        <is>
          <t>音声ファイルのURL・保存場所</t>
        </is>
      </c>
      <c r="D16" s="8" t="inlineStr">
        <is>
          <t>Google Drive リンクなど</t>
        </is>
      </c>
    </row>
    <row r="17" ht="28" customHeight="1">
      <c r="A17" s="5" t="inlineStr">
        <is>
          <t>FBリンク</t>
        </is>
      </c>
      <c r="B17" s="5" t="inlineStr">
        <is>
          <t>スピーキング進捗</t>
        </is>
      </c>
      <c r="C17" s="6" t="inlineStr">
        <is>
          <t>フィードバックのURL</t>
        </is>
      </c>
      <c r="D17" s="6" t="inlineStr">
        <is>
          <t>コーチングのFBリンク</t>
        </is>
      </c>
    </row>
    <row r="18" ht="28" customHeight="1">
      <c r="A18" s="7" t="inlineStr">
        <is>
          <t>復習予定日</t>
        </is>
      </c>
      <c r="B18" s="7" t="inlineStr">
        <is>
          <t>スピーキング進捗</t>
        </is>
      </c>
      <c r="C18" s="8" t="inlineStr">
        <is>
          <t>1回目提出日の2週間後に自動計算（変更不要）</t>
        </is>
      </c>
      <c r="D18" s="8" t="inlineStr">
        <is>
          <t>手動で変えたい場合は直接上書きしてください</t>
        </is>
      </c>
    </row>
    <row r="19" ht="28" customHeight="1">
      <c r="A19" s="5" t="inlineStr">
        <is>
          <t>復習済み</t>
        </is>
      </c>
      <c r="B19" s="5" t="inlineStr">
        <is>
          <t>スピーキング進捗</t>
        </is>
      </c>
      <c r="C19" s="6" t="inlineStr">
        <is>
          <t>ドロップダウンで✓を選択</t>
        </is>
      </c>
      <c r="D19" s="6" t="inlineStr">
        <is>
          <t>✓ / − (対象外)</t>
        </is>
      </c>
    </row>
    <row r="20" ht="28" customHeight="1">
      <c r="A20" s="7" t="inlineStr">
        <is>
          <t>ミスの種類</t>
        </is>
      </c>
      <c r="B20" s="7" t="inlineStr">
        <is>
          <t>ミスパターン</t>
        </is>
      </c>
      <c r="C20" s="8" t="inlineStr">
        <is>
          <t>繰り返し出るミスを具体的に記入</t>
        </is>
      </c>
      <c r="D20" s="8" t="inlineStr">
        <is>
          <t>三単現のs忘れ / 語彙の繰り返し</t>
        </is>
      </c>
    </row>
    <row r="21" ht="28" customHeight="1">
      <c r="A21" s="5" t="inlineStr">
        <is>
          <t>カテゴリ</t>
        </is>
      </c>
      <c r="B21" s="5" t="inlineStr">
        <is>
          <t>ミスパターン</t>
        </is>
      </c>
      <c r="C21" s="6" t="inlineStr">
        <is>
          <t>ドロップダウンから分類</t>
        </is>
      </c>
      <c r="D21" s="6" t="inlineStr">
        <is>
          <t>文法 / 語彙 / 発音 / 流れ・構成</t>
        </is>
      </c>
    </row>
    <row r="22" ht="28" customHeight="1">
      <c r="A22" s="7" t="inlineStr">
        <is>
          <t>今月の成長</t>
        </is>
      </c>
      <c r="B22" s="7" t="inlineStr">
        <is>
          <t>月別振り返り</t>
        </is>
      </c>
      <c r="C22" s="8" t="inlineStr">
        <is>
          <t>月末に振り返って書く</t>
        </is>
      </c>
      <c r="D22" s="8" t="inlineStr">
        <is>
          <t>Part 2の構成が安定してきた</t>
        </is>
      </c>
    </row>
    <row r="23">
      <c r="A23" s="5" t="inlineStr">
        <is>
          <t>来月の目標</t>
        </is>
      </c>
      <c r="B23" s="5" t="inlineStr">
        <is>
          <t>月別振り返り</t>
        </is>
      </c>
      <c r="C23" s="6" t="inlineStr">
        <is>
          <t>翌月に向けた具体的な目標</t>
        </is>
      </c>
      <c r="D23" s="6" t="inlineStr">
        <is>
          <t>Vocabularyを6.5以上にする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2026-06-04T15:56:09Z</dcterms:created>
  <dcterms:modified xsi:type="dcterms:W3CDTF">2026-06-04T16:03:51Z</dcterms:modified>
</cp:coreProperties>
</file>